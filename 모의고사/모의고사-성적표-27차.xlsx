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회차설정" sheetId="2" state="visible" r:id="rId2"/>
    <sheet name="답안입력" sheetId="3" state="visible" r:id="rId3"/>
    <sheet name="성적표" sheetId="4" state="visible" r:id="rId4"/>
    <sheet name="성적표(전원)" sheetId="5" state="visible" r:id="rId5"/>
    <sheet name="분석" sheetId="6" state="visible" r:id="rId6"/>
    <sheet name="자동계산" sheetId="7" state="visible" r:id="rId7"/>
    <sheet name="전체채점" sheetId="8" state="visible" r:id="rId8"/>
  </sheets>
  <definedNames>
    <definedName name="_xlnm.Print_Area" localSheetId="3">'성적표'!$A$1:$P$39</definedName>
    <definedName name="_xlnm.Print_Area" localSheetId="4">'성적표(전원)'!$A$1:$P$2460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&quot;명&quot;"/>
    <numFmt numFmtId="167" formatCode="&quot;1쪽 ~ &quot;0&quot;쪽&quot;"/>
  </numFmts>
  <fonts count="30">
    <font>
      <name val="Calibri"/>
      <family val="2"/>
      <color theme="1"/>
      <sz val="11"/>
      <scheme val="minor"/>
    </font>
    <font>
      <name val="맑은 고딕"/>
      <b val="1"/>
      <color rgb="005B21B6"/>
      <sz val="20"/>
    </font>
    <font>
      <name val="맑은 고딕"/>
      <b val="1"/>
      <color rgb="007C3AED"/>
      <sz val="13"/>
    </font>
    <font>
      <name val="맑은 고딕"/>
      <color rgb="001F2937"/>
      <sz val="11"/>
    </font>
    <font>
      <name val="맑은 고딕"/>
      <b val="1"/>
      <color rgb="005B21B6"/>
      <sz val="16"/>
    </font>
    <font>
      <name val="맑은 고딕"/>
      <b val="1"/>
      <color rgb="001F2937"/>
      <sz val="11"/>
    </font>
    <font>
      <name val="맑은 고딕"/>
      <color rgb="001F2937"/>
      <sz val="12"/>
    </font>
    <font>
      <name val="맑은 고딕"/>
      <color rgb="006B7280"/>
      <sz val="10"/>
    </font>
    <font>
      <name val="맑은 고딕"/>
      <b val="1"/>
      <color rgb="007C3AED"/>
      <sz val="12"/>
    </font>
    <font>
      <name val="맑은 고딕"/>
      <b val="1"/>
      <color rgb="00FFFFFF"/>
      <sz val="11"/>
    </font>
    <font>
      <name val="맑은 고딕"/>
      <color rgb="00B45309"/>
      <sz val="10"/>
    </font>
    <font>
      <name val="맑은 고딕"/>
      <b val="1"/>
      <color rgb="00B91C1C"/>
      <sz val="13"/>
    </font>
    <font>
      <name val="맑은 고딕"/>
      <b val="1"/>
      <color rgb="00FFFFFF"/>
      <sz val="10"/>
    </font>
    <font>
      <name val="맑은 고딕"/>
      <color rgb="001F2937"/>
      <sz val="10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b val="1"/>
      <color rgb="001F2937"/>
      <sz val="10"/>
    </font>
    <font>
      <name val="맑은 고딕"/>
      <color rgb="006B7280"/>
      <sz val="9"/>
    </font>
    <font>
      <name val="맑은 고딕"/>
      <b val="1"/>
      <color rgb="00FFFFFF"/>
      <sz val="20"/>
    </font>
    <font>
      <name val="맑은 고딕"/>
      <b val="1"/>
      <color rgb="001F2937"/>
      <sz val="13"/>
    </font>
    <font>
      <name val="맑은 고딕"/>
      <b val="1"/>
      <color rgb="005B21B6"/>
      <sz val="24"/>
    </font>
    <font>
      <name val="맑은 고딕"/>
      <b val="1"/>
      <color rgb="005B21B6"/>
      <sz val="18"/>
    </font>
    <font>
      <name val="맑은 고딕"/>
      <color rgb="001F2937"/>
      <sz val="13"/>
    </font>
    <font>
      <name val="맑은 고딕"/>
      <b val="1"/>
      <color rgb="00B91C1C"/>
      <sz val="10"/>
    </font>
    <font>
      <name val="맑은 고딕"/>
      <color rgb="007C3AED"/>
      <sz val="11"/>
    </font>
    <font>
      <name val="맑은 고딕"/>
      <color rgb="005B21B6"/>
      <sz val="11"/>
    </font>
    <font>
      <name val="맑은 고딕"/>
      <color rgb="00B45309"/>
      <sz val="11"/>
    </font>
    <font>
      <name val="맑은 고딕"/>
      <b val="1"/>
      <color rgb="005B21B6"/>
      <sz val="12"/>
    </font>
    <font>
      <name val="맑은 고딕"/>
      <b val="1"/>
      <color rgb="001F2937"/>
      <sz val="12"/>
    </font>
    <font>
      <name val="맑은 고딕"/>
      <color rgb="007C3AED"/>
      <sz val="10"/>
    </font>
  </fonts>
  <fills count="8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6B7280"/>
      </patternFill>
    </fill>
    <fill>
      <patternFill patternType="solid">
        <fgColor rgb="00F5F3FF"/>
      </patternFill>
    </fill>
    <fill>
      <patternFill patternType="solid">
        <fgColor rgb="005B21B6"/>
      </patternFill>
    </fill>
  </fills>
  <borders count="11">
    <border>
      <left/>
      <right/>
      <top/>
      <bottom/>
      <diagonal/>
    </border>
    <border>
      <left style="thin">
        <color rgb="00C4B5FD"/>
      </left>
      <right style="thin">
        <color rgb="00C4B5FD"/>
      </right>
      <top style="thin">
        <color rgb="00C4B5FD"/>
      </top>
      <bottom style="thin">
        <color rgb="00C4B5FD"/>
      </bottom>
    </border>
    <border>
      <left/>
      <right/>
      <top style="thin">
        <color rgb="00C4B5FD"/>
      </top>
      <bottom/>
      <diagonal/>
    </border>
    <border>
      <left/>
      <right style="thin">
        <color rgb="00C4B5FD"/>
      </right>
      <top style="thin">
        <color rgb="00C4B5FD"/>
      </top>
      <bottom/>
      <diagonal/>
    </border>
    <border>
      <left/>
      <right/>
      <top style="thin">
        <color rgb="00C4B5FD"/>
      </top>
      <bottom style="thin">
        <color rgb="00C4B5FD"/>
      </bottom>
      <diagonal/>
    </border>
    <border>
      <left/>
      <right style="thin">
        <color rgb="00C4B5FD"/>
      </right>
      <top style="thin">
        <color rgb="00C4B5FD"/>
      </top>
      <bottom style="thin">
        <color rgb="00C4B5FD"/>
      </bottom>
      <diagonal/>
    </border>
    <border>
      <left style="thin">
        <color rgb="00C4B5FD"/>
      </left>
      <right/>
      <top/>
      <bottom/>
      <diagonal/>
    </border>
    <border>
      <left/>
      <right style="thin">
        <color rgb="00C4B5FD"/>
      </right>
      <top/>
      <bottom/>
      <diagonal/>
    </border>
    <border>
      <left style="thin">
        <color rgb="00C4B5FD"/>
      </left>
      <right/>
      <top/>
      <bottom style="thin">
        <color rgb="00C4B5FD"/>
      </bottom>
      <diagonal/>
    </border>
    <border>
      <left/>
      <right/>
      <top/>
      <bottom style="thin">
        <color rgb="00C4B5FD"/>
      </bottom>
      <diagonal/>
    </border>
    <border>
      <left/>
      <right style="thin">
        <color rgb="00C4B5FD"/>
      </right>
      <top/>
      <bottom style="thin">
        <color rgb="00C4B5FD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6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6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7" fillId="0" borderId="0" pivotButton="0" quotePrefix="0" xfId="0"/>
    <xf numFmtId="0" fontId="19" fillId="3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164" fontId="19" fillId="0" borderId="1" applyAlignment="1" pivotButton="0" quotePrefix="0" xfId="0">
      <alignment horizontal="center" vertical="center"/>
    </xf>
    <xf numFmtId="1" fontId="20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/>
    </xf>
    <xf numFmtId="165" fontId="5" fillId="2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6" fontId="27" fillId="0" borderId="1" applyAlignment="1" pivotButton="0" quotePrefix="0" xfId="0">
      <alignment horizontal="center" vertical="center"/>
    </xf>
    <xf numFmtId="165" fontId="27" fillId="0" borderId="1" applyAlignment="1" pivotButton="0" quotePrefix="0" xfId="0">
      <alignment horizontal="center" vertical="center"/>
    </xf>
    <xf numFmtId="1" fontId="27" fillId="0" borderId="1" applyAlignment="1" pivotButton="0" quotePrefix="0" xfId="0">
      <alignment horizontal="center" vertical="center"/>
    </xf>
    <xf numFmtId="167" fontId="27" fillId="0" borderId="1" applyAlignment="1" pivotButton="0" quotePrefix="0" xfId="0">
      <alignment horizontal="center" vertical="center"/>
    </xf>
    <xf numFmtId="166" fontId="28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9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맑은 고딕"/>
        <b val="1"/>
        <color rgb="00B91C1C"/>
      </font>
      <fill>
        <patternFill patternType="solid">
          <fgColor rgb="00FEE2E2"/>
        </patternFill>
      </fill>
    </dxf>
    <dxf>
      <font>
        <name val="맑은 고딕"/>
        <b val="1"/>
        <color rgb="00166534"/>
      </font>
      <fill>
        <patternFill patternType="solid">
          <fgColor rgb="00DCFCE7"/>
        </patternFill>
      </fill>
    </dxf>
    <dxf>
      <font>
        <name val="맑은 고딕"/>
        <b val="1"/>
        <color rgb="00B91C1C"/>
        <sz val="10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모의고사 성적표 (2026 고3 심화 모의평가 27차)</t>
        </is>
      </c>
    </row>
    <row r="4" ht="6" customHeight="1"/>
    <row r="5" ht="26" customHeight="1">
      <c r="B5" s="2" t="inlineStr">
        <is>
          <t>이 파일 하나로 한 회차가 끝납니다</t>
        </is>
      </c>
    </row>
    <row r="6" ht="36" customHeight="1">
      <c r="B6" s="3" t="inlineStr">
        <is>
          <t>회차마다 새 파일을 만들지 마시고, 이 파일을 복사해서 이름만 바꿔 쓰십시오.
(예: 모의고사-성적표-28차.xlsx)</t>
        </is>
      </c>
    </row>
    <row r="7" ht="6" customHeight="1"/>
    <row r="8" ht="26" customHeight="1">
      <c r="B8" s="2" t="inlineStr">
        <is>
          <t>1단계 · 회차설정 시트  — 회차마다 여기만 고칩니다</t>
        </is>
      </c>
    </row>
    <row r="9" ht="96" customHeight="1">
      <c r="B9" s="3" t="inlineStr">
        <is>
          <t>· 시험 이름, 시행일, 등급컷을 적습니다.
· 영역 표: 어느 문항이 어느 영역인지 적습니다. (예: 독서론 1~3)
· 문항별 정답·배점: 답지를 보고 그대로 옮겨 적습니다.
· 다 적으면 맨 위 '확인' 칸에 '정상입니다'가 뜹니다. 빨간 글씨가 뜨면 배점 합계나
  영역 표의 시작·끝 번호를 다시 보십시오. (이 확인이 지난 시트의 118% 오류를 막아 줍니다)
· 27차 값은 이미 채워 넣었습니다. 등급컷만 확인해 주십시오.</t>
        </is>
      </c>
    </row>
    <row r="10" ht="6" customHeight="1"/>
    <row r="11" ht="26" customHeight="1">
      <c r="B11" s="2" t="inlineStr">
        <is>
          <t>2단계 · 답안입력 시트  — 학생 OMR을 옮겨 적습니다</t>
        </is>
      </c>
    </row>
    <row r="12" ht="81" customHeight="1">
      <c r="B12" s="3" t="inlineStr">
        <is>
          <t>· 한 줄에 학생 한 명입니다. 이름 / 학년 / 선택과목을 적고 1~45번 답을 적습니다.
· 빠른 방법: '한 번에 입력' 칸에 45자리를 이어서 붙여 넣으면 됩니다.
  (예: 434255332…  45글자) 이 칸이 채워져 있으면 옆의 낱칸은 비워 두어도 됩니다.
· 선택과목에 따라 35~45번은 알아서 다른 정답표로 채점됩니다.
· 맨 오른쪽에 점수와 등급이 바로 나옵니다.</t>
        </is>
      </c>
    </row>
    <row r="13" ht="6" customHeight="1"/>
    <row r="14" ht="26" customHeight="1">
      <c r="B14" s="2" t="inlineStr">
        <is>
          <t>3단계 · 성적표 시트  — 한 명씩 보고 인쇄합니다</t>
        </is>
      </c>
    </row>
    <row r="15" ht="36" customHeight="1">
      <c r="B15" s="3" t="inlineStr">
        <is>
          <t>· 맨 위 이름 칸을 누르면 학생 목록이 펼쳐집니다. 고르면 성적표가 그 학생 것으로 바뀝니다.
· 그대로 인쇄하면 A4 한 장입니다.</t>
        </is>
      </c>
    </row>
    <row r="16" ht="6" customHeight="1"/>
    <row r="17" ht="26" customHeight="1">
      <c r="B17" s="2" t="inlineStr">
        <is>
          <t>4단계 · 성적표(전원) 시트  — 한 번에 모두 인쇄합니다</t>
        </is>
      </c>
    </row>
    <row r="18" ht="51" customHeight="1">
      <c r="B18" s="3" t="inlineStr">
        <is>
          <t>· 답안입력에 적은 학생들의 성적표가 위에서부터 차례로 들어 있습니다.
· 학생마다 쪽이 나뉘어 있어서, 그냥 인쇄하면 전원 성적표가 한 번에 나옵니다.
· 학생이 없는 자리는 빈 쪽이 되니, 인쇄할 쪽 범위만 정해 주시면 됩니다.</t>
        </is>
      </c>
    </row>
    <row r="19" ht="6" customHeight="1"/>
    <row r="20" ht="26" customHeight="1">
      <c r="B20" s="2" t="inlineStr">
        <is>
          <t>5단계 · 분석 시트  — 반 전체를 봅니다</t>
        </is>
      </c>
    </row>
    <row r="21" ht="51" customHeight="1">
      <c r="B21" s="3" t="inlineStr">
        <is>
          <t>· 응시 인원, 평균, 등급 분포
· 문항별 정답률 (어느 문항이 많이 틀렸는지)
· 공통과목 영역별 반 평균 성취도</t>
        </is>
      </c>
    </row>
    <row r="22" ht="6" customHeight="1"/>
    <row r="23" ht="26" customHeight="1">
      <c r="B23" s="2" t="inlineStr">
        <is>
          <t>고치면 안 되는 것</t>
        </is>
      </c>
    </row>
    <row r="24" ht="66" customHeight="1">
      <c r="B24" s="3" t="inlineStr">
        <is>
          <t>· '자동계산'과 '전체채점' 시트는 계산용입니다. 열어 보셔도 되지만 고치지 마십시오.
· 회차설정 시트에서 줄을 새로 끼워 넣거나 지우지 마십시오. 칸의 값만 고쳐 쓰십시오.
  (자리가 밀리면 다른 시트가 엉뚱한 칸을 보게 됩니다)
· 영역 표는 '공통'을 먼저, 그다음에 선택과목 영역을 적습니다.</t>
        </is>
      </c>
    </row>
    <row r="25" ht="6" customHeight="1"/>
    <row r="26" ht="26" customHeight="1">
      <c r="B26" s="2" t="inlineStr">
        <is>
          <t>다음 단계</t>
        </is>
      </c>
    </row>
    <row r="27" ht="36" customHeight="1">
      <c r="B27" s="3" t="inlineStr">
        <is>
          <t>이 파일은 이번 주를 넘기기 위한 것입니다.
학생이 휴대폰으로 답을 직접 넣고 성적표가 바로 나오는 앱(B안)을 이어서 만듭니다.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0"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4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회차 설정 — 회차마다 이 시트만 고치면 됩니다</t>
        </is>
      </c>
    </row>
    <row r="2">
      <c r="A2" s="5" t="inlineStr">
        <is>
          <t>시험 이름</t>
        </is>
      </c>
      <c r="B2" s="6" t="inlineStr">
        <is>
          <t>2026 고3 심화 모의평가 27차</t>
        </is>
      </c>
      <c r="C2" s="7" t="n"/>
      <c r="D2" s="7" t="n"/>
      <c r="E2" s="8" t="n"/>
    </row>
    <row r="3">
      <c r="A3" s="5" t="inlineStr">
        <is>
          <t>시행일</t>
        </is>
      </c>
      <c r="B3" s="9" t="n"/>
      <c r="C3" s="7" t="n"/>
      <c r="D3" s="7" t="n"/>
      <c r="E3" s="8" t="n"/>
      <c r="F3" s="10" t="inlineStr">
        <is>
          <t>← 시험 본 날짜를 적어 주세요</t>
        </is>
      </c>
    </row>
    <row r="4">
      <c r="A4" s="5" t="inlineStr">
        <is>
          <t>확인</t>
        </is>
      </c>
      <c r="B4" s="11">
        <f>IF(AND(SUM($C$32:$C$65)+SUM($G$32:$G$42)=100,SUM($C$32:$C$65)+SUM($K$32:$K$42)=100,MIN(자동계산!$F$4:$F$48)=1,MAX(자동계산!$F$4:$F$48)=1,MIN(자동계산!$G$4:$G$48)=1,MAX(자동계산!$G$4:$G$48)=1),"정상입니다 — 배점 합계 100점, 영역 표가 45문항을 빠짐없이 덮습니다","확인이 필요합니다 — 배점 합계가 100점인지, 영역 표의 시작·끝 번호가 겹치거나 빠지지 않았는지 보세요")</f>
        <v/>
      </c>
      <c r="C4" s="7" t="n"/>
      <c r="D4" s="7" t="n"/>
      <c r="E4" s="7" t="n"/>
      <c r="F4" s="7" t="n"/>
      <c r="G4" s="7" t="n"/>
      <c r="H4" s="8" t="n"/>
    </row>
    <row r="6">
      <c r="A6" s="12" t="inlineStr">
        <is>
          <t>■ 등급컷  (이 점수 이상이면 그 등급입니다)</t>
        </is>
      </c>
    </row>
    <row r="7">
      <c r="A7" s="13" t="inlineStr">
        <is>
          <t>선택과목</t>
        </is>
      </c>
      <c r="B7" s="13" t="inlineStr">
        <is>
          <t>1등급</t>
        </is>
      </c>
      <c r="C7" s="13" t="inlineStr">
        <is>
          <t>2등급</t>
        </is>
      </c>
      <c r="D7" s="13" t="inlineStr">
        <is>
          <t>3등급</t>
        </is>
      </c>
      <c r="E7" s="13" t="inlineStr">
        <is>
          <t>4등급</t>
        </is>
      </c>
    </row>
    <row r="8">
      <c r="A8" s="14" t="inlineStr">
        <is>
          <t>화법과 작문</t>
        </is>
      </c>
      <c r="B8" s="15" t="n">
        <v>90</v>
      </c>
      <c r="C8" s="15" t="n">
        <v>84</v>
      </c>
      <c r="D8" s="15" t="n">
        <v>76</v>
      </c>
      <c r="E8" s="15" t="n">
        <v>62</v>
      </c>
      <c r="F8" s="16" t="inlineStr">
        <is>
          <t>← 지난 26차 값입니다. 이번 회차 등급컷으로 고쳐 주세요</t>
        </is>
      </c>
    </row>
    <row r="9">
      <c r="A9" s="14" t="inlineStr">
        <is>
          <t>언어와 매체</t>
        </is>
      </c>
      <c r="B9" s="15" t="n">
        <v>90</v>
      </c>
      <c r="C9" s="15" t="n">
        <v>84</v>
      </c>
      <c r="D9" s="15" t="n">
        <v>76</v>
      </c>
      <c r="E9" s="15" t="n">
        <v>62</v>
      </c>
    </row>
    <row r="11">
      <c r="A11" s="12" t="inlineStr">
        <is>
          <t>■ 영역 표  — 어느 문항이 어느 영역인지 (공통을 먼저, 그다음 선택과목)</t>
        </is>
      </c>
    </row>
    <row r="12">
      <c r="A12" s="13" t="inlineStr">
        <is>
          <t>분류</t>
        </is>
      </c>
      <c r="B12" s="13" t="inlineStr">
        <is>
          <t>영역</t>
        </is>
      </c>
      <c r="C12" s="13" t="inlineStr">
        <is>
          <t>시작번호</t>
        </is>
      </c>
      <c r="D12" s="13" t="inlineStr">
        <is>
          <t>끝번호</t>
        </is>
      </c>
      <c r="E12" s="13" t="inlineStr">
        <is>
          <t>대상</t>
        </is>
      </c>
      <c r="F12" s="17" t="inlineStr">
        <is>
          <t>화작순번</t>
        </is>
      </c>
      <c r="G12" s="17" t="inlineStr">
        <is>
          <t>언매순번</t>
        </is>
      </c>
      <c r="I12" s="18" t="inlineStr">
        <is>
          <t>대상 칸에는 셋 중 하나를 적습니다:
공통 / 화법과 작문 / 언어와 매체
회색 두 칸은 자동입니다.
고치지 마세요.</t>
        </is>
      </c>
      <c r="J12" s="19" t="n"/>
      <c r="K12" s="20" t="n"/>
    </row>
    <row r="13">
      <c r="A13" s="14" t="inlineStr">
        <is>
          <t>독서</t>
        </is>
      </c>
      <c r="B13" s="14" t="inlineStr">
        <is>
          <t>독서론</t>
        </is>
      </c>
      <c r="C13" s="14" t="n">
        <v>1</v>
      </c>
      <c r="D13" s="14" t="n">
        <v>3</v>
      </c>
      <c r="E13" s="14" t="inlineStr">
        <is>
          <t>공통</t>
        </is>
      </c>
      <c r="F13" s="21">
        <f>IF(OR($E13="공통",$E13="화법과 작문"),COUNTIF($E$13:$E13,"공통")+COUNTIF($E$13:$E13,"화법과 작문"),"")</f>
        <v/>
      </c>
      <c r="G13" s="21">
        <f>IF(OR($E13="공통",$E13="언어와 매체"),COUNTIF($E$13:$E13,"공통")+COUNTIF($E$13:$E13,"언어와 매체"),"")</f>
        <v/>
      </c>
      <c r="I13" s="22" t="n"/>
      <c r="K13" s="23" t="n"/>
    </row>
    <row r="14">
      <c r="A14" s="14" t="inlineStr">
        <is>
          <t>독서</t>
        </is>
      </c>
      <c r="B14" s="14" t="inlineStr">
        <is>
          <t>사회</t>
        </is>
      </c>
      <c r="C14" s="14" t="n">
        <v>4</v>
      </c>
      <c r="D14" s="14" t="n">
        <v>9</v>
      </c>
      <c r="E14" s="14" t="inlineStr">
        <is>
          <t>공통</t>
        </is>
      </c>
      <c r="F14" s="21">
        <f>IF(OR($E14="공통",$E14="화법과 작문"),COUNTIF($E$13:$E14,"공통")+COUNTIF($E$13:$E14,"화법과 작문"),"")</f>
        <v/>
      </c>
      <c r="G14" s="21">
        <f>IF(OR($E14="공통",$E14="언어와 매체"),COUNTIF($E$13:$E14,"공통")+COUNTIF($E$13:$E14,"언어와 매체"),"")</f>
        <v/>
      </c>
      <c r="I14" s="22" t="n"/>
      <c r="K14" s="23" t="n"/>
    </row>
    <row r="15">
      <c r="A15" s="14" t="inlineStr">
        <is>
          <t>독서</t>
        </is>
      </c>
      <c r="B15" s="14" t="inlineStr">
        <is>
          <t>기술</t>
        </is>
      </c>
      <c r="C15" s="14" t="n">
        <v>10</v>
      </c>
      <c r="D15" s="14" t="n">
        <v>13</v>
      </c>
      <c r="E15" s="14" t="inlineStr">
        <is>
          <t>공통</t>
        </is>
      </c>
      <c r="F15" s="21">
        <f>IF(OR($E15="공통",$E15="화법과 작문"),COUNTIF($E$13:$E15,"공통")+COUNTIF($E$13:$E15,"화법과 작문"),"")</f>
        <v/>
      </c>
      <c r="G15" s="21">
        <f>IF(OR($E15="공통",$E15="언어와 매체"),COUNTIF($E$13:$E15,"공통")+COUNTIF($E$13:$E15,"언어와 매체"),"")</f>
        <v/>
      </c>
      <c r="I15" s="22" t="n"/>
      <c r="K15" s="23" t="n"/>
    </row>
    <row r="16">
      <c r="A16" s="14" t="inlineStr">
        <is>
          <t>독서</t>
        </is>
      </c>
      <c r="B16" s="14" t="inlineStr">
        <is>
          <t>인문</t>
        </is>
      </c>
      <c r="C16" s="14" t="n">
        <v>14</v>
      </c>
      <c r="D16" s="14" t="n">
        <v>17</v>
      </c>
      <c r="E16" s="14" t="inlineStr">
        <is>
          <t>공통</t>
        </is>
      </c>
      <c r="F16" s="21">
        <f>IF(OR($E16="공통",$E16="화법과 작문"),COUNTIF($E$13:$E16,"공통")+COUNTIF($E$13:$E16,"화법과 작문"),"")</f>
        <v/>
      </c>
      <c r="G16" s="21">
        <f>IF(OR($E16="공통",$E16="언어와 매체"),COUNTIF($E$13:$E16,"공통")+COUNTIF($E$13:$E16,"언어와 매체"),"")</f>
        <v/>
      </c>
      <c r="I16" s="22" t="n"/>
      <c r="K16" s="23" t="n"/>
    </row>
    <row r="17">
      <c r="A17" s="14" t="inlineStr">
        <is>
          <t>문학</t>
        </is>
      </c>
      <c r="B17" s="14" t="inlineStr">
        <is>
          <t>현대소설</t>
        </is>
      </c>
      <c r="C17" s="14" t="n">
        <v>18</v>
      </c>
      <c r="D17" s="14" t="n">
        <v>21</v>
      </c>
      <c r="E17" s="14" t="inlineStr">
        <is>
          <t>공통</t>
        </is>
      </c>
      <c r="F17" s="21">
        <f>IF(OR($E17="공통",$E17="화법과 작문"),COUNTIF($E$13:$E17,"공통")+COUNTIF($E$13:$E17,"화법과 작문"),"")</f>
        <v/>
      </c>
      <c r="G17" s="21">
        <f>IF(OR($E17="공통",$E17="언어와 매체"),COUNTIF($E$13:$E17,"공통")+COUNTIF($E$13:$E17,"언어와 매체"),"")</f>
        <v/>
      </c>
      <c r="I17" s="24" t="n"/>
      <c r="J17" s="25" t="n"/>
      <c r="K17" s="26" t="n"/>
    </row>
    <row r="18">
      <c r="A18" s="14" t="inlineStr">
        <is>
          <t>문학</t>
        </is>
      </c>
      <c r="B18" s="14" t="inlineStr">
        <is>
          <t>갈래복합</t>
        </is>
      </c>
      <c r="C18" s="14" t="n">
        <v>22</v>
      </c>
      <c r="D18" s="14" t="n">
        <v>27</v>
      </c>
      <c r="E18" s="14" t="inlineStr">
        <is>
          <t>공통</t>
        </is>
      </c>
      <c r="F18" s="21">
        <f>IF(OR($E18="공통",$E18="화법과 작문"),COUNTIF($E$13:$E18,"공통")+COUNTIF($E$13:$E18,"화법과 작문"),"")</f>
        <v/>
      </c>
      <c r="G18" s="21">
        <f>IF(OR($E18="공통",$E18="언어와 매체"),COUNTIF($E$13:$E18,"공통")+COUNTIF($E$13:$E18,"언어와 매체"),"")</f>
        <v/>
      </c>
    </row>
    <row r="19">
      <c r="A19" s="14" t="inlineStr">
        <is>
          <t>문학</t>
        </is>
      </c>
      <c r="B19" s="14" t="inlineStr">
        <is>
          <t>고전소설</t>
        </is>
      </c>
      <c r="C19" s="14" t="n">
        <v>28</v>
      </c>
      <c r="D19" s="14" t="n">
        <v>31</v>
      </c>
      <c r="E19" s="14" t="inlineStr">
        <is>
          <t>공통</t>
        </is>
      </c>
      <c r="F19" s="21">
        <f>IF(OR($E19="공통",$E19="화법과 작문"),COUNTIF($E$13:$E19,"공통")+COUNTIF($E$13:$E19,"화법과 작문"),"")</f>
        <v/>
      </c>
      <c r="G19" s="21">
        <f>IF(OR($E19="공통",$E19="언어와 매체"),COUNTIF($E$13:$E19,"공통")+COUNTIF($E$13:$E19,"언어와 매체"),"")</f>
        <v/>
      </c>
    </row>
    <row r="20">
      <c r="A20" s="14" t="inlineStr">
        <is>
          <t>문학</t>
        </is>
      </c>
      <c r="B20" s="14" t="inlineStr">
        <is>
          <t>고전시가</t>
        </is>
      </c>
      <c r="C20" s="14" t="n">
        <v>32</v>
      </c>
      <c r="D20" s="14" t="n">
        <v>34</v>
      </c>
      <c r="E20" s="14" t="inlineStr">
        <is>
          <t>공통</t>
        </is>
      </c>
      <c r="F20" s="21">
        <f>IF(OR($E20="공통",$E20="화법과 작문"),COUNTIF($E$13:$E20,"공통")+COUNTIF($E$13:$E20,"화법과 작문"),"")</f>
        <v/>
      </c>
      <c r="G20" s="21">
        <f>IF(OR($E20="공통",$E20="언어와 매체"),COUNTIF($E$13:$E20,"공통")+COUNTIF($E$13:$E20,"언어와 매체"),"")</f>
        <v/>
      </c>
    </row>
    <row r="21">
      <c r="A21" s="14" t="inlineStr">
        <is>
          <t>선택과목</t>
        </is>
      </c>
      <c r="B21" s="14" t="inlineStr">
        <is>
          <t>화법</t>
        </is>
      </c>
      <c r="C21" s="14" t="n">
        <v>35</v>
      </c>
      <c r="D21" s="14" t="n">
        <v>37</v>
      </c>
      <c r="E21" s="14" t="inlineStr">
        <is>
          <t>화법과 작문</t>
        </is>
      </c>
      <c r="F21" s="21">
        <f>IF(OR($E21="공통",$E21="화법과 작문"),COUNTIF($E$13:$E21,"공통")+COUNTIF($E$13:$E21,"화법과 작문"),"")</f>
        <v/>
      </c>
      <c r="G21" s="21">
        <f>IF(OR($E21="공통",$E21="언어와 매체"),COUNTIF($E$13:$E21,"공통")+COUNTIF($E$13:$E21,"언어와 매체"),"")</f>
        <v/>
      </c>
    </row>
    <row r="22">
      <c r="A22" s="14" t="inlineStr">
        <is>
          <t>선택과목</t>
        </is>
      </c>
      <c r="B22" s="14" t="inlineStr">
        <is>
          <t>화법+작문</t>
        </is>
      </c>
      <c r="C22" s="14" t="n">
        <v>38</v>
      </c>
      <c r="D22" s="14" t="n">
        <v>42</v>
      </c>
      <c r="E22" s="14" t="inlineStr">
        <is>
          <t>화법과 작문</t>
        </is>
      </c>
      <c r="F22" s="21">
        <f>IF(OR($E22="공통",$E22="화법과 작문"),COUNTIF($E$13:$E22,"공통")+COUNTIF($E$13:$E22,"화법과 작문"),"")</f>
        <v/>
      </c>
      <c r="G22" s="21">
        <f>IF(OR($E22="공통",$E22="언어와 매체"),COUNTIF($E$13:$E22,"공통")+COUNTIF($E$13:$E22,"언어와 매체"),"")</f>
        <v/>
      </c>
    </row>
    <row r="23">
      <c r="A23" s="14" t="inlineStr">
        <is>
          <t>선택과목</t>
        </is>
      </c>
      <c r="B23" s="14" t="inlineStr">
        <is>
          <t>작문</t>
        </is>
      </c>
      <c r="C23" s="14" t="n">
        <v>43</v>
      </c>
      <c r="D23" s="14" t="n">
        <v>45</v>
      </c>
      <c r="E23" s="14" t="inlineStr">
        <is>
          <t>화법과 작문</t>
        </is>
      </c>
      <c r="F23" s="21">
        <f>IF(OR($E23="공통",$E23="화법과 작문"),COUNTIF($E$13:$E23,"공통")+COUNTIF($E$13:$E23,"화법과 작문"),"")</f>
        <v/>
      </c>
      <c r="G23" s="21">
        <f>IF(OR($E23="공통",$E23="언어와 매체"),COUNTIF($E$13:$E23,"공통")+COUNTIF($E$13:$E23,"언어와 매체"),"")</f>
        <v/>
      </c>
    </row>
    <row r="24">
      <c r="A24" s="14" t="inlineStr">
        <is>
          <t>선택과목</t>
        </is>
      </c>
      <c r="B24" s="14" t="inlineStr">
        <is>
          <t>언어</t>
        </is>
      </c>
      <c r="C24" s="14" t="n">
        <v>35</v>
      </c>
      <c r="D24" s="14" t="n">
        <v>39</v>
      </c>
      <c r="E24" s="14" t="inlineStr">
        <is>
          <t>언어와 매체</t>
        </is>
      </c>
      <c r="F24" s="21">
        <f>IF(OR($E24="공통",$E24="화법과 작문"),COUNTIF($E$13:$E24,"공통")+COUNTIF($E$13:$E24,"화법과 작문"),"")</f>
        <v/>
      </c>
      <c r="G24" s="21">
        <f>IF(OR($E24="공통",$E24="언어와 매체"),COUNTIF($E$13:$E24,"공통")+COUNTIF($E$13:$E24,"언어와 매체"),"")</f>
        <v/>
      </c>
    </row>
    <row r="25">
      <c r="A25" s="14" t="inlineStr">
        <is>
          <t>선택과목</t>
        </is>
      </c>
      <c r="B25" s="14" t="inlineStr">
        <is>
          <t>매체</t>
        </is>
      </c>
      <c r="C25" s="14" t="n">
        <v>40</v>
      </c>
      <c r="D25" s="14" t="n">
        <v>45</v>
      </c>
      <c r="E25" s="14" t="inlineStr">
        <is>
          <t>언어와 매체</t>
        </is>
      </c>
      <c r="F25" s="21">
        <f>IF(OR($E25="공통",$E25="화법과 작문"),COUNTIF($E$13:$E25,"공통")+COUNTIF($E$13:$E25,"화법과 작문"),"")</f>
        <v/>
      </c>
      <c r="G25" s="21">
        <f>IF(OR($E25="공통",$E25="언어와 매체"),COUNTIF($E$13:$E25,"공통")+COUNTIF($E$13:$E25,"언어와 매체"),"")</f>
        <v/>
      </c>
    </row>
    <row r="26">
      <c r="A26" s="14" t="n"/>
      <c r="B26" s="14" t="n"/>
      <c r="C26" s="14" t="n"/>
      <c r="D26" s="14" t="n"/>
      <c r="E26" s="14" t="n"/>
      <c r="F26" s="21">
        <f>IF(OR($E26="공통",$E26="화법과 작문"),COUNTIF($E$13:$E26,"공통")+COUNTIF($E$13:$E26,"화법과 작문"),"")</f>
        <v/>
      </c>
      <c r="G26" s="21">
        <f>IF(OR($E26="공통",$E26="언어와 매체"),COUNTIF($E$13:$E26,"공통")+COUNTIF($E$13:$E26,"언어와 매체"),"")</f>
        <v/>
      </c>
    </row>
    <row r="27">
      <c r="A27" s="14" t="n"/>
      <c r="B27" s="14" t="n"/>
      <c r="C27" s="14" t="n"/>
      <c r="D27" s="14" t="n"/>
      <c r="E27" s="14" t="n"/>
      <c r="F27" s="21">
        <f>IF(OR($E27="공통",$E27="화법과 작문"),COUNTIF($E$13:$E27,"공통")+COUNTIF($E$13:$E27,"화법과 작문"),"")</f>
        <v/>
      </c>
      <c r="G27" s="21">
        <f>IF(OR($E27="공통",$E27="언어와 매체"),COUNTIF($E$13:$E27,"공통")+COUNTIF($E$13:$E27,"언어와 매체"),"")</f>
        <v/>
      </c>
    </row>
    <row r="29">
      <c r="A29" s="12" t="inlineStr">
        <is>
          <t>■ 문항별 정답·배점  — 답지를 보고 그대로 옮겨 적습니다</t>
        </is>
      </c>
    </row>
    <row r="30">
      <c r="A30" s="27" t="inlineStr">
        <is>
          <t>공통과목 (1~34번)</t>
        </is>
      </c>
      <c r="B30" s="7" t="n"/>
      <c r="C30" s="8" t="n"/>
      <c r="E30" s="27" t="inlineStr">
        <is>
          <t>선택과목 · 화법과 작문 (35~45번)</t>
        </is>
      </c>
      <c r="F30" s="7" t="n"/>
      <c r="G30" s="8" t="n"/>
      <c r="I30" s="27" t="inlineStr">
        <is>
          <t>선택과목 · 언어와 매체 (35~45번)</t>
        </is>
      </c>
      <c r="J30" s="7" t="n"/>
      <c r="K30" s="8" t="n"/>
    </row>
    <row r="31">
      <c r="A31" s="13" t="inlineStr">
        <is>
          <t>번호</t>
        </is>
      </c>
      <c r="B31" s="13" t="inlineStr">
        <is>
          <t>정답</t>
        </is>
      </c>
      <c r="C31" s="13" t="inlineStr">
        <is>
          <t>배점</t>
        </is>
      </c>
      <c r="E31" s="13" t="inlineStr">
        <is>
          <t>번호</t>
        </is>
      </c>
      <c r="F31" s="13" t="inlineStr">
        <is>
          <t>정답</t>
        </is>
      </c>
      <c r="G31" s="13" t="inlineStr">
        <is>
          <t>배점</t>
        </is>
      </c>
      <c r="I31" s="13" t="inlineStr">
        <is>
          <t>번호</t>
        </is>
      </c>
      <c r="J31" s="13" t="inlineStr">
        <is>
          <t>정답</t>
        </is>
      </c>
      <c r="K31" s="13" t="inlineStr">
        <is>
          <t>배점</t>
        </is>
      </c>
    </row>
    <row r="32">
      <c r="A32" s="28" t="n">
        <v>1</v>
      </c>
      <c r="B32" s="29" t="n">
        <v>4</v>
      </c>
      <c r="C32" s="14" t="n">
        <v>2</v>
      </c>
      <c r="E32" s="28" t="n">
        <v>35</v>
      </c>
      <c r="F32" s="29" t="n">
        <v>1</v>
      </c>
      <c r="G32" s="14" t="n">
        <v>2</v>
      </c>
      <c r="I32" s="28" t="n">
        <v>35</v>
      </c>
      <c r="J32" s="29" t="n">
        <v>2</v>
      </c>
      <c r="K32" s="14" t="n">
        <v>2</v>
      </c>
    </row>
    <row r="33">
      <c r="A33" s="28" t="n">
        <v>2</v>
      </c>
      <c r="B33" s="29" t="n">
        <v>3</v>
      </c>
      <c r="C33" s="14" t="n">
        <v>2</v>
      </c>
      <c r="E33" s="28" t="n">
        <v>36</v>
      </c>
      <c r="F33" s="29" t="n">
        <v>5</v>
      </c>
      <c r="G33" s="14" t="n">
        <v>2</v>
      </c>
      <c r="I33" s="28" t="n">
        <v>36</v>
      </c>
      <c r="J33" s="29" t="n">
        <v>5</v>
      </c>
      <c r="K33" s="14" t="n">
        <v>3</v>
      </c>
    </row>
    <row r="34">
      <c r="A34" s="28" t="n">
        <v>3</v>
      </c>
      <c r="B34" s="29" t="n">
        <v>4</v>
      </c>
      <c r="C34" s="14" t="n">
        <v>3</v>
      </c>
      <c r="E34" s="28" t="n">
        <v>37</v>
      </c>
      <c r="F34" s="29" t="n">
        <v>3</v>
      </c>
      <c r="G34" s="14" t="n">
        <v>2</v>
      </c>
      <c r="I34" s="28" t="n">
        <v>37</v>
      </c>
      <c r="J34" s="29" t="n">
        <v>1</v>
      </c>
      <c r="K34" s="14" t="n">
        <v>2</v>
      </c>
    </row>
    <row r="35">
      <c r="A35" s="28" t="n">
        <v>4</v>
      </c>
      <c r="B35" s="29" t="n">
        <v>4</v>
      </c>
      <c r="C35" s="14" t="n">
        <v>2</v>
      </c>
      <c r="E35" s="28" t="n">
        <v>38</v>
      </c>
      <c r="F35" s="29" t="n">
        <v>4</v>
      </c>
      <c r="G35" s="14" t="n">
        <v>2</v>
      </c>
      <c r="I35" s="28" t="n">
        <v>38</v>
      </c>
      <c r="J35" s="29" t="n">
        <v>4</v>
      </c>
      <c r="K35" s="14" t="n">
        <v>2</v>
      </c>
    </row>
    <row r="36">
      <c r="A36" s="28" t="n">
        <v>5</v>
      </c>
      <c r="B36" s="29" t="n">
        <v>5</v>
      </c>
      <c r="C36" s="14" t="n">
        <v>2</v>
      </c>
      <c r="E36" s="28" t="n">
        <v>39</v>
      </c>
      <c r="F36" s="29" t="n">
        <v>3</v>
      </c>
      <c r="G36" s="14" t="n">
        <v>2</v>
      </c>
      <c r="I36" s="28" t="n">
        <v>39</v>
      </c>
      <c r="J36" s="29" t="n">
        <v>2</v>
      </c>
      <c r="K36" s="14" t="n">
        <v>2</v>
      </c>
    </row>
    <row r="37">
      <c r="A37" s="28" t="n">
        <v>6</v>
      </c>
      <c r="B37" s="29" t="n">
        <v>2</v>
      </c>
      <c r="C37" s="14" t="n">
        <v>2</v>
      </c>
      <c r="E37" s="28" t="n">
        <v>40</v>
      </c>
      <c r="F37" s="29" t="n">
        <v>5</v>
      </c>
      <c r="G37" s="14" t="n">
        <v>3</v>
      </c>
      <c r="I37" s="28" t="n">
        <v>40</v>
      </c>
      <c r="J37" s="29" t="n">
        <v>3</v>
      </c>
      <c r="K37" s="14" t="n">
        <v>2</v>
      </c>
    </row>
    <row r="38">
      <c r="A38" s="28" t="n">
        <v>7</v>
      </c>
      <c r="B38" s="29" t="n">
        <v>3</v>
      </c>
      <c r="C38" s="14" t="n">
        <v>2</v>
      </c>
      <c r="E38" s="28" t="n">
        <v>41</v>
      </c>
      <c r="F38" s="29" t="n">
        <v>4</v>
      </c>
      <c r="G38" s="14" t="n">
        <v>2</v>
      </c>
      <c r="I38" s="28" t="n">
        <v>41</v>
      </c>
      <c r="J38" s="29" t="n">
        <v>4</v>
      </c>
      <c r="K38" s="14" t="n">
        <v>2</v>
      </c>
    </row>
    <row r="39">
      <c r="A39" s="28" t="n">
        <v>8</v>
      </c>
      <c r="B39" s="29" t="n">
        <v>3</v>
      </c>
      <c r="C39" s="14" t="n">
        <v>3</v>
      </c>
      <c r="E39" s="28" t="n">
        <v>42</v>
      </c>
      <c r="F39" s="29" t="n">
        <v>1</v>
      </c>
      <c r="G39" s="14" t="n">
        <v>2</v>
      </c>
      <c r="I39" s="28" t="n">
        <v>42</v>
      </c>
      <c r="J39" s="29" t="n">
        <v>1</v>
      </c>
      <c r="K39" s="14" t="n">
        <v>2</v>
      </c>
    </row>
    <row r="40">
      <c r="A40" s="28" t="n">
        <v>9</v>
      </c>
      <c r="B40" s="29" t="n">
        <v>1</v>
      </c>
      <c r="C40" s="14" t="n">
        <v>2</v>
      </c>
      <c r="E40" s="28" t="n">
        <v>43</v>
      </c>
      <c r="F40" s="29" t="n">
        <v>2</v>
      </c>
      <c r="G40" s="14" t="n">
        <v>2</v>
      </c>
      <c r="I40" s="28" t="n">
        <v>43</v>
      </c>
      <c r="J40" s="29" t="n">
        <v>5</v>
      </c>
      <c r="K40" s="14" t="n">
        <v>3</v>
      </c>
    </row>
    <row r="41">
      <c r="A41" s="28" t="n">
        <v>10</v>
      </c>
      <c r="B41" s="29" t="n">
        <v>3</v>
      </c>
      <c r="C41" s="14" t="n">
        <v>2</v>
      </c>
      <c r="E41" s="28" t="n">
        <v>44</v>
      </c>
      <c r="F41" s="29" t="n">
        <v>5</v>
      </c>
      <c r="G41" s="14" t="n">
        <v>2</v>
      </c>
      <c r="I41" s="28" t="n">
        <v>44</v>
      </c>
      <c r="J41" s="29" t="n">
        <v>4</v>
      </c>
      <c r="K41" s="14" t="n">
        <v>2</v>
      </c>
    </row>
    <row r="42">
      <c r="A42" s="28" t="n">
        <v>11</v>
      </c>
      <c r="B42" s="29" t="n">
        <v>1</v>
      </c>
      <c r="C42" s="14" t="n">
        <v>2</v>
      </c>
      <c r="E42" s="28" t="n">
        <v>45</v>
      </c>
      <c r="F42" s="29" t="n">
        <v>4</v>
      </c>
      <c r="G42" s="14" t="n">
        <v>3</v>
      </c>
      <c r="I42" s="28" t="n">
        <v>45</v>
      </c>
      <c r="J42" s="29" t="n">
        <v>5</v>
      </c>
      <c r="K42" s="14" t="n">
        <v>2</v>
      </c>
    </row>
    <row r="43">
      <c r="A43" s="28" t="n">
        <v>12</v>
      </c>
      <c r="B43" s="29" t="n">
        <v>3</v>
      </c>
      <c r="C43" s="14" t="n">
        <v>3</v>
      </c>
      <c r="E43" s="5" t="inlineStr">
        <is>
          <t>배점 합계</t>
        </is>
      </c>
      <c r="F43" s="8" t="n"/>
      <c r="G43" s="5">
        <f>SUM(G32:G42)</f>
        <v/>
      </c>
      <c r="I43" s="5" t="inlineStr">
        <is>
          <t>배점 합계</t>
        </is>
      </c>
      <c r="J43" s="8" t="n"/>
      <c r="K43" s="5">
        <f>SUM(K32:K42)</f>
        <v/>
      </c>
    </row>
    <row r="44">
      <c r="A44" s="28" t="n">
        <v>13</v>
      </c>
      <c r="B44" s="29" t="n">
        <v>4</v>
      </c>
      <c r="C44" s="14" t="n">
        <v>2</v>
      </c>
    </row>
    <row r="45">
      <c r="A45" s="28" t="n">
        <v>14</v>
      </c>
      <c r="B45" s="29" t="n">
        <v>2</v>
      </c>
      <c r="C45" s="14" t="n">
        <v>2</v>
      </c>
    </row>
    <row r="46">
      <c r="A46" s="28" t="n">
        <v>15</v>
      </c>
      <c r="B46" s="29" t="n">
        <v>5</v>
      </c>
      <c r="C46" s="14" t="n">
        <v>2</v>
      </c>
    </row>
    <row r="47">
      <c r="A47" s="28" t="n">
        <v>16</v>
      </c>
      <c r="B47" s="29" t="n">
        <v>3</v>
      </c>
      <c r="C47" s="14" t="n">
        <v>2</v>
      </c>
    </row>
    <row r="48">
      <c r="A48" s="28" t="n">
        <v>17</v>
      </c>
      <c r="B48" s="29" t="n">
        <v>4</v>
      </c>
      <c r="C48" s="14" t="n">
        <v>3</v>
      </c>
    </row>
    <row r="49">
      <c r="A49" s="28" t="n">
        <v>18</v>
      </c>
      <c r="B49" s="29" t="n">
        <v>2</v>
      </c>
      <c r="C49" s="14" t="n">
        <v>2</v>
      </c>
    </row>
    <row r="50">
      <c r="A50" s="28" t="n">
        <v>19</v>
      </c>
      <c r="B50" s="29" t="n">
        <v>5</v>
      </c>
      <c r="C50" s="14" t="n">
        <v>2</v>
      </c>
    </row>
    <row r="51">
      <c r="A51" s="28" t="n">
        <v>20</v>
      </c>
      <c r="B51" s="29" t="n">
        <v>2</v>
      </c>
      <c r="C51" s="14" t="n">
        <v>2</v>
      </c>
    </row>
    <row r="52">
      <c r="A52" s="28" t="n">
        <v>21</v>
      </c>
      <c r="B52" s="29" t="n">
        <v>4</v>
      </c>
      <c r="C52" s="14" t="n">
        <v>3</v>
      </c>
    </row>
    <row r="53">
      <c r="A53" s="28" t="n">
        <v>22</v>
      </c>
      <c r="B53" s="29" t="n">
        <v>2</v>
      </c>
      <c r="C53" s="14" t="n">
        <v>2</v>
      </c>
    </row>
    <row r="54">
      <c r="A54" s="28" t="n">
        <v>23</v>
      </c>
      <c r="B54" s="29" t="n">
        <v>5</v>
      </c>
      <c r="C54" s="14" t="n">
        <v>2</v>
      </c>
    </row>
    <row r="55">
      <c r="A55" s="28" t="n">
        <v>24</v>
      </c>
      <c r="B55" s="29" t="n">
        <v>4</v>
      </c>
      <c r="C55" s="14" t="n">
        <v>3</v>
      </c>
    </row>
    <row r="56">
      <c r="A56" s="28" t="n">
        <v>25</v>
      </c>
      <c r="B56" s="29" t="n">
        <v>3</v>
      </c>
      <c r="C56" s="14" t="n">
        <v>2</v>
      </c>
    </row>
    <row r="57">
      <c r="A57" s="28" t="n">
        <v>26</v>
      </c>
      <c r="B57" s="29" t="n">
        <v>4</v>
      </c>
      <c r="C57" s="14" t="n">
        <v>2</v>
      </c>
    </row>
    <row r="58">
      <c r="A58" s="28" t="n">
        <v>27</v>
      </c>
      <c r="B58" s="29" t="n">
        <v>5</v>
      </c>
      <c r="C58" s="14" t="n">
        <v>2</v>
      </c>
    </row>
    <row r="59">
      <c r="A59" s="28" t="n">
        <v>28</v>
      </c>
      <c r="B59" s="29" t="n">
        <v>5</v>
      </c>
      <c r="C59" s="14" t="n">
        <v>2</v>
      </c>
    </row>
    <row r="60">
      <c r="A60" s="28" t="n">
        <v>29</v>
      </c>
      <c r="B60" s="29" t="n">
        <v>1</v>
      </c>
      <c r="C60" s="14" t="n">
        <v>2</v>
      </c>
    </row>
    <row r="61">
      <c r="A61" s="28" t="n">
        <v>30</v>
      </c>
      <c r="B61" s="29" t="n">
        <v>2</v>
      </c>
      <c r="C61" s="14" t="n">
        <v>2</v>
      </c>
    </row>
    <row r="62">
      <c r="A62" s="28" t="n">
        <v>31</v>
      </c>
      <c r="B62" s="29" t="n">
        <v>3</v>
      </c>
      <c r="C62" s="14" t="n">
        <v>3</v>
      </c>
    </row>
    <row r="63">
      <c r="A63" s="28" t="n">
        <v>32</v>
      </c>
      <c r="B63" s="29" t="n">
        <v>5</v>
      </c>
      <c r="C63" s="14" t="n">
        <v>2</v>
      </c>
    </row>
    <row r="64">
      <c r="A64" s="28" t="n">
        <v>33</v>
      </c>
      <c r="B64" s="29" t="n">
        <v>2</v>
      </c>
      <c r="C64" s="14" t="n">
        <v>2</v>
      </c>
    </row>
    <row r="65">
      <c r="A65" s="28" t="n">
        <v>34</v>
      </c>
      <c r="B65" s="29" t="n">
        <v>5</v>
      </c>
      <c r="C65" s="14" t="n">
        <v>3</v>
      </c>
    </row>
    <row r="66">
      <c r="A66" s="5" t="inlineStr">
        <is>
          <t>배점 합계</t>
        </is>
      </c>
      <c r="B66" s="8" t="n"/>
      <c r="C66" s="5">
        <f>SUM(C32:C65)</f>
        <v/>
      </c>
    </row>
  </sheetData>
  <mergeCells count="15">
    <mergeCell ref="E43:F43"/>
    <mergeCell ref="I43:J43"/>
    <mergeCell ref="E30:G30"/>
    <mergeCell ref="B4:H4"/>
    <mergeCell ref="A1:F1"/>
    <mergeCell ref="F8:I9"/>
    <mergeCell ref="A29:K29"/>
    <mergeCell ref="A66:B66"/>
    <mergeCell ref="I12:K17"/>
    <mergeCell ref="B3:E3"/>
    <mergeCell ref="B2:E2"/>
    <mergeCell ref="A30:C30"/>
    <mergeCell ref="A6:E6"/>
    <mergeCell ref="A11:G11"/>
    <mergeCell ref="I30:K30"/>
  </mergeCells>
  <conditionalFormatting sqref="B4">
    <cfRule type="cellIs" priority="1" operator="beginsWith" dxfId="0">
      <formula>"확인"</formula>
    </cfRule>
    <cfRule type="cellIs" priority="2" operator="beginsWith" dxfId="1">
      <formula>"정상"</formula>
    </cfRule>
  </conditionalFormatting>
  <dataValidations count="2">
    <dataValidation sqref="E13:E27" showDropDown="0" showInputMessage="0" showErrorMessage="0" allowBlank="1" type="list">
      <formula1>"공통,화법과 작문,언어와 매체"</formula1>
    </dataValidation>
    <dataValidation sqref="B32:B65 F32:F42 J32:J42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30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7" customWidth="1" min="50" max="50"/>
    <col width="8" customWidth="1" min="51" max="51"/>
  </cols>
  <sheetData>
    <row r="1">
      <c r="A1" s="4" t="inlineStr">
        <is>
          <t>학생 답안 입력  —  한 줄에 학생 한 명</t>
        </is>
      </c>
      <c r="F1" s="30" t="inlineStr">
        <is>
          <t>빠른 방법: '한 번에 입력' 칸에 45자리를 이어 붙여 넣으세요 (예 434255332…). 그 칸이 채워져 있으면 옆의 낱칸은 비워 두어도 됩니다.</t>
        </is>
      </c>
    </row>
    <row r="2">
      <c r="A2" s="31" t="inlineStr">
        <is>
          <t>이름</t>
        </is>
      </c>
      <c r="B2" s="31" t="inlineStr">
        <is>
          <t>학년</t>
        </is>
      </c>
      <c r="C2" s="31" t="inlineStr">
        <is>
          <t>선택과목</t>
        </is>
      </c>
      <c r="D2" s="31" t="inlineStr">
        <is>
          <t>한 번에 입력 (45자리)</t>
        </is>
      </c>
      <c r="E2" s="32" t="n">
        <v>1</v>
      </c>
      <c r="F2" s="32" t="n">
        <v>2</v>
      </c>
      <c r="G2" s="32" t="n">
        <v>3</v>
      </c>
      <c r="H2" s="32" t="n">
        <v>4</v>
      </c>
      <c r="I2" s="32" t="n">
        <v>5</v>
      </c>
      <c r="J2" s="32" t="n">
        <v>6</v>
      </c>
      <c r="K2" s="32" t="n">
        <v>7</v>
      </c>
      <c r="L2" s="32" t="n">
        <v>8</v>
      </c>
      <c r="M2" s="32" t="n">
        <v>9</v>
      </c>
      <c r="N2" s="32" t="n">
        <v>10</v>
      </c>
      <c r="O2" s="32" t="n">
        <v>11</v>
      </c>
      <c r="P2" s="32" t="n">
        <v>12</v>
      </c>
      <c r="Q2" s="32" t="n">
        <v>13</v>
      </c>
      <c r="R2" s="32" t="n">
        <v>14</v>
      </c>
      <c r="S2" s="32" t="n">
        <v>15</v>
      </c>
      <c r="T2" s="32" t="n">
        <v>16</v>
      </c>
      <c r="U2" s="32" t="n">
        <v>17</v>
      </c>
      <c r="V2" s="32" t="n">
        <v>18</v>
      </c>
      <c r="W2" s="32" t="n">
        <v>19</v>
      </c>
      <c r="X2" s="32" t="n">
        <v>20</v>
      </c>
      <c r="Y2" s="32" t="n">
        <v>21</v>
      </c>
      <c r="Z2" s="32" t="n">
        <v>22</v>
      </c>
      <c r="AA2" s="32" t="n">
        <v>23</v>
      </c>
      <c r="AB2" s="32" t="n">
        <v>24</v>
      </c>
      <c r="AC2" s="32" t="n">
        <v>25</v>
      </c>
      <c r="AD2" s="32" t="n">
        <v>26</v>
      </c>
      <c r="AE2" s="32" t="n">
        <v>27</v>
      </c>
      <c r="AF2" s="32" t="n">
        <v>28</v>
      </c>
      <c r="AG2" s="32" t="n">
        <v>29</v>
      </c>
      <c r="AH2" s="32" t="n">
        <v>30</v>
      </c>
      <c r="AI2" s="32" t="n">
        <v>31</v>
      </c>
      <c r="AJ2" s="32" t="n">
        <v>32</v>
      </c>
      <c r="AK2" s="32" t="n">
        <v>33</v>
      </c>
      <c r="AL2" s="32" t="n">
        <v>34</v>
      </c>
      <c r="AM2" s="32" t="n">
        <v>35</v>
      </c>
      <c r="AN2" s="32" t="n">
        <v>36</v>
      </c>
      <c r="AO2" s="32" t="n">
        <v>37</v>
      </c>
      <c r="AP2" s="32" t="n">
        <v>38</v>
      </c>
      <c r="AQ2" s="32" t="n">
        <v>39</v>
      </c>
      <c r="AR2" s="32" t="n">
        <v>40</v>
      </c>
      <c r="AS2" s="32" t="n">
        <v>41</v>
      </c>
      <c r="AT2" s="32" t="n">
        <v>42</v>
      </c>
      <c r="AU2" s="32" t="n">
        <v>43</v>
      </c>
      <c r="AV2" s="32" t="n">
        <v>44</v>
      </c>
      <c r="AW2" s="32" t="n">
        <v>45</v>
      </c>
      <c r="AX2" s="13" t="inlineStr">
        <is>
          <t>점수</t>
        </is>
      </c>
      <c r="AY2" s="13" t="inlineStr">
        <is>
          <t>등급</t>
        </is>
      </c>
    </row>
    <row r="3">
      <c r="A3" s="33" t="n"/>
      <c r="B3" s="33" t="n"/>
      <c r="C3" s="33" t="n"/>
      <c r="D3" s="34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  <c r="AK3" s="33" t="n"/>
      <c r="AL3" s="33" t="n"/>
      <c r="AM3" s="33" t="n"/>
      <c r="AN3" s="33" t="n"/>
      <c r="AO3" s="33" t="n"/>
      <c r="AP3" s="33" t="n"/>
      <c r="AQ3" s="33" t="n"/>
      <c r="AR3" s="33" t="n"/>
      <c r="AS3" s="33" t="n"/>
      <c r="AT3" s="33" t="n"/>
      <c r="AU3" s="33" t="n"/>
      <c r="AV3" s="33" t="n"/>
      <c r="AW3" s="33" t="n"/>
      <c r="AX3" s="35">
        <f>IF($A3="","",전체채점!$C3)</f>
        <v/>
      </c>
      <c r="AY3" s="35">
        <f>IF($A3="","",전체채점!$D3)</f>
        <v/>
      </c>
    </row>
    <row r="4">
      <c r="A4" s="33" t="n"/>
      <c r="B4" s="33" t="n"/>
      <c r="C4" s="33" t="n"/>
      <c r="D4" s="34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  <c r="AE4" s="33" t="n"/>
      <c r="AF4" s="33" t="n"/>
      <c r="AG4" s="33" t="n"/>
      <c r="AH4" s="33" t="n"/>
      <c r="AI4" s="33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  <c r="AW4" s="33" t="n"/>
      <c r="AX4" s="35">
        <f>IF($A4="","",전체채점!$C4)</f>
        <v/>
      </c>
      <c r="AY4" s="35">
        <f>IF($A4="","",전체채점!$D4)</f>
        <v/>
      </c>
    </row>
    <row r="5">
      <c r="A5" s="33" t="n"/>
      <c r="B5" s="33" t="n"/>
      <c r="C5" s="33" t="n"/>
      <c r="D5" s="34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 t="n"/>
      <c r="AW5" s="33" t="n"/>
      <c r="AX5" s="35">
        <f>IF($A5="","",전체채점!$C5)</f>
        <v/>
      </c>
      <c r="AY5" s="35">
        <f>IF($A5="","",전체채점!$D5)</f>
        <v/>
      </c>
    </row>
    <row r="6">
      <c r="A6" s="33" t="n"/>
      <c r="B6" s="33" t="n"/>
      <c r="C6" s="33" t="n"/>
      <c r="D6" s="34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  <c r="AM6" s="33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 t="n"/>
      <c r="AW6" s="33" t="n"/>
      <c r="AX6" s="35">
        <f>IF($A6="","",전체채점!$C6)</f>
        <v/>
      </c>
      <c r="AY6" s="35">
        <f>IF($A6="","",전체채점!$D6)</f>
        <v/>
      </c>
    </row>
    <row r="7">
      <c r="A7" s="33" t="n"/>
      <c r="B7" s="33" t="n"/>
      <c r="C7" s="33" t="n"/>
      <c r="D7" s="34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5">
        <f>IF($A7="","",전체채점!$C7)</f>
        <v/>
      </c>
      <c r="AY7" s="35">
        <f>IF($A7="","",전체채점!$D7)</f>
        <v/>
      </c>
    </row>
    <row r="8">
      <c r="A8" s="33" t="n"/>
      <c r="B8" s="33" t="n"/>
      <c r="C8" s="33" t="n"/>
      <c r="D8" s="34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5">
        <f>IF($A8="","",전체채점!$C8)</f>
        <v/>
      </c>
      <c r="AY8" s="35">
        <f>IF($A8="","",전체채점!$D8)</f>
        <v/>
      </c>
    </row>
    <row r="9">
      <c r="A9" s="33" t="n"/>
      <c r="B9" s="33" t="n"/>
      <c r="C9" s="33" t="n"/>
      <c r="D9" s="34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5">
        <f>IF($A9="","",전체채점!$C9)</f>
        <v/>
      </c>
      <c r="AY9" s="35">
        <f>IF($A9="","",전체채점!$D9)</f>
        <v/>
      </c>
    </row>
    <row r="10">
      <c r="A10" s="33" t="n"/>
      <c r="B10" s="33" t="n"/>
      <c r="C10" s="33" t="n"/>
      <c r="D10" s="34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33" t="n"/>
      <c r="AI10" s="33" t="n"/>
      <c r="AJ10" s="33" t="n"/>
      <c r="AK10" s="33" t="n"/>
      <c r="AL10" s="33" t="n"/>
      <c r="AM10" s="33" t="n"/>
      <c r="AN10" s="33" t="n"/>
      <c r="AO10" s="33" t="n"/>
      <c r="AP10" s="33" t="n"/>
      <c r="AQ10" s="33" t="n"/>
      <c r="AR10" s="33" t="n"/>
      <c r="AS10" s="33" t="n"/>
      <c r="AT10" s="33" t="n"/>
      <c r="AU10" s="33" t="n"/>
      <c r="AV10" s="33" t="n"/>
      <c r="AW10" s="33" t="n"/>
      <c r="AX10" s="35">
        <f>IF($A10="","",전체채점!$C10)</f>
        <v/>
      </c>
      <c r="AY10" s="35">
        <f>IF($A10="","",전체채점!$D10)</f>
        <v/>
      </c>
    </row>
    <row r="11">
      <c r="A11" s="33" t="n"/>
      <c r="B11" s="33" t="n"/>
      <c r="C11" s="33" t="n"/>
      <c r="D11" s="34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3" t="n"/>
      <c r="AX11" s="35">
        <f>IF($A11="","",전체채점!$C11)</f>
        <v/>
      </c>
      <c r="AY11" s="35">
        <f>IF($A11="","",전체채점!$D11)</f>
        <v/>
      </c>
    </row>
    <row r="12">
      <c r="A12" s="33" t="n"/>
      <c r="B12" s="33" t="n"/>
      <c r="C12" s="33" t="n"/>
      <c r="D12" s="34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5">
        <f>IF($A12="","",전체채점!$C12)</f>
        <v/>
      </c>
      <c r="AY12" s="35">
        <f>IF($A12="","",전체채점!$D12)</f>
        <v/>
      </c>
    </row>
    <row r="13">
      <c r="A13" s="33" t="n"/>
      <c r="B13" s="33" t="n"/>
      <c r="C13" s="33" t="n"/>
      <c r="D13" s="34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5">
        <f>IF($A13="","",전체채점!$C13)</f>
        <v/>
      </c>
      <c r="AY13" s="35">
        <f>IF($A13="","",전체채점!$D13)</f>
        <v/>
      </c>
    </row>
    <row r="14">
      <c r="A14" s="33" t="n"/>
      <c r="B14" s="33" t="n"/>
      <c r="C14" s="33" t="n"/>
      <c r="D14" s="34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5">
        <f>IF($A14="","",전체채점!$C14)</f>
        <v/>
      </c>
      <c r="AY14" s="35">
        <f>IF($A14="","",전체채점!$D14)</f>
        <v/>
      </c>
    </row>
    <row r="15">
      <c r="A15" s="33" t="n"/>
      <c r="B15" s="33" t="n"/>
      <c r="C15" s="33" t="n"/>
      <c r="D15" s="34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5">
        <f>IF($A15="","",전체채점!$C15)</f>
        <v/>
      </c>
      <c r="AY15" s="35">
        <f>IF($A15="","",전체채점!$D15)</f>
        <v/>
      </c>
    </row>
    <row r="16">
      <c r="A16" s="33" t="n"/>
      <c r="B16" s="33" t="n"/>
      <c r="C16" s="33" t="n"/>
      <c r="D16" s="34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5">
        <f>IF($A16="","",전체채점!$C16)</f>
        <v/>
      </c>
      <c r="AY16" s="35">
        <f>IF($A16="","",전체채점!$D16)</f>
        <v/>
      </c>
    </row>
    <row r="17">
      <c r="A17" s="33" t="n"/>
      <c r="B17" s="33" t="n"/>
      <c r="C17" s="33" t="n"/>
      <c r="D17" s="34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5">
        <f>IF($A17="","",전체채점!$C17)</f>
        <v/>
      </c>
      <c r="AY17" s="35">
        <f>IF($A17="","",전체채점!$D17)</f>
        <v/>
      </c>
    </row>
    <row r="18">
      <c r="A18" s="33" t="n"/>
      <c r="B18" s="33" t="n"/>
      <c r="C18" s="33" t="n"/>
      <c r="D18" s="34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5">
        <f>IF($A18="","",전체채점!$C18)</f>
        <v/>
      </c>
      <c r="AY18" s="35">
        <f>IF($A18="","",전체채점!$D18)</f>
        <v/>
      </c>
    </row>
    <row r="19">
      <c r="A19" s="33" t="n"/>
      <c r="B19" s="33" t="n"/>
      <c r="C19" s="33" t="n"/>
      <c r="D19" s="34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5">
        <f>IF($A19="","",전체채점!$C19)</f>
        <v/>
      </c>
      <c r="AY19" s="35">
        <f>IF($A19="","",전체채점!$D19)</f>
        <v/>
      </c>
    </row>
    <row r="20">
      <c r="A20" s="33" t="n"/>
      <c r="B20" s="33" t="n"/>
      <c r="C20" s="33" t="n"/>
      <c r="D20" s="34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5">
        <f>IF($A20="","",전체채점!$C20)</f>
        <v/>
      </c>
      <c r="AY20" s="35">
        <f>IF($A20="","",전체채점!$D20)</f>
        <v/>
      </c>
    </row>
    <row r="21">
      <c r="A21" s="33" t="n"/>
      <c r="B21" s="33" t="n"/>
      <c r="C21" s="33" t="n"/>
      <c r="D21" s="34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33" t="n"/>
      <c r="AI21" s="33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5">
        <f>IF($A21="","",전체채점!$C21)</f>
        <v/>
      </c>
      <c r="AY21" s="35">
        <f>IF($A21="","",전체채점!$D21)</f>
        <v/>
      </c>
    </row>
    <row r="22">
      <c r="A22" s="33" t="n"/>
      <c r="B22" s="33" t="n"/>
      <c r="C22" s="33" t="n"/>
      <c r="D22" s="34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33" t="n"/>
      <c r="AF22" s="33" t="n"/>
      <c r="AG22" s="33" t="n"/>
      <c r="AH22" s="33" t="n"/>
      <c r="AI22" s="33" t="n"/>
      <c r="AJ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5">
        <f>IF($A22="","",전체채점!$C22)</f>
        <v/>
      </c>
      <c r="AY22" s="35">
        <f>IF($A22="","",전체채점!$D22)</f>
        <v/>
      </c>
    </row>
    <row r="23">
      <c r="A23" s="33" t="n"/>
      <c r="B23" s="33" t="n"/>
      <c r="C23" s="33" t="n"/>
      <c r="D23" s="34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  <c r="AE23" s="33" t="n"/>
      <c r="AF23" s="33" t="n"/>
      <c r="AG23" s="33" t="n"/>
      <c r="AH23" s="33" t="n"/>
      <c r="AI23" s="33" t="n"/>
      <c r="AJ23" s="33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5">
        <f>IF($A23="","",전체채점!$C23)</f>
        <v/>
      </c>
      <c r="AY23" s="35">
        <f>IF($A23="","",전체채점!$D23)</f>
        <v/>
      </c>
    </row>
    <row r="24">
      <c r="A24" s="33" t="n"/>
      <c r="B24" s="33" t="n"/>
      <c r="C24" s="33" t="n"/>
      <c r="D24" s="34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H24" s="33" t="n"/>
      <c r="AI24" s="33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5">
        <f>IF($A24="","",전체채점!$C24)</f>
        <v/>
      </c>
      <c r="AY24" s="35">
        <f>IF($A24="","",전체채점!$D24)</f>
        <v/>
      </c>
    </row>
    <row r="25">
      <c r="A25" s="33" t="n"/>
      <c r="B25" s="33" t="n"/>
      <c r="C25" s="33" t="n"/>
      <c r="D25" s="34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5">
        <f>IF($A25="","",전체채점!$C25)</f>
        <v/>
      </c>
      <c r="AY25" s="35">
        <f>IF($A25="","",전체채점!$D25)</f>
        <v/>
      </c>
    </row>
    <row r="26">
      <c r="A26" s="33" t="n"/>
      <c r="B26" s="33" t="n"/>
      <c r="C26" s="33" t="n"/>
      <c r="D26" s="34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33" t="n"/>
      <c r="AC26" s="33" t="n"/>
      <c r="AD26" s="33" t="n"/>
      <c r="AE26" s="33" t="n"/>
      <c r="AF26" s="33" t="n"/>
      <c r="AG26" s="33" t="n"/>
      <c r="AH26" s="33" t="n"/>
      <c r="AI26" s="33" t="n"/>
      <c r="AJ26" s="33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5">
        <f>IF($A26="","",전체채점!$C26)</f>
        <v/>
      </c>
      <c r="AY26" s="35">
        <f>IF($A26="","",전체채점!$D26)</f>
        <v/>
      </c>
    </row>
    <row r="27">
      <c r="A27" s="33" t="n"/>
      <c r="B27" s="33" t="n"/>
      <c r="C27" s="33" t="n"/>
      <c r="D27" s="34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5">
        <f>IF($A27="","",전체채점!$C27)</f>
        <v/>
      </c>
      <c r="AY27" s="35">
        <f>IF($A27="","",전체채점!$D27)</f>
        <v/>
      </c>
    </row>
    <row r="28">
      <c r="A28" s="33" t="n"/>
      <c r="B28" s="33" t="n"/>
      <c r="C28" s="33" t="n"/>
      <c r="D28" s="34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3" t="n"/>
      <c r="AG28" s="33" t="n"/>
      <c r="AH28" s="33" t="n"/>
      <c r="AI28" s="33" t="n"/>
      <c r="AJ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5">
        <f>IF($A28="","",전체채점!$C28)</f>
        <v/>
      </c>
      <c r="AY28" s="35">
        <f>IF($A28="","",전체채점!$D28)</f>
        <v/>
      </c>
    </row>
    <row r="29">
      <c r="A29" s="33" t="n"/>
      <c r="B29" s="33" t="n"/>
      <c r="C29" s="33" t="n"/>
      <c r="D29" s="34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33" t="n"/>
      <c r="AH29" s="33" t="n"/>
      <c r="AI29" s="33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5">
        <f>IF($A29="","",전체채점!$C29)</f>
        <v/>
      </c>
      <c r="AY29" s="35">
        <f>IF($A29="","",전체채점!$D29)</f>
        <v/>
      </c>
    </row>
    <row r="30">
      <c r="A30" s="33" t="n"/>
      <c r="B30" s="33" t="n"/>
      <c r="C30" s="33" t="n"/>
      <c r="D30" s="34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n"/>
      <c r="AF30" s="33" t="n"/>
      <c r="AG30" s="33" t="n"/>
      <c r="AH30" s="33" t="n"/>
      <c r="AI30" s="33" t="n"/>
      <c r="AJ30" s="33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5">
        <f>IF($A30="","",전체채점!$C30)</f>
        <v/>
      </c>
      <c r="AY30" s="35">
        <f>IF($A30="","",전체채점!$D30)</f>
        <v/>
      </c>
    </row>
    <row r="31">
      <c r="A31" s="33" t="n"/>
      <c r="B31" s="33" t="n"/>
      <c r="C31" s="33" t="n"/>
      <c r="D31" s="34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5">
        <f>IF($A31="","",전체채점!$C31)</f>
        <v/>
      </c>
      <c r="AY31" s="35">
        <f>IF($A31="","",전체채점!$D31)</f>
        <v/>
      </c>
    </row>
    <row r="32">
      <c r="A32" s="33" t="n"/>
      <c r="B32" s="33" t="n"/>
      <c r="C32" s="33" t="n"/>
      <c r="D32" s="34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H32" s="33" t="n"/>
      <c r="AI32" s="33" t="n"/>
      <c r="AJ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5">
        <f>IF($A32="","",전체채점!$C32)</f>
        <v/>
      </c>
      <c r="AY32" s="35">
        <f>IF($A32="","",전체채점!$D32)</f>
        <v/>
      </c>
    </row>
    <row r="33">
      <c r="A33" s="33" t="n"/>
      <c r="B33" s="33" t="n"/>
      <c r="C33" s="33" t="n"/>
      <c r="D33" s="34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5">
        <f>IF($A33="","",전체채점!$C33)</f>
        <v/>
      </c>
      <c r="AY33" s="35">
        <f>IF($A33="","",전체채점!$D33)</f>
        <v/>
      </c>
    </row>
    <row r="34">
      <c r="A34" s="33" t="n"/>
      <c r="B34" s="33" t="n"/>
      <c r="C34" s="33" t="n"/>
      <c r="D34" s="34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  <c r="AE34" s="33" t="n"/>
      <c r="AF34" s="33" t="n"/>
      <c r="AG34" s="33" t="n"/>
      <c r="AH34" s="33" t="n"/>
      <c r="AI34" s="33" t="n"/>
      <c r="AJ34" s="33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5">
        <f>IF($A34="","",전체채점!$C34)</f>
        <v/>
      </c>
      <c r="AY34" s="35">
        <f>IF($A34="","",전체채점!$D34)</f>
        <v/>
      </c>
    </row>
    <row r="35">
      <c r="A35" s="33" t="n"/>
      <c r="B35" s="33" t="n"/>
      <c r="C35" s="33" t="n"/>
      <c r="D35" s="34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33" t="n"/>
      <c r="AC35" s="33" t="n"/>
      <c r="AD35" s="33" t="n"/>
      <c r="AE35" s="33" t="n"/>
      <c r="AF35" s="33" t="n"/>
      <c r="AG35" s="33" t="n"/>
      <c r="AH35" s="33" t="n"/>
      <c r="AI35" s="33" t="n"/>
      <c r="AJ35" s="33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5">
        <f>IF($A35="","",전체채점!$C35)</f>
        <v/>
      </c>
      <c r="AY35" s="35">
        <f>IF($A35="","",전체채점!$D35)</f>
        <v/>
      </c>
    </row>
    <row r="36">
      <c r="A36" s="33" t="n"/>
      <c r="B36" s="33" t="n"/>
      <c r="C36" s="33" t="n"/>
      <c r="D36" s="34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  <c r="AE36" s="33" t="n"/>
      <c r="AF36" s="33" t="n"/>
      <c r="AG36" s="33" t="n"/>
      <c r="AH36" s="33" t="n"/>
      <c r="AI36" s="33" t="n"/>
      <c r="AJ36" s="33" t="n"/>
      <c r="AK36" s="33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  <c r="AX36" s="35">
        <f>IF($A36="","",전체채점!$C36)</f>
        <v/>
      </c>
      <c r="AY36" s="35">
        <f>IF($A36="","",전체채점!$D36)</f>
        <v/>
      </c>
    </row>
    <row r="37">
      <c r="A37" s="33" t="n"/>
      <c r="B37" s="33" t="n"/>
      <c r="C37" s="33" t="n"/>
      <c r="D37" s="34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5">
        <f>IF($A37="","",전체채점!$C37)</f>
        <v/>
      </c>
      <c r="AY37" s="35">
        <f>IF($A37="","",전체채점!$D37)</f>
        <v/>
      </c>
    </row>
    <row r="38">
      <c r="A38" s="33" t="n"/>
      <c r="B38" s="33" t="n"/>
      <c r="C38" s="33" t="n"/>
      <c r="D38" s="34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  <c r="AC38" s="33" t="n"/>
      <c r="AD38" s="33" t="n"/>
      <c r="AE38" s="33" t="n"/>
      <c r="AF38" s="33" t="n"/>
      <c r="AG38" s="33" t="n"/>
      <c r="AH38" s="33" t="n"/>
      <c r="AI38" s="33" t="n"/>
      <c r="AJ38" s="33" t="n"/>
      <c r="AK38" s="33" t="n"/>
      <c r="AL38" s="33" t="n"/>
      <c r="AM38" s="33" t="n"/>
      <c r="AN38" s="33" t="n"/>
      <c r="AO38" s="33" t="n"/>
      <c r="AP38" s="33" t="n"/>
      <c r="AQ38" s="33" t="n"/>
      <c r="AR38" s="33" t="n"/>
      <c r="AS38" s="33" t="n"/>
      <c r="AT38" s="33" t="n"/>
      <c r="AU38" s="33" t="n"/>
      <c r="AV38" s="33" t="n"/>
      <c r="AW38" s="33" t="n"/>
      <c r="AX38" s="35">
        <f>IF($A38="","",전체채점!$C38)</f>
        <v/>
      </c>
      <c r="AY38" s="35">
        <f>IF($A38="","",전체채점!$D38)</f>
        <v/>
      </c>
    </row>
    <row r="39">
      <c r="A39" s="33" t="n"/>
      <c r="B39" s="33" t="n"/>
      <c r="C39" s="33" t="n"/>
      <c r="D39" s="34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  <c r="AC39" s="33" t="n"/>
      <c r="AD39" s="33" t="n"/>
      <c r="AE39" s="33" t="n"/>
      <c r="AF39" s="33" t="n"/>
      <c r="AG39" s="33" t="n"/>
      <c r="AH39" s="33" t="n"/>
      <c r="AI39" s="33" t="n"/>
      <c r="AJ39" s="33" t="n"/>
      <c r="AK39" s="33" t="n"/>
      <c r="AL39" s="33" t="n"/>
      <c r="AM39" s="33" t="n"/>
      <c r="AN39" s="33" t="n"/>
      <c r="AO39" s="33" t="n"/>
      <c r="AP39" s="33" t="n"/>
      <c r="AQ39" s="33" t="n"/>
      <c r="AR39" s="33" t="n"/>
      <c r="AS39" s="33" t="n"/>
      <c r="AT39" s="33" t="n"/>
      <c r="AU39" s="33" t="n"/>
      <c r="AV39" s="33" t="n"/>
      <c r="AW39" s="33" t="n"/>
      <c r="AX39" s="35">
        <f>IF($A39="","",전체채점!$C39)</f>
        <v/>
      </c>
      <c r="AY39" s="35">
        <f>IF($A39="","",전체채점!$D39)</f>
        <v/>
      </c>
    </row>
    <row r="40">
      <c r="A40" s="33" t="n"/>
      <c r="B40" s="33" t="n"/>
      <c r="C40" s="33" t="n"/>
      <c r="D40" s="34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33" t="n"/>
      <c r="AC40" s="33" t="n"/>
      <c r="AD40" s="33" t="n"/>
      <c r="AE40" s="33" t="n"/>
      <c r="AF40" s="33" t="n"/>
      <c r="AG40" s="33" t="n"/>
      <c r="AH40" s="33" t="n"/>
      <c r="AI40" s="33" t="n"/>
      <c r="AJ40" s="33" t="n"/>
      <c r="AK40" s="33" t="n"/>
      <c r="AL40" s="33" t="n"/>
      <c r="AM40" s="33" t="n"/>
      <c r="AN40" s="33" t="n"/>
      <c r="AO40" s="33" t="n"/>
      <c r="AP40" s="33" t="n"/>
      <c r="AQ40" s="33" t="n"/>
      <c r="AR40" s="33" t="n"/>
      <c r="AS40" s="33" t="n"/>
      <c r="AT40" s="33" t="n"/>
      <c r="AU40" s="33" t="n"/>
      <c r="AV40" s="33" t="n"/>
      <c r="AW40" s="33" t="n"/>
      <c r="AX40" s="35">
        <f>IF($A40="","",전체채점!$C40)</f>
        <v/>
      </c>
      <c r="AY40" s="35">
        <f>IF($A40="","",전체채점!$D40)</f>
        <v/>
      </c>
    </row>
    <row r="41">
      <c r="A41" s="33" t="n"/>
      <c r="B41" s="33" t="n"/>
      <c r="C41" s="33" t="n"/>
      <c r="D41" s="34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  <c r="AC41" s="33" t="n"/>
      <c r="AD41" s="33" t="n"/>
      <c r="AE41" s="33" t="n"/>
      <c r="AF41" s="33" t="n"/>
      <c r="AG41" s="33" t="n"/>
      <c r="AH41" s="33" t="n"/>
      <c r="AI41" s="33" t="n"/>
      <c r="AJ41" s="33" t="n"/>
      <c r="AK41" s="33" t="n"/>
      <c r="AL41" s="33" t="n"/>
      <c r="AM41" s="33" t="n"/>
      <c r="AN41" s="33" t="n"/>
      <c r="AO41" s="33" t="n"/>
      <c r="AP41" s="33" t="n"/>
      <c r="AQ41" s="33" t="n"/>
      <c r="AR41" s="33" t="n"/>
      <c r="AS41" s="33" t="n"/>
      <c r="AT41" s="33" t="n"/>
      <c r="AU41" s="33" t="n"/>
      <c r="AV41" s="33" t="n"/>
      <c r="AW41" s="33" t="n"/>
      <c r="AX41" s="35">
        <f>IF($A41="","",전체채점!$C41)</f>
        <v/>
      </c>
      <c r="AY41" s="35">
        <f>IF($A41="","",전체채점!$D41)</f>
        <v/>
      </c>
    </row>
    <row r="42">
      <c r="A42" s="33" t="n"/>
      <c r="B42" s="33" t="n"/>
      <c r="C42" s="33" t="n"/>
      <c r="D42" s="34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3" t="n"/>
      <c r="AG42" s="33" t="n"/>
      <c r="AH42" s="33" t="n"/>
      <c r="AI42" s="33" t="n"/>
      <c r="AJ42" s="33" t="n"/>
      <c r="AK42" s="33" t="n"/>
      <c r="AL42" s="33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  <c r="AW42" s="33" t="n"/>
      <c r="AX42" s="35">
        <f>IF($A42="","",전체채점!$C42)</f>
        <v/>
      </c>
      <c r="AY42" s="35">
        <f>IF($A42="","",전체채점!$D42)</f>
        <v/>
      </c>
    </row>
    <row r="43">
      <c r="A43" s="33" t="n"/>
      <c r="B43" s="33" t="n"/>
      <c r="C43" s="33" t="n"/>
      <c r="D43" s="34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33" t="n"/>
      <c r="AC43" s="33" t="n"/>
      <c r="AD43" s="33" t="n"/>
      <c r="AE43" s="33" t="n"/>
      <c r="AF43" s="33" t="n"/>
      <c r="AG43" s="33" t="n"/>
      <c r="AH43" s="33" t="n"/>
      <c r="AI43" s="33" t="n"/>
      <c r="AJ43" s="33" t="n"/>
      <c r="AK43" s="33" t="n"/>
      <c r="AL43" s="33" t="n"/>
      <c r="AM43" s="33" t="n"/>
      <c r="AN43" s="33" t="n"/>
      <c r="AO43" s="33" t="n"/>
      <c r="AP43" s="33" t="n"/>
      <c r="AQ43" s="33" t="n"/>
      <c r="AR43" s="33" t="n"/>
      <c r="AS43" s="33" t="n"/>
      <c r="AT43" s="33" t="n"/>
      <c r="AU43" s="33" t="n"/>
      <c r="AV43" s="33" t="n"/>
      <c r="AW43" s="33" t="n"/>
      <c r="AX43" s="35">
        <f>IF($A43="","",전체채점!$C43)</f>
        <v/>
      </c>
      <c r="AY43" s="35">
        <f>IF($A43="","",전체채점!$D43)</f>
        <v/>
      </c>
    </row>
    <row r="44">
      <c r="A44" s="33" t="n"/>
      <c r="B44" s="33" t="n"/>
      <c r="C44" s="33" t="n"/>
      <c r="D44" s="34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33" t="n"/>
      <c r="AC44" s="33" t="n"/>
      <c r="AD44" s="33" t="n"/>
      <c r="AE44" s="33" t="n"/>
      <c r="AF44" s="33" t="n"/>
      <c r="AG44" s="33" t="n"/>
      <c r="AH44" s="33" t="n"/>
      <c r="AI44" s="33" t="n"/>
      <c r="AJ44" s="33" t="n"/>
      <c r="AK44" s="33" t="n"/>
      <c r="AL44" s="33" t="n"/>
      <c r="AM44" s="33" t="n"/>
      <c r="AN44" s="33" t="n"/>
      <c r="AO44" s="33" t="n"/>
      <c r="AP44" s="33" t="n"/>
      <c r="AQ44" s="33" t="n"/>
      <c r="AR44" s="33" t="n"/>
      <c r="AS44" s="33" t="n"/>
      <c r="AT44" s="33" t="n"/>
      <c r="AU44" s="33" t="n"/>
      <c r="AV44" s="33" t="n"/>
      <c r="AW44" s="33" t="n"/>
      <c r="AX44" s="35">
        <f>IF($A44="","",전체채점!$C44)</f>
        <v/>
      </c>
      <c r="AY44" s="35">
        <f>IF($A44="","",전체채점!$D44)</f>
        <v/>
      </c>
    </row>
    <row r="45">
      <c r="A45" s="33" t="n"/>
      <c r="B45" s="33" t="n"/>
      <c r="C45" s="33" t="n"/>
      <c r="D45" s="34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33" t="n"/>
      <c r="AC45" s="33" t="n"/>
      <c r="AD45" s="33" t="n"/>
      <c r="AE45" s="33" t="n"/>
      <c r="AF45" s="33" t="n"/>
      <c r="AG45" s="33" t="n"/>
      <c r="AH45" s="33" t="n"/>
      <c r="AI45" s="33" t="n"/>
      <c r="AJ45" s="33" t="n"/>
      <c r="AK45" s="33" t="n"/>
      <c r="AL45" s="33" t="n"/>
      <c r="AM45" s="33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  <c r="AW45" s="33" t="n"/>
      <c r="AX45" s="35">
        <f>IF($A45="","",전체채점!$C45)</f>
        <v/>
      </c>
      <c r="AY45" s="35">
        <f>IF($A45="","",전체채점!$D45)</f>
        <v/>
      </c>
    </row>
    <row r="46">
      <c r="A46" s="33" t="n"/>
      <c r="B46" s="33" t="n"/>
      <c r="C46" s="33" t="n"/>
      <c r="D46" s="34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33" t="n"/>
      <c r="AC46" s="33" t="n"/>
      <c r="AD46" s="33" t="n"/>
      <c r="AE46" s="33" t="n"/>
      <c r="AF46" s="33" t="n"/>
      <c r="AG46" s="33" t="n"/>
      <c r="AH46" s="33" t="n"/>
      <c r="AI46" s="33" t="n"/>
      <c r="AJ46" s="33" t="n"/>
      <c r="AK46" s="33" t="n"/>
      <c r="AL46" s="33" t="n"/>
      <c r="AM46" s="33" t="n"/>
      <c r="AN46" s="33" t="n"/>
      <c r="AO46" s="33" t="n"/>
      <c r="AP46" s="33" t="n"/>
      <c r="AQ46" s="33" t="n"/>
      <c r="AR46" s="33" t="n"/>
      <c r="AS46" s="33" t="n"/>
      <c r="AT46" s="33" t="n"/>
      <c r="AU46" s="33" t="n"/>
      <c r="AV46" s="33" t="n"/>
      <c r="AW46" s="33" t="n"/>
      <c r="AX46" s="35">
        <f>IF($A46="","",전체채점!$C46)</f>
        <v/>
      </c>
      <c r="AY46" s="35">
        <f>IF($A46="","",전체채점!$D46)</f>
        <v/>
      </c>
    </row>
    <row r="47">
      <c r="A47" s="33" t="n"/>
      <c r="B47" s="33" t="n"/>
      <c r="C47" s="33" t="n"/>
      <c r="D47" s="34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33" t="n"/>
      <c r="AC47" s="33" t="n"/>
      <c r="AD47" s="33" t="n"/>
      <c r="AE47" s="33" t="n"/>
      <c r="AF47" s="33" t="n"/>
      <c r="AG47" s="33" t="n"/>
      <c r="AH47" s="33" t="n"/>
      <c r="AI47" s="33" t="n"/>
      <c r="AJ47" s="33" t="n"/>
      <c r="AK47" s="33" t="n"/>
      <c r="AL47" s="33" t="n"/>
      <c r="AM47" s="33" t="n"/>
      <c r="AN47" s="33" t="n"/>
      <c r="AO47" s="33" t="n"/>
      <c r="AP47" s="33" t="n"/>
      <c r="AQ47" s="33" t="n"/>
      <c r="AR47" s="33" t="n"/>
      <c r="AS47" s="33" t="n"/>
      <c r="AT47" s="33" t="n"/>
      <c r="AU47" s="33" t="n"/>
      <c r="AV47" s="33" t="n"/>
      <c r="AW47" s="33" t="n"/>
      <c r="AX47" s="35">
        <f>IF($A47="","",전체채점!$C47)</f>
        <v/>
      </c>
      <c r="AY47" s="35">
        <f>IF($A47="","",전체채점!$D47)</f>
        <v/>
      </c>
    </row>
    <row r="48">
      <c r="A48" s="33" t="n"/>
      <c r="B48" s="33" t="n"/>
      <c r="C48" s="33" t="n"/>
      <c r="D48" s="34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33" t="n"/>
      <c r="AC48" s="33" t="n"/>
      <c r="AD48" s="33" t="n"/>
      <c r="AE48" s="33" t="n"/>
      <c r="AF48" s="33" t="n"/>
      <c r="AG48" s="33" t="n"/>
      <c r="AH48" s="33" t="n"/>
      <c r="AI48" s="33" t="n"/>
      <c r="AJ48" s="33" t="n"/>
      <c r="AK48" s="33" t="n"/>
      <c r="AL48" s="33" t="n"/>
      <c r="AM48" s="33" t="n"/>
      <c r="AN48" s="33" t="n"/>
      <c r="AO48" s="33" t="n"/>
      <c r="AP48" s="33" t="n"/>
      <c r="AQ48" s="33" t="n"/>
      <c r="AR48" s="33" t="n"/>
      <c r="AS48" s="33" t="n"/>
      <c r="AT48" s="33" t="n"/>
      <c r="AU48" s="33" t="n"/>
      <c r="AV48" s="33" t="n"/>
      <c r="AW48" s="33" t="n"/>
      <c r="AX48" s="35">
        <f>IF($A48="","",전체채점!$C48)</f>
        <v/>
      </c>
      <c r="AY48" s="35">
        <f>IF($A48="","",전체채점!$D48)</f>
        <v/>
      </c>
    </row>
    <row r="49">
      <c r="A49" s="33" t="n"/>
      <c r="B49" s="33" t="n"/>
      <c r="C49" s="33" t="n"/>
      <c r="D49" s="34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33" t="n"/>
      <c r="AC49" s="33" t="n"/>
      <c r="AD49" s="33" t="n"/>
      <c r="AE49" s="33" t="n"/>
      <c r="AF49" s="33" t="n"/>
      <c r="AG49" s="33" t="n"/>
      <c r="AH49" s="33" t="n"/>
      <c r="AI49" s="33" t="n"/>
      <c r="AJ49" s="33" t="n"/>
      <c r="AK49" s="33" t="n"/>
      <c r="AL49" s="33" t="n"/>
      <c r="AM49" s="33" t="n"/>
      <c r="AN49" s="33" t="n"/>
      <c r="AO49" s="33" t="n"/>
      <c r="AP49" s="33" t="n"/>
      <c r="AQ49" s="33" t="n"/>
      <c r="AR49" s="33" t="n"/>
      <c r="AS49" s="33" t="n"/>
      <c r="AT49" s="33" t="n"/>
      <c r="AU49" s="33" t="n"/>
      <c r="AV49" s="33" t="n"/>
      <c r="AW49" s="33" t="n"/>
      <c r="AX49" s="35">
        <f>IF($A49="","",전체채점!$C49)</f>
        <v/>
      </c>
      <c r="AY49" s="35">
        <f>IF($A49="","",전체채점!$D49)</f>
        <v/>
      </c>
    </row>
    <row r="50">
      <c r="A50" s="33" t="n"/>
      <c r="B50" s="33" t="n"/>
      <c r="C50" s="33" t="n"/>
      <c r="D50" s="34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33" t="n"/>
      <c r="AC50" s="33" t="n"/>
      <c r="AD50" s="33" t="n"/>
      <c r="AE50" s="33" t="n"/>
      <c r="AF50" s="33" t="n"/>
      <c r="AG50" s="33" t="n"/>
      <c r="AH50" s="33" t="n"/>
      <c r="AI50" s="33" t="n"/>
      <c r="AJ50" s="33" t="n"/>
      <c r="AK50" s="33" t="n"/>
      <c r="AL50" s="33" t="n"/>
      <c r="AM50" s="33" t="n"/>
      <c r="AN50" s="33" t="n"/>
      <c r="AO50" s="33" t="n"/>
      <c r="AP50" s="33" t="n"/>
      <c r="AQ50" s="33" t="n"/>
      <c r="AR50" s="33" t="n"/>
      <c r="AS50" s="33" t="n"/>
      <c r="AT50" s="33" t="n"/>
      <c r="AU50" s="33" t="n"/>
      <c r="AV50" s="33" t="n"/>
      <c r="AW50" s="33" t="n"/>
      <c r="AX50" s="35">
        <f>IF($A50="","",전체채점!$C50)</f>
        <v/>
      </c>
      <c r="AY50" s="35">
        <f>IF($A50="","",전체채점!$D50)</f>
        <v/>
      </c>
    </row>
    <row r="51">
      <c r="A51" s="33" t="n"/>
      <c r="B51" s="33" t="n"/>
      <c r="C51" s="33" t="n"/>
      <c r="D51" s="34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  <c r="AB51" s="33" t="n"/>
      <c r="AC51" s="33" t="n"/>
      <c r="AD51" s="33" t="n"/>
      <c r="AE51" s="33" t="n"/>
      <c r="AF51" s="33" t="n"/>
      <c r="AG51" s="33" t="n"/>
      <c r="AH51" s="33" t="n"/>
      <c r="AI51" s="33" t="n"/>
      <c r="AJ51" s="33" t="n"/>
      <c r="AK51" s="33" t="n"/>
      <c r="AL51" s="33" t="n"/>
      <c r="AM51" s="33" t="n"/>
      <c r="AN51" s="33" t="n"/>
      <c r="AO51" s="33" t="n"/>
      <c r="AP51" s="33" t="n"/>
      <c r="AQ51" s="33" t="n"/>
      <c r="AR51" s="33" t="n"/>
      <c r="AS51" s="33" t="n"/>
      <c r="AT51" s="33" t="n"/>
      <c r="AU51" s="33" t="n"/>
      <c r="AV51" s="33" t="n"/>
      <c r="AW51" s="33" t="n"/>
      <c r="AX51" s="35">
        <f>IF($A51="","",전체채점!$C51)</f>
        <v/>
      </c>
      <c r="AY51" s="35">
        <f>IF($A51="","",전체채점!$D51)</f>
        <v/>
      </c>
    </row>
    <row r="52">
      <c r="A52" s="33" t="n"/>
      <c r="B52" s="33" t="n"/>
      <c r="C52" s="33" t="n"/>
      <c r="D52" s="34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  <c r="AE52" s="33" t="n"/>
      <c r="AF52" s="33" t="n"/>
      <c r="AG52" s="33" t="n"/>
      <c r="AH52" s="33" t="n"/>
      <c r="AI52" s="33" t="n"/>
      <c r="AJ52" s="33" t="n"/>
      <c r="AK52" s="33" t="n"/>
      <c r="AL52" s="33" t="n"/>
      <c r="AM52" s="33" t="n"/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  <c r="AW52" s="33" t="n"/>
      <c r="AX52" s="35">
        <f>IF($A52="","",전체채점!$C52)</f>
        <v/>
      </c>
      <c r="AY52" s="35">
        <f>IF($A52="","",전체채점!$D52)</f>
        <v/>
      </c>
    </row>
    <row r="53">
      <c r="A53" s="33" t="n"/>
      <c r="B53" s="33" t="n"/>
      <c r="C53" s="33" t="n"/>
      <c r="D53" s="3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  <c r="AB53" s="33" t="n"/>
      <c r="AC53" s="33" t="n"/>
      <c r="AD53" s="33" t="n"/>
      <c r="AE53" s="33" t="n"/>
      <c r="AF53" s="33" t="n"/>
      <c r="AG53" s="33" t="n"/>
      <c r="AH53" s="33" t="n"/>
      <c r="AI53" s="33" t="n"/>
      <c r="AJ53" s="33" t="n"/>
      <c r="AK53" s="33" t="n"/>
      <c r="AL53" s="33" t="n"/>
      <c r="AM53" s="33" t="n"/>
      <c r="AN53" s="33" t="n"/>
      <c r="AO53" s="33" t="n"/>
      <c r="AP53" s="33" t="n"/>
      <c r="AQ53" s="33" t="n"/>
      <c r="AR53" s="33" t="n"/>
      <c r="AS53" s="33" t="n"/>
      <c r="AT53" s="33" t="n"/>
      <c r="AU53" s="33" t="n"/>
      <c r="AV53" s="33" t="n"/>
      <c r="AW53" s="33" t="n"/>
      <c r="AX53" s="35">
        <f>IF($A53="","",전체채점!$C53)</f>
        <v/>
      </c>
      <c r="AY53" s="35">
        <f>IF($A53="","",전체채점!$D53)</f>
        <v/>
      </c>
    </row>
    <row r="54">
      <c r="A54" s="33" t="n"/>
      <c r="B54" s="33" t="n"/>
      <c r="C54" s="33" t="n"/>
      <c r="D54" s="3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  <c r="AC54" s="33" t="n"/>
      <c r="AD54" s="33" t="n"/>
      <c r="AE54" s="33" t="n"/>
      <c r="AF54" s="33" t="n"/>
      <c r="AG54" s="33" t="n"/>
      <c r="AH54" s="33" t="n"/>
      <c r="AI54" s="33" t="n"/>
      <c r="AJ54" s="33" t="n"/>
      <c r="AK54" s="33" t="n"/>
      <c r="AL54" s="33" t="n"/>
      <c r="AM54" s="33" t="n"/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  <c r="AW54" s="33" t="n"/>
      <c r="AX54" s="35">
        <f>IF($A54="","",전체채점!$C54)</f>
        <v/>
      </c>
      <c r="AY54" s="35">
        <f>IF($A54="","",전체채점!$D54)</f>
        <v/>
      </c>
    </row>
    <row r="55">
      <c r="A55" s="33" t="n"/>
      <c r="B55" s="33" t="n"/>
      <c r="C55" s="33" t="n"/>
      <c r="D55" s="3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33" t="n"/>
      <c r="AE55" s="33" t="n"/>
      <c r="AF55" s="33" t="n"/>
      <c r="AG55" s="33" t="n"/>
      <c r="AH55" s="33" t="n"/>
      <c r="AI55" s="33" t="n"/>
      <c r="AJ55" s="33" t="n"/>
      <c r="AK55" s="33" t="n"/>
      <c r="AL55" s="33" t="n"/>
      <c r="AM55" s="33" t="n"/>
      <c r="AN55" s="33" t="n"/>
      <c r="AO55" s="33" t="n"/>
      <c r="AP55" s="33" t="n"/>
      <c r="AQ55" s="33" t="n"/>
      <c r="AR55" s="33" t="n"/>
      <c r="AS55" s="33" t="n"/>
      <c r="AT55" s="33" t="n"/>
      <c r="AU55" s="33" t="n"/>
      <c r="AV55" s="33" t="n"/>
      <c r="AW55" s="33" t="n"/>
      <c r="AX55" s="35">
        <f>IF($A55="","",전체채점!$C55)</f>
        <v/>
      </c>
      <c r="AY55" s="35">
        <f>IF($A55="","",전체채점!$D55)</f>
        <v/>
      </c>
    </row>
    <row r="56">
      <c r="A56" s="33" t="n"/>
      <c r="B56" s="33" t="n"/>
      <c r="C56" s="33" t="n"/>
      <c r="D56" s="34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33" t="n"/>
      <c r="AC56" s="33" t="n"/>
      <c r="AD56" s="33" t="n"/>
      <c r="AE56" s="33" t="n"/>
      <c r="AF56" s="33" t="n"/>
      <c r="AG56" s="33" t="n"/>
      <c r="AH56" s="33" t="n"/>
      <c r="AI56" s="33" t="n"/>
      <c r="AJ56" s="33" t="n"/>
      <c r="AK56" s="33" t="n"/>
      <c r="AL56" s="33" t="n"/>
      <c r="AM56" s="33" t="n"/>
      <c r="AN56" s="33" t="n"/>
      <c r="AO56" s="33" t="n"/>
      <c r="AP56" s="33" t="n"/>
      <c r="AQ56" s="33" t="n"/>
      <c r="AR56" s="33" t="n"/>
      <c r="AS56" s="33" t="n"/>
      <c r="AT56" s="33" t="n"/>
      <c r="AU56" s="33" t="n"/>
      <c r="AV56" s="33" t="n"/>
      <c r="AW56" s="33" t="n"/>
      <c r="AX56" s="35">
        <f>IF($A56="","",전체채점!$C56)</f>
        <v/>
      </c>
      <c r="AY56" s="35">
        <f>IF($A56="","",전체채점!$D56)</f>
        <v/>
      </c>
    </row>
    <row r="57">
      <c r="A57" s="33" t="n"/>
      <c r="B57" s="33" t="n"/>
      <c r="C57" s="33" t="n"/>
      <c r="D57" s="34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  <c r="AB57" s="33" t="n"/>
      <c r="AC57" s="33" t="n"/>
      <c r="AD57" s="33" t="n"/>
      <c r="AE57" s="33" t="n"/>
      <c r="AF57" s="33" t="n"/>
      <c r="AG57" s="33" t="n"/>
      <c r="AH57" s="33" t="n"/>
      <c r="AI57" s="33" t="n"/>
      <c r="AJ57" s="33" t="n"/>
      <c r="AK57" s="33" t="n"/>
      <c r="AL57" s="33" t="n"/>
      <c r="AM57" s="33" t="n"/>
      <c r="AN57" s="33" t="n"/>
      <c r="AO57" s="33" t="n"/>
      <c r="AP57" s="33" t="n"/>
      <c r="AQ57" s="33" t="n"/>
      <c r="AR57" s="33" t="n"/>
      <c r="AS57" s="33" t="n"/>
      <c r="AT57" s="33" t="n"/>
      <c r="AU57" s="33" t="n"/>
      <c r="AV57" s="33" t="n"/>
      <c r="AW57" s="33" t="n"/>
      <c r="AX57" s="35">
        <f>IF($A57="","",전체채점!$C57)</f>
        <v/>
      </c>
      <c r="AY57" s="35">
        <f>IF($A57="","",전체채점!$D57)</f>
        <v/>
      </c>
    </row>
    <row r="58">
      <c r="A58" s="33" t="n"/>
      <c r="B58" s="33" t="n"/>
      <c r="C58" s="33" t="n"/>
      <c r="D58" s="34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  <c r="AB58" s="33" t="n"/>
      <c r="AC58" s="33" t="n"/>
      <c r="AD58" s="33" t="n"/>
      <c r="AE58" s="33" t="n"/>
      <c r="AF58" s="33" t="n"/>
      <c r="AG58" s="33" t="n"/>
      <c r="AH58" s="33" t="n"/>
      <c r="AI58" s="33" t="n"/>
      <c r="AJ58" s="33" t="n"/>
      <c r="AK58" s="33" t="n"/>
      <c r="AL58" s="33" t="n"/>
      <c r="AM58" s="33" t="n"/>
      <c r="AN58" s="33" t="n"/>
      <c r="AO58" s="33" t="n"/>
      <c r="AP58" s="33" t="n"/>
      <c r="AQ58" s="33" t="n"/>
      <c r="AR58" s="33" t="n"/>
      <c r="AS58" s="33" t="n"/>
      <c r="AT58" s="33" t="n"/>
      <c r="AU58" s="33" t="n"/>
      <c r="AV58" s="33" t="n"/>
      <c r="AW58" s="33" t="n"/>
      <c r="AX58" s="35">
        <f>IF($A58="","",전체채점!$C58)</f>
        <v/>
      </c>
      <c r="AY58" s="35">
        <f>IF($A58="","",전체채점!$D58)</f>
        <v/>
      </c>
    </row>
    <row r="59">
      <c r="A59" s="33" t="n"/>
      <c r="B59" s="33" t="n"/>
      <c r="C59" s="33" t="n"/>
      <c r="D59" s="34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  <c r="AB59" s="33" t="n"/>
      <c r="AC59" s="33" t="n"/>
      <c r="AD59" s="33" t="n"/>
      <c r="AE59" s="33" t="n"/>
      <c r="AF59" s="33" t="n"/>
      <c r="AG59" s="33" t="n"/>
      <c r="AH59" s="33" t="n"/>
      <c r="AI59" s="33" t="n"/>
      <c r="AJ59" s="33" t="n"/>
      <c r="AK59" s="33" t="n"/>
      <c r="AL59" s="33" t="n"/>
      <c r="AM59" s="33" t="n"/>
      <c r="AN59" s="33" t="n"/>
      <c r="AO59" s="33" t="n"/>
      <c r="AP59" s="33" t="n"/>
      <c r="AQ59" s="33" t="n"/>
      <c r="AR59" s="33" t="n"/>
      <c r="AS59" s="33" t="n"/>
      <c r="AT59" s="33" t="n"/>
      <c r="AU59" s="33" t="n"/>
      <c r="AV59" s="33" t="n"/>
      <c r="AW59" s="33" t="n"/>
      <c r="AX59" s="35">
        <f>IF($A59="","",전체채점!$C59)</f>
        <v/>
      </c>
      <c r="AY59" s="35">
        <f>IF($A59="","",전체채점!$D59)</f>
        <v/>
      </c>
    </row>
    <row r="60">
      <c r="A60" s="33" t="n"/>
      <c r="B60" s="33" t="n"/>
      <c r="C60" s="33" t="n"/>
      <c r="D60" s="34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  <c r="AL60" s="33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  <c r="AW60" s="33" t="n"/>
      <c r="AX60" s="35">
        <f>IF($A60="","",전체채점!$C60)</f>
        <v/>
      </c>
      <c r="AY60" s="35">
        <f>IF($A60="","",전체채점!$D60)</f>
        <v/>
      </c>
    </row>
    <row r="61">
      <c r="A61" s="33" t="n"/>
      <c r="B61" s="33" t="n"/>
      <c r="C61" s="33" t="n"/>
      <c r="D61" s="34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  <c r="AB61" s="33" t="n"/>
      <c r="AC61" s="33" t="n"/>
      <c r="AD61" s="33" t="n"/>
      <c r="AE61" s="33" t="n"/>
      <c r="AF61" s="33" t="n"/>
      <c r="AG61" s="33" t="n"/>
      <c r="AH61" s="33" t="n"/>
      <c r="AI61" s="33" t="n"/>
      <c r="AJ61" s="33" t="n"/>
      <c r="AK61" s="33" t="n"/>
      <c r="AL61" s="33" t="n"/>
      <c r="AM61" s="33" t="n"/>
      <c r="AN61" s="33" t="n"/>
      <c r="AO61" s="33" t="n"/>
      <c r="AP61" s="33" t="n"/>
      <c r="AQ61" s="33" t="n"/>
      <c r="AR61" s="33" t="n"/>
      <c r="AS61" s="33" t="n"/>
      <c r="AT61" s="33" t="n"/>
      <c r="AU61" s="33" t="n"/>
      <c r="AV61" s="33" t="n"/>
      <c r="AW61" s="33" t="n"/>
      <c r="AX61" s="35">
        <f>IF($A61="","",전체채점!$C61)</f>
        <v/>
      </c>
      <c r="AY61" s="35">
        <f>IF($A61="","",전체채점!$D61)</f>
        <v/>
      </c>
    </row>
    <row r="62">
      <c r="A62" s="33" t="n"/>
      <c r="B62" s="33" t="n"/>
      <c r="C62" s="33" t="n"/>
      <c r="D62" s="34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  <c r="Z62" s="33" t="n"/>
      <c r="AA62" s="33" t="n"/>
      <c r="AB62" s="33" t="n"/>
      <c r="AC62" s="33" t="n"/>
      <c r="AD62" s="33" t="n"/>
      <c r="AE62" s="33" t="n"/>
      <c r="AF62" s="33" t="n"/>
      <c r="AG62" s="33" t="n"/>
      <c r="AH62" s="33" t="n"/>
      <c r="AI62" s="33" t="n"/>
      <c r="AJ62" s="33" t="n"/>
      <c r="AK62" s="33" t="n"/>
      <c r="AL62" s="33" t="n"/>
      <c r="AM62" s="33" t="n"/>
      <c r="AN62" s="33" t="n"/>
      <c r="AO62" s="33" t="n"/>
      <c r="AP62" s="33" t="n"/>
      <c r="AQ62" s="33" t="n"/>
      <c r="AR62" s="33" t="n"/>
      <c r="AS62" s="33" t="n"/>
      <c r="AT62" s="33" t="n"/>
      <c r="AU62" s="33" t="n"/>
      <c r="AV62" s="33" t="n"/>
      <c r="AW62" s="33" t="n"/>
      <c r="AX62" s="35">
        <f>IF($A62="","",전체채점!$C62)</f>
        <v/>
      </c>
      <c r="AY62" s="35">
        <f>IF($A62="","",전체채점!$D62)</f>
        <v/>
      </c>
    </row>
  </sheetData>
  <mergeCells count="2">
    <mergeCell ref="A1:D1"/>
    <mergeCell ref="F1:T1"/>
  </mergeCells>
  <dataValidations count="2">
    <dataValidation sqref="C3:C62" showDropDown="0" showInputMessage="0" showErrorMessage="0" allowBlank="1" type="list">
      <formula1>"화법과 작문,언어와 매체"</formula1>
    </dataValidation>
    <dataValidation sqref="E3:AW62" showDropDown="0" showInputMessage="0" showErrorMessage="0" allowBlank="1" errorTitle="답 확인" error="1에서 5 사이의 숫자만 넣을 수 있습니다.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5.6" customWidth="1" min="2" max="2"/>
    <col width="5.6" customWidth="1" min="3" max="3"/>
    <col width="5.6" customWidth="1" min="4" max="4"/>
    <col width="5.6" customWidth="1" min="5" max="5"/>
    <col width="5.6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5.6" customWidth="1" min="15" max="15"/>
    <col width="5.6" customWidth="1" min="16" max="16"/>
    <col hidden="1" width="5" customWidth="1" min="18" max="18"/>
    <col hidden="1" width="5" customWidth="1" min="19" max="19"/>
  </cols>
  <sheetData>
    <row r="1" ht="34" customHeight="1">
      <c r="A1" s="36">
        <f>IF($R$3="","",회차설정!$B$2&amp;" 성적표")</f>
        <v/>
      </c>
    </row>
    <row r="3">
      <c r="A3" s="12" t="inlineStr">
        <is>
          <t>1. 학생정보</t>
        </is>
      </c>
      <c r="R3" s="37">
        <f>IFERROR(MATCH($A$5,답안입력!$A$3:$A$62,0),"")</f>
        <v/>
      </c>
      <c r="S3" s="37">
        <f>IF($R$4="","",IFERROR(IF($R$4="언어와 매체",MATCH(1,회차설정!$G$13:$G$27,0),MATCH(1,회차설정!$F$13:$F$27,0)),""))</f>
        <v/>
      </c>
    </row>
    <row r="4">
      <c r="A4" s="13" t="inlineStr">
        <is>
          <t>성명</t>
        </is>
      </c>
      <c r="B4" s="7" t="n"/>
      <c r="C4" s="8" t="n"/>
      <c r="D4" s="13" t="inlineStr">
        <is>
          <t>선택과목</t>
        </is>
      </c>
      <c r="E4" s="7" t="n"/>
      <c r="F4" s="7" t="n"/>
      <c r="G4" s="8" t="n"/>
      <c r="H4" s="13" t="inlineStr">
        <is>
          <t>학년</t>
        </is>
      </c>
      <c r="I4" s="7" t="n"/>
      <c r="J4" s="7" t="n"/>
      <c r="K4" s="8" t="n"/>
      <c r="L4" s="13" t="inlineStr">
        <is>
          <t>시행일</t>
        </is>
      </c>
      <c r="M4" s="7" t="n"/>
      <c r="N4" s="7" t="n"/>
      <c r="O4" s="7" t="n"/>
      <c r="P4" s="8" t="n"/>
      <c r="R4" s="37">
        <f>IF($R$3="","",INDEX(전체채점!$B$3:$B$62,$R$3))</f>
        <v/>
      </c>
      <c r="S4" s="37">
        <f>IF($R$4="","",IFERROR(IF($R$4="언어와 매체",MATCH(2,회차설정!$G$13:$G$27,0),MATCH(2,회차설정!$F$13:$F$27,0)),""))</f>
        <v/>
      </c>
    </row>
    <row r="5" ht="26" customHeight="1">
      <c r="A5" s="38">
        <f>IF($R$3="","",INDEX(답안입력!$A$3:$A$62,$R$3))</f>
        <v/>
      </c>
      <c r="B5" s="7" t="n"/>
      <c r="C5" s="8" t="n"/>
      <c r="D5" s="39">
        <f>IF($R$3="","",INDEX(답안입력!$C$3:$C$62,$R$3))</f>
        <v/>
      </c>
      <c r="E5" s="7" t="n"/>
      <c r="F5" s="7" t="n"/>
      <c r="G5" s="8" t="n"/>
      <c r="H5" s="39">
        <f>IF($R$3="","",INDEX(답안입력!$B$3:$B$62,$R$3))</f>
        <v/>
      </c>
      <c r="I5" s="7" t="n"/>
      <c r="J5" s="7" t="n"/>
      <c r="K5" s="8" t="n"/>
      <c r="L5" s="40">
        <f>회차설정!$B$3</f>
        <v/>
      </c>
      <c r="M5" s="7" t="n"/>
      <c r="N5" s="7" t="n"/>
      <c r="O5" s="7" t="n"/>
      <c r="P5" s="8" t="n"/>
      <c r="R5" s="37">
        <f>IF($R$4="언어와 매체",회차설정!$B$9,회차설정!$B$8)</f>
        <v/>
      </c>
      <c r="S5" s="37">
        <f>IF($R$4="","",IFERROR(IF($R$4="언어와 매체",MATCH(3,회차설정!$G$13:$G$27,0),MATCH(3,회차설정!$F$13:$F$27,0)),""))</f>
        <v/>
      </c>
    </row>
    <row r="6">
      <c r="R6" s="37">
        <f>IF($R$4="언어와 매체",회차설정!$C$9,회차설정!$C$8)</f>
        <v/>
      </c>
      <c r="S6" s="37">
        <f>IF($R$4="","",IFERROR(IF($R$4="언어와 매체",MATCH(4,회차설정!$G$13:$G$27,0),MATCH(4,회차설정!$F$13:$F$27,0)),""))</f>
        <v/>
      </c>
    </row>
    <row r="7">
      <c r="A7" s="12" t="inlineStr">
        <is>
          <t>2. 성적</t>
        </is>
      </c>
      <c r="R7" s="37">
        <f>IF($R$4="언어와 매체",회차설정!$D$9,회차설정!$D$8)</f>
        <v/>
      </c>
      <c r="S7" s="37">
        <f>IF($R$4="","",IFERROR(IF($R$4="언어와 매체",MATCH(5,회차설정!$G$13:$G$27,0),MATCH(5,회차설정!$F$13:$F$27,0)),""))</f>
        <v/>
      </c>
    </row>
    <row r="8">
      <c r="A8" s="13" t="inlineStr">
        <is>
          <t>점수 (100점 만점)</t>
        </is>
      </c>
      <c r="B8" s="7" t="n"/>
      <c r="C8" s="7" t="n"/>
      <c r="D8" s="7" t="n"/>
      <c r="E8" s="8" t="n"/>
      <c r="F8" s="13" t="inlineStr">
        <is>
          <t>등급</t>
        </is>
      </c>
      <c r="G8" s="7" t="n"/>
      <c r="H8" s="8" t="n"/>
      <c r="I8" s="13" t="inlineStr">
        <is>
          <t>등급컷</t>
        </is>
      </c>
      <c r="J8" s="7" t="n"/>
      <c r="K8" s="7" t="n"/>
      <c r="L8" s="8" t="n"/>
      <c r="M8" s="13" t="inlineStr">
        <is>
          <t>같은 선택과목 평균</t>
        </is>
      </c>
      <c r="N8" s="7" t="n"/>
      <c r="O8" s="7" t="n"/>
      <c r="P8" s="8" t="n"/>
      <c r="R8" s="37">
        <f>IF($R$4="언어와 매체",회차설정!$E$9,회차설정!$E$8)</f>
        <v/>
      </c>
      <c r="S8" s="37">
        <f>IF($R$4="","",IFERROR(IF($R$4="언어와 매체",MATCH(6,회차설정!$G$13:$G$27,0),MATCH(6,회차설정!$F$13:$F$27,0)),""))</f>
        <v/>
      </c>
    </row>
    <row r="9" ht="34" customHeight="1">
      <c r="A9" s="41">
        <f>IF($R$3="","",INDEX(전체채점!$C$3:$C$62,$R$3))</f>
        <v/>
      </c>
      <c r="B9" s="7" t="n"/>
      <c r="C9" s="7" t="n"/>
      <c r="D9" s="7" t="n"/>
      <c r="E9" s="8" t="n"/>
      <c r="F9" s="42">
        <f>IF($R$3="","",INDEX(전체채점!$D$3:$D$62,$R$3))</f>
        <v/>
      </c>
      <c r="G9" s="7" t="n"/>
      <c r="H9" s="8" t="n"/>
      <c r="I9" s="43">
        <f>IF($R$3="","",$R$5&amp;"-"&amp;$R$6&amp;"-"&amp;$R$7&amp;"-"&amp;$R$8)</f>
        <v/>
      </c>
      <c r="J9" s="7" t="n"/>
      <c r="K9" s="7" t="n"/>
      <c r="L9" s="8" t="n"/>
      <c r="M9" s="44">
        <f>IFERROR(AVERAGEIF(전체채점!$B$3:$B$62,$R$4,전체채점!$C$3:$C$62),"")</f>
        <v/>
      </c>
      <c r="N9" s="7" t="n"/>
      <c r="O9" s="7" t="n"/>
      <c r="P9" s="8" t="n"/>
      <c r="S9" s="37">
        <f>IF($R$4="","",IFERROR(IF($R$4="언어와 매체",MATCH(7,회차설정!$G$13:$G$27,0),MATCH(7,회차설정!$F$13:$F$27,0)),""))</f>
        <v/>
      </c>
    </row>
    <row r="10">
      <c r="S10" s="37">
        <f>IF($R$4="","",IFERROR(IF($R$4="언어와 매체",MATCH(8,회차설정!$G$13:$G$27,0),MATCH(8,회차설정!$F$13:$F$27,0)),""))</f>
        <v/>
      </c>
    </row>
    <row r="11">
      <c r="A11" s="12" t="inlineStr">
        <is>
          <t>3. 영역분류별 성취도 분석</t>
        </is>
      </c>
      <c r="F11" s="45">
        <f>IF(OR($R$3="",$E25=""),"",IF($E25=INDEX(전체채점!$C$3:$C$62,$R$3),"","※ 회차설정의 영역 표를 확인하세요 — 영역 합계와 점수가 다릅니다"))</f>
        <v/>
      </c>
      <c r="S11" s="37">
        <f>IF($R$4="","",IFERROR(IF($R$4="언어와 매체",MATCH(9,회차설정!$G$13:$G$27,0),MATCH(9,회차설정!$F$13:$F$27,0)),""))</f>
        <v/>
      </c>
    </row>
    <row r="12">
      <c r="A12" s="13" t="inlineStr">
        <is>
          <t>분류</t>
        </is>
      </c>
      <c r="B12" s="13" t="inlineStr">
        <is>
          <t>영역</t>
        </is>
      </c>
      <c r="C12" s="8" t="n"/>
      <c r="D12" s="13" t="inlineStr">
        <is>
          <t>배점</t>
        </is>
      </c>
      <c r="E12" s="13" t="inlineStr">
        <is>
          <t>득점</t>
        </is>
      </c>
      <c r="F12" s="13" t="inlineStr">
        <is>
          <t>성취도(%)</t>
        </is>
      </c>
      <c r="G12" s="8" t="n"/>
      <c r="H12" s="13" t="inlineStr"/>
      <c r="I12" s="7" t="n"/>
      <c r="J12" s="7" t="n"/>
      <c r="K12" s="7" t="n"/>
      <c r="L12" s="7" t="n"/>
      <c r="M12" s="7" t="n"/>
      <c r="N12" s="7" t="n"/>
      <c r="O12" s="7" t="n"/>
      <c r="P12" s="8" t="n"/>
      <c r="S12" s="37">
        <f>IF($R$4="","",IFERROR(IF($R$4="언어와 매체",MATCH(10,회차설정!$G$13:$G$27,0),MATCH(10,회차설정!$F$13:$F$27,0)),""))</f>
        <v/>
      </c>
    </row>
    <row r="13">
      <c r="A13" s="14">
        <f>IF($S$3="","",INDEX(회차설정!$A$13:$A$27,$S$3))</f>
        <v/>
      </c>
      <c r="B13" s="14">
        <f>IF($S$3="","",INDEX(회차설정!$B$13:$B$27,$S$3))</f>
        <v/>
      </c>
      <c r="C13" s="8" t="n"/>
      <c r="D13" s="14">
        <f>IF($S$3="","",IF($R$4="언어와 매체",SUMPRODUCT((자동계산!$A$4:$A$48&gt;=INDEX(회차설정!$C$13:$C$27,$S$3))*(자동계산!$A$4:$A$48&lt;=INDEX(회차설정!$D$13:$D$27,$S$3))*자동계산!$E$4:$E$48),SUMPRODUCT((자동계산!$A$4:$A$48&gt;=INDEX(회차설정!$C$13:$C$27,$S$3))*(자동계산!$A$4:$A$48&lt;=INDEX(회차설정!$D$13:$D$27,$S$3))*자동계산!$C$4:$C$48)))</f>
        <v/>
      </c>
      <c r="E13" s="14">
        <f>IF(OR($S$3="",$R$3=""),"",SUM(OFFSET(전체채점!$AW$2,$R$3,INDEX(회차설정!$C$13:$C$27,$S$3),1,INDEX(회차설정!$D$13:$D$27,$S$3)-INDEX(회차설정!$C$13:$C$27,$S$3)+1)))</f>
        <v/>
      </c>
      <c r="F13" s="46">
        <f>IF(OR($S$3="",$D13=0,$D13="",$E13=""),"",$E13/$D13*100)</f>
        <v/>
      </c>
      <c r="G13" s="8" t="n"/>
      <c r="H13" s="47">
        <f>IF($F13="","",REPT("■",ROUND($F13/5,0)))</f>
        <v/>
      </c>
      <c r="I13" s="7" t="n"/>
      <c r="J13" s="7" t="n"/>
      <c r="K13" s="7" t="n"/>
      <c r="L13" s="7" t="n"/>
      <c r="M13" s="7" t="n"/>
      <c r="N13" s="7" t="n"/>
      <c r="O13" s="7" t="n"/>
      <c r="P13" s="8" t="n"/>
      <c r="S13" s="37">
        <f>IF($R$4="","",IFERROR(IF($R$4="언어와 매체",MATCH(11,회차설정!$G$13:$G$27,0),MATCH(11,회차설정!$F$13:$F$27,0)),""))</f>
        <v/>
      </c>
    </row>
    <row r="14">
      <c r="A14" s="14">
        <f>IF($S$4="","",INDEX(회차설정!$A$13:$A$27,$S$4))</f>
        <v/>
      </c>
      <c r="B14" s="14">
        <f>IF($S$4="","",INDEX(회차설정!$B$13:$B$27,$S$4))</f>
        <v/>
      </c>
      <c r="C14" s="8" t="n"/>
      <c r="D14" s="14">
        <f>IF($S$4="","",IF($R$4="언어와 매체",SUMPRODUCT((자동계산!$A$4:$A$48&gt;=INDEX(회차설정!$C$13:$C$27,$S$4))*(자동계산!$A$4:$A$48&lt;=INDEX(회차설정!$D$13:$D$27,$S$4))*자동계산!$E$4:$E$48),SUMPRODUCT((자동계산!$A$4:$A$48&gt;=INDEX(회차설정!$C$13:$C$27,$S$4))*(자동계산!$A$4:$A$48&lt;=INDEX(회차설정!$D$13:$D$27,$S$4))*자동계산!$C$4:$C$48)))</f>
        <v/>
      </c>
      <c r="E14" s="14">
        <f>IF(OR($S$4="",$R$3=""),"",SUM(OFFSET(전체채점!$AW$2,$R$3,INDEX(회차설정!$C$13:$C$27,$S$4),1,INDEX(회차설정!$D$13:$D$27,$S$4)-INDEX(회차설정!$C$13:$C$27,$S$4)+1)))</f>
        <v/>
      </c>
      <c r="F14" s="46">
        <f>IF(OR($S$4="",$D14=0,$D14="",$E14=""),"",$E14/$D14*100)</f>
        <v/>
      </c>
      <c r="G14" s="8" t="n"/>
      <c r="H14" s="47">
        <f>IF($F14="","",REPT("■",ROUND($F14/5,0)))</f>
        <v/>
      </c>
      <c r="I14" s="7" t="n"/>
      <c r="J14" s="7" t="n"/>
      <c r="K14" s="7" t="n"/>
      <c r="L14" s="7" t="n"/>
      <c r="M14" s="7" t="n"/>
      <c r="N14" s="7" t="n"/>
      <c r="O14" s="7" t="n"/>
      <c r="P14" s="8" t="n"/>
      <c r="S14" s="37">
        <f>IF($R$4="","",IFERROR(IF($R$4="언어와 매체",MATCH(12,회차설정!$G$13:$G$27,0),MATCH(12,회차설정!$F$13:$F$27,0)),""))</f>
        <v/>
      </c>
    </row>
    <row r="15">
      <c r="A15" s="14">
        <f>IF($S$5="","",INDEX(회차설정!$A$13:$A$27,$S$5))</f>
        <v/>
      </c>
      <c r="B15" s="14">
        <f>IF($S$5="","",INDEX(회차설정!$B$13:$B$27,$S$5))</f>
        <v/>
      </c>
      <c r="C15" s="8" t="n"/>
      <c r="D15" s="14">
        <f>IF($S$5="","",IF($R$4="언어와 매체",SUMPRODUCT((자동계산!$A$4:$A$48&gt;=INDEX(회차설정!$C$13:$C$27,$S$5))*(자동계산!$A$4:$A$48&lt;=INDEX(회차설정!$D$13:$D$27,$S$5))*자동계산!$E$4:$E$48),SUMPRODUCT((자동계산!$A$4:$A$48&gt;=INDEX(회차설정!$C$13:$C$27,$S$5))*(자동계산!$A$4:$A$48&lt;=INDEX(회차설정!$D$13:$D$27,$S$5))*자동계산!$C$4:$C$48)))</f>
        <v/>
      </c>
      <c r="E15" s="14">
        <f>IF(OR($S$5="",$R$3=""),"",SUM(OFFSET(전체채점!$AW$2,$R$3,INDEX(회차설정!$C$13:$C$27,$S$5),1,INDEX(회차설정!$D$13:$D$27,$S$5)-INDEX(회차설정!$C$13:$C$27,$S$5)+1)))</f>
        <v/>
      </c>
      <c r="F15" s="46">
        <f>IF(OR($S$5="",$D15=0,$D15="",$E15=""),"",$E15/$D15*100)</f>
        <v/>
      </c>
      <c r="G15" s="8" t="n"/>
      <c r="H15" s="47">
        <f>IF($F15="","",REPT("■",ROUND($F15/5,0)))</f>
        <v/>
      </c>
      <c r="I15" s="7" t="n"/>
      <c r="J15" s="7" t="n"/>
      <c r="K15" s="7" t="n"/>
      <c r="L15" s="7" t="n"/>
      <c r="M15" s="7" t="n"/>
      <c r="N15" s="7" t="n"/>
      <c r="O15" s="7" t="n"/>
      <c r="P15" s="8" t="n"/>
    </row>
    <row r="16">
      <c r="A16" s="14">
        <f>IF($S$6="","",INDEX(회차설정!$A$13:$A$27,$S$6))</f>
        <v/>
      </c>
      <c r="B16" s="14">
        <f>IF($S$6="","",INDEX(회차설정!$B$13:$B$27,$S$6))</f>
        <v/>
      </c>
      <c r="C16" s="8" t="n"/>
      <c r="D16" s="14">
        <f>IF($S$6="","",IF($R$4="언어와 매체",SUMPRODUCT((자동계산!$A$4:$A$48&gt;=INDEX(회차설정!$C$13:$C$27,$S$6))*(자동계산!$A$4:$A$48&lt;=INDEX(회차설정!$D$13:$D$27,$S$6))*자동계산!$E$4:$E$48),SUMPRODUCT((자동계산!$A$4:$A$48&gt;=INDEX(회차설정!$C$13:$C$27,$S$6))*(자동계산!$A$4:$A$48&lt;=INDEX(회차설정!$D$13:$D$27,$S$6))*자동계산!$C$4:$C$48)))</f>
        <v/>
      </c>
      <c r="E16" s="14">
        <f>IF(OR($S$6="",$R$3=""),"",SUM(OFFSET(전체채점!$AW$2,$R$3,INDEX(회차설정!$C$13:$C$27,$S$6),1,INDEX(회차설정!$D$13:$D$27,$S$6)-INDEX(회차설정!$C$13:$C$27,$S$6)+1)))</f>
        <v/>
      </c>
      <c r="F16" s="46">
        <f>IF(OR($S$6="",$D16=0,$D16="",$E16=""),"",$E16/$D16*100)</f>
        <v/>
      </c>
      <c r="G16" s="8" t="n"/>
      <c r="H16" s="47">
        <f>IF($F16="","",REPT("■",ROUND($F16/5,0)))</f>
        <v/>
      </c>
      <c r="I16" s="7" t="n"/>
      <c r="J16" s="7" t="n"/>
      <c r="K16" s="7" t="n"/>
      <c r="L16" s="7" t="n"/>
      <c r="M16" s="7" t="n"/>
      <c r="N16" s="7" t="n"/>
      <c r="O16" s="7" t="n"/>
      <c r="P16" s="8" t="n"/>
    </row>
    <row r="17">
      <c r="A17" s="14">
        <f>IF($S$7="","",INDEX(회차설정!$A$13:$A$27,$S$7))</f>
        <v/>
      </c>
      <c r="B17" s="14">
        <f>IF($S$7="","",INDEX(회차설정!$B$13:$B$27,$S$7))</f>
        <v/>
      </c>
      <c r="C17" s="8" t="n"/>
      <c r="D17" s="14">
        <f>IF($S$7="","",IF($R$4="언어와 매체",SUMPRODUCT((자동계산!$A$4:$A$48&gt;=INDEX(회차설정!$C$13:$C$27,$S$7))*(자동계산!$A$4:$A$48&lt;=INDEX(회차설정!$D$13:$D$27,$S$7))*자동계산!$E$4:$E$48),SUMPRODUCT((자동계산!$A$4:$A$48&gt;=INDEX(회차설정!$C$13:$C$27,$S$7))*(자동계산!$A$4:$A$48&lt;=INDEX(회차설정!$D$13:$D$27,$S$7))*자동계산!$C$4:$C$48)))</f>
        <v/>
      </c>
      <c r="E17" s="14">
        <f>IF(OR($S$7="",$R$3=""),"",SUM(OFFSET(전체채점!$AW$2,$R$3,INDEX(회차설정!$C$13:$C$27,$S$7),1,INDEX(회차설정!$D$13:$D$27,$S$7)-INDEX(회차설정!$C$13:$C$27,$S$7)+1)))</f>
        <v/>
      </c>
      <c r="F17" s="46">
        <f>IF(OR($S$7="",$D17=0,$D17="",$E17=""),"",$E17/$D17*100)</f>
        <v/>
      </c>
      <c r="G17" s="8" t="n"/>
      <c r="H17" s="47">
        <f>IF($F17="","",REPT("■",ROUND($F17/5,0)))</f>
        <v/>
      </c>
      <c r="I17" s="7" t="n"/>
      <c r="J17" s="7" t="n"/>
      <c r="K17" s="7" t="n"/>
      <c r="L17" s="7" t="n"/>
      <c r="M17" s="7" t="n"/>
      <c r="N17" s="7" t="n"/>
      <c r="O17" s="7" t="n"/>
      <c r="P17" s="8" t="n"/>
    </row>
    <row r="18">
      <c r="A18" s="14">
        <f>IF($S$8="","",INDEX(회차설정!$A$13:$A$27,$S$8))</f>
        <v/>
      </c>
      <c r="B18" s="14">
        <f>IF($S$8="","",INDEX(회차설정!$B$13:$B$27,$S$8))</f>
        <v/>
      </c>
      <c r="C18" s="8" t="n"/>
      <c r="D18" s="14">
        <f>IF($S$8="","",IF($R$4="언어와 매체",SUMPRODUCT((자동계산!$A$4:$A$48&gt;=INDEX(회차설정!$C$13:$C$27,$S$8))*(자동계산!$A$4:$A$48&lt;=INDEX(회차설정!$D$13:$D$27,$S$8))*자동계산!$E$4:$E$48),SUMPRODUCT((자동계산!$A$4:$A$48&gt;=INDEX(회차설정!$C$13:$C$27,$S$8))*(자동계산!$A$4:$A$48&lt;=INDEX(회차설정!$D$13:$D$27,$S$8))*자동계산!$C$4:$C$48)))</f>
        <v/>
      </c>
      <c r="E18" s="14">
        <f>IF(OR($S$8="",$R$3=""),"",SUM(OFFSET(전체채점!$AW$2,$R$3,INDEX(회차설정!$C$13:$C$27,$S$8),1,INDEX(회차설정!$D$13:$D$27,$S$8)-INDEX(회차설정!$C$13:$C$27,$S$8)+1)))</f>
        <v/>
      </c>
      <c r="F18" s="46">
        <f>IF(OR($S$8="",$D18=0,$D18="",$E18=""),"",$E18/$D18*100)</f>
        <v/>
      </c>
      <c r="G18" s="8" t="n"/>
      <c r="H18" s="47">
        <f>IF($F18="","",REPT("■",ROUND($F18/5,0)))</f>
        <v/>
      </c>
      <c r="I18" s="7" t="n"/>
      <c r="J18" s="7" t="n"/>
      <c r="K18" s="7" t="n"/>
      <c r="L18" s="7" t="n"/>
      <c r="M18" s="7" t="n"/>
      <c r="N18" s="7" t="n"/>
      <c r="O18" s="7" t="n"/>
      <c r="P18" s="8" t="n"/>
    </row>
    <row r="19">
      <c r="A19" s="14">
        <f>IF($S$9="","",INDEX(회차설정!$A$13:$A$27,$S$9))</f>
        <v/>
      </c>
      <c r="B19" s="14">
        <f>IF($S$9="","",INDEX(회차설정!$B$13:$B$27,$S$9))</f>
        <v/>
      </c>
      <c r="C19" s="8" t="n"/>
      <c r="D19" s="14">
        <f>IF($S$9="","",IF($R$4="언어와 매체",SUMPRODUCT((자동계산!$A$4:$A$48&gt;=INDEX(회차설정!$C$13:$C$27,$S$9))*(자동계산!$A$4:$A$48&lt;=INDEX(회차설정!$D$13:$D$27,$S$9))*자동계산!$E$4:$E$48),SUMPRODUCT((자동계산!$A$4:$A$48&gt;=INDEX(회차설정!$C$13:$C$27,$S$9))*(자동계산!$A$4:$A$48&lt;=INDEX(회차설정!$D$13:$D$27,$S$9))*자동계산!$C$4:$C$48)))</f>
        <v/>
      </c>
      <c r="E19" s="14">
        <f>IF(OR($S$9="",$R$3=""),"",SUM(OFFSET(전체채점!$AW$2,$R$3,INDEX(회차설정!$C$13:$C$27,$S$9),1,INDEX(회차설정!$D$13:$D$27,$S$9)-INDEX(회차설정!$C$13:$C$27,$S$9)+1)))</f>
        <v/>
      </c>
      <c r="F19" s="46">
        <f>IF(OR($S$9="",$D19=0,$D19="",$E19=""),"",$E19/$D19*100)</f>
        <v/>
      </c>
      <c r="G19" s="8" t="n"/>
      <c r="H19" s="47">
        <f>IF($F19="","",REPT("■",ROUND($F19/5,0)))</f>
        <v/>
      </c>
      <c r="I19" s="7" t="n"/>
      <c r="J19" s="7" t="n"/>
      <c r="K19" s="7" t="n"/>
      <c r="L19" s="7" t="n"/>
      <c r="M19" s="7" t="n"/>
      <c r="N19" s="7" t="n"/>
      <c r="O19" s="7" t="n"/>
      <c r="P19" s="8" t="n"/>
    </row>
    <row r="20">
      <c r="A20" s="14">
        <f>IF($S$10="","",INDEX(회차설정!$A$13:$A$27,$S$10))</f>
        <v/>
      </c>
      <c r="B20" s="14">
        <f>IF($S$10="","",INDEX(회차설정!$B$13:$B$27,$S$10))</f>
        <v/>
      </c>
      <c r="C20" s="8" t="n"/>
      <c r="D20" s="14">
        <f>IF($S$10="","",IF($R$4="언어와 매체",SUMPRODUCT((자동계산!$A$4:$A$48&gt;=INDEX(회차설정!$C$13:$C$27,$S$10))*(자동계산!$A$4:$A$48&lt;=INDEX(회차설정!$D$13:$D$27,$S$10))*자동계산!$E$4:$E$48),SUMPRODUCT((자동계산!$A$4:$A$48&gt;=INDEX(회차설정!$C$13:$C$27,$S$10))*(자동계산!$A$4:$A$48&lt;=INDEX(회차설정!$D$13:$D$27,$S$10))*자동계산!$C$4:$C$48)))</f>
        <v/>
      </c>
      <c r="E20" s="14">
        <f>IF(OR($S$10="",$R$3=""),"",SUM(OFFSET(전체채점!$AW$2,$R$3,INDEX(회차설정!$C$13:$C$27,$S$10),1,INDEX(회차설정!$D$13:$D$27,$S$10)-INDEX(회차설정!$C$13:$C$27,$S$10)+1)))</f>
        <v/>
      </c>
      <c r="F20" s="46">
        <f>IF(OR($S$10="",$D20=0,$D20="",$E20=""),"",$E20/$D20*100)</f>
        <v/>
      </c>
      <c r="G20" s="8" t="n"/>
      <c r="H20" s="47">
        <f>IF($F20="","",REPT("■",ROUND($F20/5,0)))</f>
        <v/>
      </c>
      <c r="I20" s="7" t="n"/>
      <c r="J20" s="7" t="n"/>
      <c r="K20" s="7" t="n"/>
      <c r="L20" s="7" t="n"/>
      <c r="M20" s="7" t="n"/>
      <c r="N20" s="7" t="n"/>
      <c r="O20" s="7" t="n"/>
      <c r="P20" s="8" t="n"/>
    </row>
    <row r="21">
      <c r="A21" s="14">
        <f>IF($S$11="","",INDEX(회차설정!$A$13:$A$27,$S$11))</f>
        <v/>
      </c>
      <c r="B21" s="14">
        <f>IF($S$11="","",INDEX(회차설정!$B$13:$B$27,$S$11))</f>
        <v/>
      </c>
      <c r="C21" s="8" t="n"/>
      <c r="D21" s="14">
        <f>IF($S$11="","",IF($R$4="언어와 매체",SUMPRODUCT((자동계산!$A$4:$A$48&gt;=INDEX(회차설정!$C$13:$C$27,$S$11))*(자동계산!$A$4:$A$48&lt;=INDEX(회차설정!$D$13:$D$27,$S$11))*자동계산!$E$4:$E$48),SUMPRODUCT((자동계산!$A$4:$A$48&gt;=INDEX(회차설정!$C$13:$C$27,$S$11))*(자동계산!$A$4:$A$48&lt;=INDEX(회차설정!$D$13:$D$27,$S$11))*자동계산!$C$4:$C$48)))</f>
        <v/>
      </c>
      <c r="E21" s="14">
        <f>IF(OR($S$11="",$R$3=""),"",SUM(OFFSET(전체채점!$AW$2,$R$3,INDEX(회차설정!$C$13:$C$27,$S$11),1,INDEX(회차설정!$D$13:$D$27,$S$11)-INDEX(회차설정!$C$13:$C$27,$S$11)+1)))</f>
        <v/>
      </c>
      <c r="F21" s="46">
        <f>IF(OR($S$11="",$D21=0,$D21="",$E21=""),"",$E21/$D21*100)</f>
        <v/>
      </c>
      <c r="G21" s="8" t="n"/>
      <c r="H21" s="47">
        <f>IF($F21="","",REPT("■",ROUND($F21/5,0)))</f>
        <v/>
      </c>
      <c r="I21" s="7" t="n"/>
      <c r="J21" s="7" t="n"/>
      <c r="K21" s="7" t="n"/>
      <c r="L21" s="7" t="n"/>
      <c r="M21" s="7" t="n"/>
      <c r="N21" s="7" t="n"/>
      <c r="O21" s="7" t="n"/>
      <c r="P21" s="8" t="n"/>
    </row>
    <row r="22">
      <c r="A22" s="14">
        <f>IF($S$12="","",INDEX(회차설정!$A$13:$A$27,$S$12))</f>
        <v/>
      </c>
      <c r="B22" s="14">
        <f>IF($S$12="","",INDEX(회차설정!$B$13:$B$27,$S$12))</f>
        <v/>
      </c>
      <c r="C22" s="8" t="n"/>
      <c r="D22" s="14">
        <f>IF($S$12="","",IF($R$4="언어와 매체",SUMPRODUCT((자동계산!$A$4:$A$48&gt;=INDEX(회차설정!$C$13:$C$27,$S$12))*(자동계산!$A$4:$A$48&lt;=INDEX(회차설정!$D$13:$D$27,$S$12))*자동계산!$E$4:$E$48),SUMPRODUCT((자동계산!$A$4:$A$48&gt;=INDEX(회차설정!$C$13:$C$27,$S$12))*(자동계산!$A$4:$A$48&lt;=INDEX(회차설정!$D$13:$D$27,$S$12))*자동계산!$C$4:$C$48)))</f>
        <v/>
      </c>
      <c r="E22" s="14">
        <f>IF(OR($S$12="",$R$3=""),"",SUM(OFFSET(전체채점!$AW$2,$R$3,INDEX(회차설정!$C$13:$C$27,$S$12),1,INDEX(회차설정!$D$13:$D$27,$S$12)-INDEX(회차설정!$C$13:$C$27,$S$12)+1)))</f>
        <v/>
      </c>
      <c r="F22" s="46">
        <f>IF(OR($S$12="",$D22=0,$D22="",$E22=""),"",$E22/$D22*100)</f>
        <v/>
      </c>
      <c r="G22" s="8" t="n"/>
      <c r="H22" s="47">
        <f>IF($F22="","",REPT("■",ROUND($F22/5,0)))</f>
        <v/>
      </c>
      <c r="I22" s="7" t="n"/>
      <c r="J22" s="7" t="n"/>
      <c r="K22" s="7" t="n"/>
      <c r="L22" s="7" t="n"/>
      <c r="M22" s="7" t="n"/>
      <c r="N22" s="7" t="n"/>
      <c r="O22" s="7" t="n"/>
      <c r="P22" s="8" t="n"/>
    </row>
    <row r="23">
      <c r="A23" s="14">
        <f>IF($S$13="","",INDEX(회차설정!$A$13:$A$27,$S$13))</f>
        <v/>
      </c>
      <c r="B23" s="14">
        <f>IF($S$13="","",INDEX(회차설정!$B$13:$B$27,$S$13))</f>
        <v/>
      </c>
      <c r="C23" s="8" t="n"/>
      <c r="D23" s="14">
        <f>IF($S$13="","",IF($R$4="언어와 매체",SUMPRODUCT((자동계산!$A$4:$A$48&gt;=INDEX(회차설정!$C$13:$C$27,$S$13))*(자동계산!$A$4:$A$48&lt;=INDEX(회차설정!$D$13:$D$27,$S$13))*자동계산!$E$4:$E$48),SUMPRODUCT((자동계산!$A$4:$A$48&gt;=INDEX(회차설정!$C$13:$C$27,$S$13))*(자동계산!$A$4:$A$48&lt;=INDEX(회차설정!$D$13:$D$27,$S$13))*자동계산!$C$4:$C$48)))</f>
        <v/>
      </c>
      <c r="E23" s="14">
        <f>IF(OR($S$13="",$R$3=""),"",SUM(OFFSET(전체채점!$AW$2,$R$3,INDEX(회차설정!$C$13:$C$27,$S$13),1,INDEX(회차설정!$D$13:$D$27,$S$13)-INDEX(회차설정!$C$13:$C$27,$S$13)+1)))</f>
        <v/>
      </c>
      <c r="F23" s="46">
        <f>IF(OR($S$13="",$D23=0,$D23="",$E23=""),"",$E23/$D23*100)</f>
        <v/>
      </c>
      <c r="G23" s="8" t="n"/>
      <c r="H23" s="47">
        <f>IF($F23="","",REPT("■",ROUND($F23/5,0)))</f>
        <v/>
      </c>
      <c r="I23" s="7" t="n"/>
      <c r="J23" s="7" t="n"/>
      <c r="K23" s="7" t="n"/>
      <c r="L23" s="7" t="n"/>
      <c r="M23" s="7" t="n"/>
      <c r="N23" s="7" t="n"/>
      <c r="O23" s="7" t="n"/>
      <c r="P23" s="8" t="n"/>
    </row>
    <row r="24">
      <c r="A24" s="14">
        <f>IF($S$14="","",INDEX(회차설정!$A$13:$A$27,$S$14))</f>
        <v/>
      </c>
      <c r="B24" s="14">
        <f>IF($S$14="","",INDEX(회차설정!$B$13:$B$27,$S$14))</f>
        <v/>
      </c>
      <c r="C24" s="8" t="n"/>
      <c r="D24" s="14">
        <f>IF($S$14="","",IF($R$4="언어와 매체",SUMPRODUCT((자동계산!$A$4:$A$48&gt;=INDEX(회차설정!$C$13:$C$27,$S$14))*(자동계산!$A$4:$A$48&lt;=INDEX(회차설정!$D$13:$D$27,$S$14))*자동계산!$E$4:$E$48),SUMPRODUCT((자동계산!$A$4:$A$48&gt;=INDEX(회차설정!$C$13:$C$27,$S$14))*(자동계산!$A$4:$A$48&lt;=INDEX(회차설정!$D$13:$D$27,$S$14))*자동계산!$C$4:$C$48)))</f>
        <v/>
      </c>
      <c r="E24" s="14">
        <f>IF(OR($S$14="",$R$3=""),"",SUM(OFFSET(전체채점!$AW$2,$R$3,INDEX(회차설정!$C$13:$C$27,$S$14),1,INDEX(회차설정!$D$13:$D$27,$S$14)-INDEX(회차설정!$C$13:$C$27,$S$14)+1)))</f>
        <v/>
      </c>
      <c r="F24" s="46">
        <f>IF(OR($S$14="",$D24=0,$D24="",$E24=""),"",$E24/$D24*100)</f>
        <v/>
      </c>
      <c r="G24" s="8" t="n"/>
      <c r="H24" s="47">
        <f>IF($F24="","",REPT("■",ROUND($F24/5,0)))</f>
        <v/>
      </c>
      <c r="I24" s="7" t="n"/>
      <c r="J24" s="7" t="n"/>
      <c r="K24" s="7" t="n"/>
      <c r="L24" s="7" t="n"/>
      <c r="M24" s="7" t="n"/>
      <c r="N24" s="7" t="n"/>
      <c r="O24" s="7" t="n"/>
      <c r="P24" s="8" t="n"/>
    </row>
    <row r="25">
      <c r="A25" s="5">
        <f>IF($R$3="","","합계")</f>
        <v/>
      </c>
      <c r="B25" s="7" t="n"/>
      <c r="C25" s="8" t="n"/>
      <c r="D25" s="5">
        <f>IF($R$3="","",SUM(D13:D24))</f>
        <v/>
      </c>
      <c r="E25" s="5">
        <f>IF($R$3="","",SUM(E13:E24))</f>
        <v/>
      </c>
      <c r="F25" s="48">
        <f>IF(OR($D25=0,$D25=""),"",$E25/$D25*100)</f>
        <v/>
      </c>
      <c r="G25" s="8" t="n"/>
      <c r="H25" s="49">
        <f>IF($F25="","",REPT("■",ROUND($F25/5,0)))</f>
        <v/>
      </c>
      <c r="I25" s="7" t="n"/>
      <c r="J25" s="7" t="n"/>
      <c r="K25" s="7" t="n"/>
      <c r="L25" s="7" t="n"/>
      <c r="M25" s="7" t="n"/>
      <c r="N25" s="7" t="n"/>
      <c r="O25" s="7" t="n"/>
      <c r="P25" s="8" t="n"/>
    </row>
    <row r="27">
      <c r="A27" s="12" t="inlineStr">
        <is>
          <t>4. 문항 채점표</t>
        </is>
      </c>
    </row>
    <row r="28">
      <c r="A28" s="50" t="inlineStr">
        <is>
          <t>문항 번호</t>
        </is>
      </c>
      <c r="B28" s="51" t="n">
        <v>1</v>
      </c>
      <c r="C28" s="51" t="n">
        <v>2</v>
      </c>
      <c r="D28" s="51" t="n">
        <v>3</v>
      </c>
      <c r="E28" s="51" t="n">
        <v>4</v>
      </c>
      <c r="F28" s="51" t="n">
        <v>5</v>
      </c>
      <c r="G28" s="51" t="n">
        <v>6</v>
      </c>
      <c r="H28" s="51" t="n">
        <v>7</v>
      </c>
      <c r="I28" s="51" t="n">
        <v>8</v>
      </c>
      <c r="J28" s="51" t="n">
        <v>9</v>
      </c>
      <c r="K28" s="51" t="n">
        <v>10</v>
      </c>
      <c r="L28" s="51" t="n">
        <v>11</v>
      </c>
      <c r="M28" s="51" t="n">
        <v>12</v>
      </c>
      <c r="N28" s="51" t="n">
        <v>13</v>
      </c>
      <c r="O28" s="51" t="n">
        <v>14</v>
      </c>
      <c r="P28" s="51" t="n">
        <v>15</v>
      </c>
    </row>
    <row r="29">
      <c r="A29" s="52" t="inlineStr">
        <is>
          <t>정답</t>
        </is>
      </c>
      <c r="B29" s="33">
        <f>IF($R$4="","",IF($R$4="언어와 매체",자동계산!$D$4,자동계산!$B$4))</f>
        <v/>
      </c>
      <c r="C29" s="33">
        <f>IF($R$4="","",IF($R$4="언어와 매체",자동계산!$D$5,자동계산!$B$5))</f>
        <v/>
      </c>
      <c r="D29" s="33">
        <f>IF($R$4="","",IF($R$4="언어와 매체",자동계산!$D$6,자동계산!$B$6))</f>
        <v/>
      </c>
      <c r="E29" s="33">
        <f>IF($R$4="","",IF($R$4="언어와 매체",자동계산!$D$7,자동계산!$B$7))</f>
        <v/>
      </c>
      <c r="F29" s="33">
        <f>IF($R$4="","",IF($R$4="언어와 매체",자동계산!$D$8,자동계산!$B$8))</f>
        <v/>
      </c>
      <c r="G29" s="33">
        <f>IF($R$4="","",IF($R$4="언어와 매체",자동계산!$D$9,자동계산!$B$9))</f>
        <v/>
      </c>
      <c r="H29" s="33">
        <f>IF($R$4="","",IF($R$4="언어와 매체",자동계산!$D$10,자동계산!$B$10))</f>
        <v/>
      </c>
      <c r="I29" s="33">
        <f>IF($R$4="","",IF($R$4="언어와 매체",자동계산!$D$11,자동계산!$B$11))</f>
        <v/>
      </c>
      <c r="J29" s="33">
        <f>IF($R$4="","",IF($R$4="언어와 매체",자동계산!$D$12,자동계산!$B$12))</f>
        <v/>
      </c>
      <c r="K29" s="33">
        <f>IF($R$4="","",IF($R$4="언어와 매체",자동계산!$D$13,자동계산!$B$13))</f>
        <v/>
      </c>
      <c r="L29" s="33">
        <f>IF($R$4="","",IF($R$4="언어와 매체",자동계산!$D$14,자동계산!$B$14))</f>
        <v/>
      </c>
      <c r="M29" s="33">
        <f>IF($R$4="","",IF($R$4="언어와 매체",자동계산!$D$15,자동계산!$B$15))</f>
        <v/>
      </c>
      <c r="N29" s="33">
        <f>IF($R$4="","",IF($R$4="언어와 매체",자동계산!$D$16,자동계산!$B$16))</f>
        <v/>
      </c>
      <c r="O29" s="33">
        <f>IF($R$4="","",IF($R$4="언어와 매체",자동계산!$D$17,자동계산!$B$17))</f>
        <v/>
      </c>
      <c r="P29" s="33">
        <f>IF($R$4="","",IF($R$4="언어와 매체",자동계산!$D$18,자동계산!$B$18))</f>
        <v/>
      </c>
    </row>
    <row r="30">
      <c r="A30" s="52" t="inlineStr">
        <is>
          <t>학생답안</t>
        </is>
      </c>
      <c r="B30" s="33">
        <f>IF($R$3="","",INDEX(전체채점!E$3:E$62,$R$3))</f>
        <v/>
      </c>
      <c r="C30" s="33">
        <f>IF($R$3="","",INDEX(전체채점!F$3:F$62,$R$3))</f>
        <v/>
      </c>
      <c r="D30" s="33">
        <f>IF($R$3="","",INDEX(전체채점!G$3:G$62,$R$3))</f>
        <v/>
      </c>
      <c r="E30" s="33">
        <f>IF($R$3="","",INDEX(전체채점!H$3:H$62,$R$3))</f>
        <v/>
      </c>
      <c r="F30" s="33">
        <f>IF($R$3="","",INDEX(전체채점!I$3:I$62,$R$3))</f>
        <v/>
      </c>
      <c r="G30" s="33">
        <f>IF($R$3="","",INDEX(전체채점!J$3:J$62,$R$3))</f>
        <v/>
      </c>
      <c r="H30" s="33">
        <f>IF($R$3="","",INDEX(전체채점!K$3:K$62,$R$3))</f>
        <v/>
      </c>
      <c r="I30" s="33">
        <f>IF($R$3="","",INDEX(전체채점!L$3:L$62,$R$3))</f>
        <v/>
      </c>
      <c r="J30" s="33">
        <f>IF($R$3="","",INDEX(전체채점!M$3:M$62,$R$3))</f>
        <v/>
      </c>
      <c r="K30" s="33">
        <f>IF($R$3="","",INDEX(전체채점!N$3:N$62,$R$3))</f>
        <v/>
      </c>
      <c r="L30" s="33">
        <f>IF($R$3="","",INDEX(전체채점!O$3:O$62,$R$3))</f>
        <v/>
      </c>
      <c r="M30" s="33">
        <f>IF($R$3="","",INDEX(전체채점!P$3:P$62,$R$3))</f>
        <v/>
      </c>
      <c r="N30" s="33">
        <f>IF($R$3="","",INDEX(전체채점!Q$3:Q$62,$R$3))</f>
        <v/>
      </c>
      <c r="O30" s="33">
        <f>IF($R$3="","",INDEX(전체채점!R$3:R$62,$R$3))</f>
        <v/>
      </c>
      <c r="P30" s="33">
        <f>IF($R$3="","",INDEX(전체채점!S$3:S$62,$R$3))</f>
        <v/>
      </c>
    </row>
    <row r="31">
      <c r="A31" s="52" t="inlineStr">
        <is>
          <t>정오</t>
        </is>
      </c>
      <c r="B31" s="33">
        <f>IF($R$3="","",INDEX(전체채점!AX$3:AX$62,$R$3))</f>
        <v/>
      </c>
      <c r="C31" s="33">
        <f>IF($R$3="","",INDEX(전체채점!AY$3:AY$62,$R$3))</f>
        <v/>
      </c>
      <c r="D31" s="33">
        <f>IF($R$3="","",INDEX(전체채점!AZ$3:AZ$62,$R$3))</f>
        <v/>
      </c>
      <c r="E31" s="33">
        <f>IF($R$3="","",INDEX(전체채점!BA$3:BA$62,$R$3))</f>
        <v/>
      </c>
      <c r="F31" s="33">
        <f>IF($R$3="","",INDEX(전체채점!BB$3:BB$62,$R$3))</f>
        <v/>
      </c>
      <c r="G31" s="33">
        <f>IF($R$3="","",INDEX(전체채점!BC$3:BC$62,$R$3))</f>
        <v/>
      </c>
      <c r="H31" s="33">
        <f>IF($R$3="","",INDEX(전체채점!BD$3:BD$62,$R$3))</f>
        <v/>
      </c>
      <c r="I31" s="33">
        <f>IF($R$3="","",INDEX(전체채점!BE$3:BE$62,$R$3))</f>
        <v/>
      </c>
      <c r="J31" s="33">
        <f>IF($R$3="","",INDEX(전체채점!BF$3:BF$62,$R$3))</f>
        <v/>
      </c>
      <c r="K31" s="33">
        <f>IF($R$3="","",INDEX(전체채점!BG$3:BG$62,$R$3))</f>
        <v/>
      </c>
      <c r="L31" s="33">
        <f>IF($R$3="","",INDEX(전체채점!BH$3:BH$62,$R$3))</f>
        <v/>
      </c>
      <c r="M31" s="33">
        <f>IF($R$3="","",INDEX(전체채점!BI$3:BI$62,$R$3))</f>
        <v/>
      </c>
      <c r="N31" s="33">
        <f>IF($R$3="","",INDEX(전체채점!BJ$3:BJ$62,$R$3))</f>
        <v/>
      </c>
      <c r="O31" s="33">
        <f>IF($R$3="","",INDEX(전체채점!BK$3:BK$62,$R$3))</f>
        <v/>
      </c>
      <c r="P31" s="33">
        <f>IF($R$3="","",INDEX(전체채점!BL$3:BL$62,$R$3))</f>
        <v/>
      </c>
    </row>
    <row r="32">
      <c r="A32" s="50" t="inlineStr">
        <is>
          <t>문항 번호</t>
        </is>
      </c>
      <c r="B32" s="51" t="n">
        <v>16</v>
      </c>
      <c r="C32" s="51" t="n">
        <v>17</v>
      </c>
      <c r="D32" s="51" t="n">
        <v>18</v>
      </c>
      <c r="E32" s="51" t="n">
        <v>19</v>
      </c>
      <c r="F32" s="51" t="n">
        <v>20</v>
      </c>
      <c r="G32" s="51" t="n">
        <v>21</v>
      </c>
      <c r="H32" s="51" t="n">
        <v>22</v>
      </c>
      <c r="I32" s="51" t="n">
        <v>23</v>
      </c>
      <c r="J32" s="51" t="n">
        <v>24</v>
      </c>
      <c r="K32" s="51" t="n">
        <v>25</v>
      </c>
      <c r="L32" s="51" t="n">
        <v>26</v>
      </c>
      <c r="M32" s="51" t="n">
        <v>27</v>
      </c>
      <c r="N32" s="51" t="n">
        <v>28</v>
      </c>
      <c r="O32" s="51" t="n">
        <v>29</v>
      </c>
      <c r="P32" s="51" t="n">
        <v>30</v>
      </c>
    </row>
    <row r="33">
      <c r="A33" s="52" t="inlineStr">
        <is>
          <t>정답</t>
        </is>
      </c>
      <c r="B33" s="33">
        <f>IF($R$4="","",IF($R$4="언어와 매체",자동계산!$D$19,자동계산!$B$19))</f>
        <v/>
      </c>
      <c r="C33" s="33">
        <f>IF($R$4="","",IF($R$4="언어와 매체",자동계산!$D$20,자동계산!$B$20))</f>
        <v/>
      </c>
      <c r="D33" s="33">
        <f>IF($R$4="","",IF($R$4="언어와 매체",자동계산!$D$21,자동계산!$B$21))</f>
        <v/>
      </c>
      <c r="E33" s="33">
        <f>IF($R$4="","",IF($R$4="언어와 매체",자동계산!$D$22,자동계산!$B$22))</f>
        <v/>
      </c>
      <c r="F33" s="33">
        <f>IF($R$4="","",IF($R$4="언어와 매체",자동계산!$D$23,자동계산!$B$23))</f>
        <v/>
      </c>
      <c r="G33" s="33">
        <f>IF($R$4="","",IF($R$4="언어와 매체",자동계산!$D$24,자동계산!$B$24))</f>
        <v/>
      </c>
      <c r="H33" s="33">
        <f>IF($R$4="","",IF($R$4="언어와 매체",자동계산!$D$25,자동계산!$B$25))</f>
        <v/>
      </c>
      <c r="I33" s="33">
        <f>IF($R$4="","",IF($R$4="언어와 매체",자동계산!$D$26,자동계산!$B$26))</f>
        <v/>
      </c>
      <c r="J33" s="33">
        <f>IF($R$4="","",IF($R$4="언어와 매체",자동계산!$D$27,자동계산!$B$27))</f>
        <v/>
      </c>
      <c r="K33" s="33">
        <f>IF($R$4="","",IF($R$4="언어와 매체",자동계산!$D$28,자동계산!$B$28))</f>
        <v/>
      </c>
      <c r="L33" s="33">
        <f>IF($R$4="","",IF($R$4="언어와 매체",자동계산!$D$29,자동계산!$B$29))</f>
        <v/>
      </c>
      <c r="M33" s="33">
        <f>IF($R$4="","",IF($R$4="언어와 매체",자동계산!$D$30,자동계산!$B$30))</f>
        <v/>
      </c>
      <c r="N33" s="33">
        <f>IF($R$4="","",IF($R$4="언어와 매체",자동계산!$D$31,자동계산!$B$31))</f>
        <v/>
      </c>
      <c r="O33" s="33">
        <f>IF($R$4="","",IF($R$4="언어와 매체",자동계산!$D$32,자동계산!$B$32))</f>
        <v/>
      </c>
      <c r="P33" s="33">
        <f>IF($R$4="","",IF($R$4="언어와 매체",자동계산!$D$33,자동계산!$B$33))</f>
        <v/>
      </c>
    </row>
    <row r="34">
      <c r="A34" s="52" t="inlineStr">
        <is>
          <t>학생답안</t>
        </is>
      </c>
      <c r="B34" s="33">
        <f>IF($R$3="","",INDEX(전체채점!T$3:T$62,$R$3))</f>
        <v/>
      </c>
      <c r="C34" s="33">
        <f>IF($R$3="","",INDEX(전체채점!U$3:U$62,$R$3))</f>
        <v/>
      </c>
      <c r="D34" s="33">
        <f>IF($R$3="","",INDEX(전체채점!V$3:V$62,$R$3))</f>
        <v/>
      </c>
      <c r="E34" s="33">
        <f>IF($R$3="","",INDEX(전체채점!W$3:W$62,$R$3))</f>
        <v/>
      </c>
      <c r="F34" s="33">
        <f>IF($R$3="","",INDEX(전체채점!X$3:X$62,$R$3))</f>
        <v/>
      </c>
      <c r="G34" s="33">
        <f>IF($R$3="","",INDEX(전체채점!Y$3:Y$62,$R$3))</f>
        <v/>
      </c>
      <c r="H34" s="33">
        <f>IF($R$3="","",INDEX(전체채점!Z$3:Z$62,$R$3))</f>
        <v/>
      </c>
      <c r="I34" s="33">
        <f>IF($R$3="","",INDEX(전체채점!AA$3:AA$62,$R$3))</f>
        <v/>
      </c>
      <c r="J34" s="33">
        <f>IF($R$3="","",INDEX(전체채점!AB$3:AB$62,$R$3))</f>
        <v/>
      </c>
      <c r="K34" s="33">
        <f>IF($R$3="","",INDEX(전체채점!AC$3:AC$62,$R$3))</f>
        <v/>
      </c>
      <c r="L34" s="33">
        <f>IF($R$3="","",INDEX(전체채점!AD$3:AD$62,$R$3))</f>
        <v/>
      </c>
      <c r="M34" s="33">
        <f>IF($R$3="","",INDEX(전체채점!AE$3:AE$62,$R$3))</f>
        <v/>
      </c>
      <c r="N34" s="33">
        <f>IF($R$3="","",INDEX(전체채점!AF$3:AF$62,$R$3))</f>
        <v/>
      </c>
      <c r="O34" s="33">
        <f>IF($R$3="","",INDEX(전체채점!AG$3:AG$62,$R$3))</f>
        <v/>
      </c>
      <c r="P34" s="33">
        <f>IF($R$3="","",INDEX(전체채점!AH$3:AH$62,$R$3))</f>
        <v/>
      </c>
    </row>
    <row r="35">
      <c r="A35" s="52" t="inlineStr">
        <is>
          <t>정오</t>
        </is>
      </c>
      <c r="B35" s="33">
        <f>IF($R$3="","",INDEX(전체채점!BM$3:BM$62,$R$3))</f>
        <v/>
      </c>
      <c r="C35" s="33">
        <f>IF($R$3="","",INDEX(전체채점!BN$3:BN$62,$R$3))</f>
        <v/>
      </c>
      <c r="D35" s="33">
        <f>IF($R$3="","",INDEX(전체채점!BO$3:BO$62,$R$3))</f>
        <v/>
      </c>
      <c r="E35" s="33">
        <f>IF($R$3="","",INDEX(전체채점!BP$3:BP$62,$R$3))</f>
        <v/>
      </c>
      <c r="F35" s="33">
        <f>IF($R$3="","",INDEX(전체채점!BQ$3:BQ$62,$R$3))</f>
        <v/>
      </c>
      <c r="G35" s="33">
        <f>IF($R$3="","",INDEX(전체채점!BR$3:BR$62,$R$3))</f>
        <v/>
      </c>
      <c r="H35" s="33">
        <f>IF($R$3="","",INDEX(전체채점!BS$3:BS$62,$R$3))</f>
        <v/>
      </c>
      <c r="I35" s="33">
        <f>IF($R$3="","",INDEX(전체채점!BT$3:BT$62,$R$3))</f>
        <v/>
      </c>
      <c r="J35" s="33">
        <f>IF($R$3="","",INDEX(전체채점!BU$3:BU$62,$R$3))</f>
        <v/>
      </c>
      <c r="K35" s="33">
        <f>IF($R$3="","",INDEX(전체채점!BV$3:BV$62,$R$3))</f>
        <v/>
      </c>
      <c r="L35" s="33">
        <f>IF($R$3="","",INDEX(전체채점!BW$3:BW$62,$R$3))</f>
        <v/>
      </c>
      <c r="M35" s="33">
        <f>IF($R$3="","",INDEX(전체채점!BX$3:BX$62,$R$3))</f>
        <v/>
      </c>
      <c r="N35" s="33">
        <f>IF($R$3="","",INDEX(전체채점!BY$3:BY$62,$R$3))</f>
        <v/>
      </c>
      <c r="O35" s="33">
        <f>IF($R$3="","",INDEX(전체채점!BZ$3:BZ$62,$R$3))</f>
        <v/>
      </c>
      <c r="P35" s="33">
        <f>IF($R$3="","",INDEX(전체채점!CA$3:CA$62,$R$3))</f>
        <v/>
      </c>
    </row>
    <row r="36">
      <c r="A36" s="50" t="inlineStr">
        <is>
          <t>문항 번호</t>
        </is>
      </c>
      <c r="B36" s="51" t="n">
        <v>31</v>
      </c>
      <c r="C36" s="51" t="n">
        <v>32</v>
      </c>
      <c r="D36" s="51" t="n">
        <v>33</v>
      </c>
      <c r="E36" s="51" t="n">
        <v>34</v>
      </c>
      <c r="F36" s="51" t="n">
        <v>35</v>
      </c>
      <c r="G36" s="51" t="n">
        <v>36</v>
      </c>
      <c r="H36" s="51" t="n">
        <v>37</v>
      </c>
      <c r="I36" s="51" t="n">
        <v>38</v>
      </c>
      <c r="J36" s="51" t="n">
        <v>39</v>
      </c>
      <c r="K36" s="51" t="n">
        <v>40</v>
      </c>
      <c r="L36" s="51" t="n">
        <v>41</v>
      </c>
      <c r="M36" s="51" t="n">
        <v>42</v>
      </c>
      <c r="N36" s="51" t="n">
        <v>43</v>
      </c>
      <c r="O36" s="51" t="n">
        <v>44</v>
      </c>
      <c r="P36" s="51" t="n">
        <v>45</v>
      </c>
    </row>
    <row r="37">
      <c r="A37" s="52" t="inlineStr">
        <is>
          <t>정답</t>
        </is>
      </c>
      <c r="B37" s="33">
        <f>IF($R$4="","",IF($R$4="언어와 매체",자동계산!$D$34,자동계산!$B$34))</f>
        <v/>
      </c>
      <c r="C37" s="33">
        <f>IF($R$4="","",IF($R$4="언어와 매체",자동계산!$D$35,자동계산!$B$35))</f>
        <v/>
      </c>
      <c r="D37" s="33">
        <f>IF($R$4="","",IF($R$4="언어와 매체",자동계산!$D$36,자동계산!$B$36))</f>
        <v/>
      </c>
      <c r="E37" s="33">
        <f>IF($R$4="","",IF($R$4="언어와 매체",자동계산!$D$37,자동계산!$B$37))</f>
        <v/>
      </c>
      <c r="F37" s="33">
        <f>IF($R$4="","",IF($R$4="언어와 매체",자동계산!$D$38,자동계산!$B$38))</f>
        <v/>
      </c>
      <c r="G37" s="33">
        <f>IF($R$4="","",IF($R$4="언어와 매체",자동계산!$D$39,자동계산!$B$39))</f>
        <v/>
      </c>
      <c r="H37" s="33">
        <f>IF($R$4="","",IF($R$4="언어와 매체",자동계산!$D$40,자동계산!$B$40))</f>
        <v/>
      </c>
      <c r="I37" s="33">
        <f>IF($R$4="","",IF($R$4="언어와 매체",자동계산!$D$41,자동계산!$B$41))</f>
        <v/>
      </c>
      <c r="J37" s="33">
        <f>IF($R$4="","",IF($R$4="언어와 매체",자동계산!$D$42,자동계산!$B$42))</f>
        <v/>
      </c>
      <c r="K37" s="33">
        <f>IF($R$4="","",IF($R$4="언어와 매체",자동계산!$D$43,자동계산!$B$43))</f>
        <v/>
      </c>
      <c r="L37" s="33">
        <f>IF($R$4="","",IF($R$4="언어와 매체",자동계산!$D$44,자동계산!$B$44))</f>
        <v/>
      </c>
      <c r="M37" s="33">
        <f>IF($R$4="","",IF($R$4="언어와 매체",자동계산!$D$45,자동계산!$B$45))</f>
        <v/>
      </c>
      <c r="N37" s="33">
        <f>IF($R$4="","",IF($R$4="언어와 매체",자동계산!$D$46,자동계산!$B$46))</f>
        <v/>
      </c>
      <c r="O37" s="33">
        <f>IF($R$4="","",IF($R$4="언어와 매체",자동계산!$D$47,자동계산!$B$47))</f>
        <v/>
      </c>
      <c r="P37" s="33">
        <f>IF($R$4="","",IF($R$4="언어와 매체",자동계산!$D$48,자동계산!$B$48))</f>
        <v/>
      </c>
    </row>
    <row r="38">
      <c r="A38" s="52" t="inlineStr">
        <is>
          <t>학생답안</t>
        </is>
      </c>
      <c r="B38" s="33">
        <f>IF($R$3="","",INDEX(전체채점!AI$3:AI$62,$R$3))</f>
        <v/>
      </c>
      <c r="C38" s="33">
        <f>IF($R$3="","",INDEX(전체채점!AJ$3:AJ$62,$R$3))</f>
        <v/>
      </c>
      <c r="D38" s="33">
        <f>IF($R$3="","",INDEX(전체채점!AK$3:AK$62,$R$3))</f>
        <v/>
      </c>
      <c r="E38" s="33">
        <f>IF($R$3="","",INDEX(전체채점!AL$3:AL$62,$R$3))</f>
        <v/>
      </c>
      <c r="F38" s="33">
        <f>IF($R$3="","",INDEX(전체채점!AM$3:AM$62,$R$3))</f>
        <v/>
      </c>
      <c r="G38" s="33">
        <f>IF($R$3="","",INDEX(전체채점!AN$3:AN$62,$R$3))</f>
        <v/>
      </c>
      <c r="H38" s="33">
        <f>IF($R$3="","",INDEX(전체채점!AO$3:AO$62,$R$3))</f>
        <v/>
      </c>
      <c r="I38" s="33">
        <f>IF($R$3="","",INDEX(전체채점!AP$3:AP$62,$R$3))</f>
        <v/>
      </c>
      <c r="J38" s="33">
        <f>IF($R$3="","",INDEX(전체채점!AQ$3:AQ$62,$R$3))</f>
        <v/>
      </c>
      <c r="K38" s="33">
        <f>IF($R$3="","",INDEX(전체채점!AR$3:AR$62,$R$3))</f>
        <v/>
      </c>
      <c r="L38" s="33">
        <f>IF($R$3="","",INDEX(전체채점!AS$3:AS$62,$R$3))</f>
        <v/>
      </c>
      <c r="M38" s="33">
        <f>IF($R$3="","",INDEX(전체채점!AT$3:AT$62,$R$3))</f>
        <v/>
      </c>
      <c r="N38" s="33">
        <f>IF($R$3="","",INDEX(전체채점!AU$3:AU$62,$R$3))</f>
        <v/>
      </c>
      <c r="O38" s="33">
        <f>IF($R$3="","",INDEX(전체채점!AV$3:AV$62,$R$3))</f>
        <v/>
      </c>
      <c r="P38" s="33">
        <f>IF($R$3="","",INDEX(전체채점!AW$3:AW$62,$R$3))</f>
        <v/>
      </c>
    </row>
    <row r="39">
      <c r="A39" s="52" t="inlineStr">
        <is>
          <t>정오</t>
        </is>
      </c>
      <c r="B39" s="33">
        <f>IF($R$3="","",INDEX(전체채점!CB$3:CB$62,$R$3))</f>
        <v/>
      </c>
      <c r="C39" s="33">
        <f>IF($R$3="","",INDEX(전체채점!CC$3:CC$62,$R$3))</f>
        <v/>
      </c>
      <c r="D39" s="33">
        <f>IF($R$3="","",INDEX(전체채점!CD$3:CD$62,$R$3))</f>
        <v/>
      </c>
      <c r="E39" s="33">
        <f>IF($R$3="","",INDEX(전체채점!CE$3:CE$62,$R$3))</f>
        <v/>
      </c>
      <c r="F39" s="33">
        <f>IF($R$3="","",INDEX(전체채점!CF$3:CF$62,$R$3))</f>
        <v/>
      </c>
      <c r="G39" s="33">
        <f>IF($R$3="","",INDEX(전체채점!CG$3:CG$62,$R$3))</f>
        <v/>
      </c>
      <c r="H39" s="33">
        <f>IF($R$3="","",INDEX(전체채점!CH$3:CH$62,$R$3))</f>
        <v/>
      </c>
      <c r="I39" s="33">
        <f>IF($R$3="","",INDEX(전체채점!CI$3:CI$62,$R$3))</f>
        <v/>
      </c>
      <c r="J39" s="33">
        <f>IF($R$3="","",INDEX(전체채점!CJ$3:CJ$62,$R$3))</f>
        <v/>
      </c>
      <c r="K39" s="33">
        <f>IF($R$3="","",INDEX(전체채점!CK$3:CK$62,$R$3))</f>
        <v/>
      </c>
      <c r="L39" s="33">
        <f>IF($R$3="","",INDEX(전체채점!CL$3:CL$62,$R$3))</f>
        <v/>
      </c>
      <c r="M39" s="33">
        <f>IF($R$3="","",INDEX(전체채점!CM$3:CM$62,$R$3))</f>
        <v/>
      </c>
      <c r="N39" s="33">
        <f>IF($R$3="","",INDEX(전체채점!CN$3:CN$62,$R$3))</f>
        <v/>
      </c>
      <c r="O39" s="33">
        <f>IF($R$3="","",INDEX(전체채점!CO$3:CO$62,$R$3))</f>
        <v/>
      </c>
      <c r="P39" s="33">
        <f>IF($R$3="","",INDEX(전체채점!CP$3:CP$62,$R$3))</f>
        <v/>
      </c>
    </row>
    <row r="41">
      <c r="A41" s="53" t="inlineStr">
        <is>
          <t>※ 위 노란 칸(성명)을 누르면 학생 목록이 펼쳐집니다. 고르면 성적표가 그 학생 것으로 바뀝니다.</t>
        </is>
      </c>
    </row>
  </sheetData>
  <mergeCells count="61">
    <mergeCell ref="A25:C25"/>
    <mergeCell ref="B16:C16"/>
    <mergeCell ref="H21:P21"/>
    <mergeCell ref="M8:P8"/>
    <mergeCell ref="F11:P11"/>
    <mergeCell ref="I8:L8"/>
    <mergeCell ref="F16:G16"/>
    <mergeCell ref="F19:G19"/>
    <mergeCell ref="F25:G25"/>
    <mergeCell ref="F8:H8"/>
    <mergeCell ref="B22:C22"/>
    <mergeCell ref="B18:C18"/>
    <mergeCell ref="D5:G5"/>
    <mergeCell ref="H17:P17"/>
    <mergeCell ref="H5:K5"/>
    <mergeCell ref="B12:C12"/>
    <mergeCell ref="F21:G21"/>
    <mergeCell ref="H16:P16"/>
    <mergeCell ref="B21:C21"/>
    <mergeCell ref="F12:G12"/>
    <mergeCell ref="F24:G24"/>
    <mergeCell ref="I9:L9"/>
    <mergeCell ref="A5:C5"/>
    <mergeCell ref="F15:G15"/>
    <mergeCell ref="H19:P19"/>
    <mergeCell ref="F20:G20"/>
    <mergeCell ref="F18:G18"/>
    <mergeCell ref="B23:C23"/>
    <mergeCell ref="H22:P22"/>
    <mergeCell ref="B14:C14"/>
    <mergeCell ref="H13:P13"/>
    <mergeCell ref="F9:H9"/>
    <mergeCell ref="B17:C17"/>
    <mergeCell ref="L5:P5"/>
    <mergeCell ref="A4:C4"/>
    <mergeCell ref="F17:G17"/>
    <mergeCell ref="H12:P12"/>
    <mergeCell ref="M9:P9"/>
    <mergeCell ref="B13:C13"/>
    <mergeCell ref="H4:K4"/>
    <mergeCell ref="L4:P4"/>
    <mergeCell ref="H24:P24"/>
    <mergeCell ref="H15:P15"/>
    <mergeCell ref="H18:P18"/>
    <mergeCell ref="A1:P1"/>
    <mergeCell ref="B19:C19"/>
    <mergeCell ref="F23:G23"/>
    <mergeCell ref="H23:P23"/>
    <mergeCell ref="H14:P14"/>
    <mergeCell ref="F22:G22"/>
    <mergeCell ref="A8:E8"/>
    <mergeCell ref="F13:G13"/>
    <mergeCell ref="A41:P41"/>
    <mergeCell ref="H20:P20"/>
    <mergeCell ref="B24:C24"/>
    <mergeCell ref="B15:C15"/>
    <mergeCell ref="B20:C20"/>
    <mergeCell ref="H25:P25"/>
    <mergeCell ref="F14:G14"/>
    <mergeCell ref="A9:E9"/>
    <mergeCell ref="D4:G4"/>
  </mergeCells>
  <conditionalFormatting sqref="B31:P31">
    <cfRule type="cellIs" priority="1" operator="equal" dxfId="2">
      <formula>0</formula>
    </cfRule>
  </conditionalFormatting>
  <conditionalFormatting sqref="B35:P35">
    <cfRule type="cellIs" priority="2" operator="equal" dxfId="2">
      <formula>0</formula>
    </cfRule>
  </conditionalFormatting>
  <conditionalFormatting sqref="B39:P39">
    <cfRule type="cellIs" priority="3" operator="equal" dxfId="2">
      <formula>0</formula>
    </cfRule>
  </conditionalFormatting>
  <dataValidations count="1">
    <dataValidation sqref="A5" showDropDown="0" showInputMessage="0" showErrorMessage="0" allowBlank="1" type="list">
      <formula1>=답안입력!$A$3:$A$62</formula1>
    </dataValidation>
  </dataValidations>
  <pageMargins left="0.3" right="0.3" top="0.4" bottom="0.4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245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5.6" customWidth="1" min="2" max="2"/>
    <col width="5.6" customWidth="1" min="3" max="3"/>
    <col width="5.6" customWidth="1" min="4" max="4"/>
    <col width="5.6" customWidth="1" min="5" max="5"/>
    <col width="5.6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5.6" customWidth="1" min="15" max="15"/>
    <col width="5.6" customWidth="1" min="16" max="16"/>
    <col hidden="1" width="5" customWidth="1" min="18" max="18"/>
    <col hidden="1" width="5" customWidth="1" min="19" max="19"/>
  </cols>
  <sheetData>
    <row r="1" ht="34" customHeight="1">
      <c r="A1" s="36">
        <f>IF($R$3="","",회차설정!$B$2&amp;" 성적표")</f>
        <v/>
      </c>
    </row>
    <row r="3">
      <c r="A3" s="12" t="inlineStr">
        <is>
          <t>1. 학생정보</t>
        </is>
      </c>
      <c r="R3" s="37">
        <f>IF(답안입력!$A$3="","",1)</f>
        <v/>
      </c>
      <c r="S3" s="37">
        <f>IF($R$4="","",IFERROR(IF($R$4="언어와 매체",MATCH(1,회차설정!$G$13:$G$27,0),MATCH(1,회차설정!$F$13:$F$27,0)),""))</f>
        <v/>
      </c>
    </row>
    <row r="4">
      <c r="A4" s="13" t="inlineStr">
        <is>
          <t>성명</t>
        </is>
      </c>
      <c r="B4" s="7" t="n"/>
      <c r="C4" s="8" t="n"/>
      <c r="D4" s="13" t="inlineStr">
        <is>
          <t>선택과목</t>
        </is>
      </c>
      <c r="E4" s="7" t="n"/>
      <c r="F4" s="7" t="n"/>
      <c r="G4" s="8" t="n"/>
      <c r="H4" s="13" t="inlineStr">
        <is>
          <t>학년</t>
        </is>
      </c>
      <c r="I4" s="7" t="n"/>
      <c r="J4" s="7" t="n"/>
      <c r="K4" s="8" t="n"/>
      <c r="L4" s="13" t="inlineStr">
        <is>
          <t>시행일</t>
        </is>
      </c>
      <c r="M4" s="7" t="n"/>
      <c r="N4" s="7" t="n"/>
      <c r="O4" s="7" t="n"/>
      <c r="P4" s="8" t="n"/>
      <c r="R4" s="37">
        <f>IF($R$3="","",INDEX(전체채점!$B$3:$B$62,$R$3))</f>
        <v/>
      </c>
      <c r="S4" s="37">
        <f>IF($R$4="","",IFERROR(IF($R$4="언어와 매체",MATCH(2,회차설정!$G$13:$G$27,0),MATCH(2,회차설정!$F$13:$F$27,0)),""))</f>
        <v/>
      </c>
    </row>
    <row r="5" ht="26" customHeight="1">
      <c r="A5" s="39">
        <f>IF($R$3="","",INDEX(답안입력!$A$3:$A$62,$R$3))</f>
        <v/>
      </c>
      <c r="B5" s="7" t="n"/>
      <c r="C5" s="8" t="n"/>
      <c r="D5" s="39">
        <f>IF($R$3="","",INDEX(답안입력!$C$3:$C$62,$R$3))</f>
        <v/>
      </c>
      <c r="E5" s="7" t="n"/>
      <c r="F5" s="7" t="n"/>
      <c r="G5" s="8" t="n"/>
      <c r="H5" s="39">
        <f>IF($R$3="","",INDEX(답안입력!$B$3:$B$62,$R$3))</f>
        <v/>
      </c>
      <c r="I5" s="7" t="n"/>
      <c r="J5" s="7" t="n"/>
      <c r="K5" s="8" t="n"/>
      <c r="L5" s="40">
        <f>회차설정!$B$3</f>
        <v/>
      </c>
      <c r="M5" s="7" t="n"/>
      <c r="N5" s="7" t="n"/>
      <c r="O5" s="7" t="n"/>
      <c r="P5" s="8" t="n"/>
      <c r="R5" s="37">
        <f>IF($R$4="언어와 매체",회차설정!$B$9,회차설정!$B$8)</f>
        <v/>
      </c>
      <c r="S5" s="37">
        <f>IF($R$4="","",IFERROR(IF($R$4="언어와 매체",MATCH(3,회차설정!$G$13:$G$27,0),MATCH(3,회차설정!$F$13:$F$27,0)),""))</f>
        <v/>
      </c>
    </row>
    <row r="6">
      <c r="R6" s="37">
        <f>IF($R$4="언어와 매체",회차설정!$C$9,회차설정!$C$8)</f>
        <v/>
      </c>
      <c r="S6" s="37">
        <f>IF($R$4="","",IFERROR(IF($R$4="언어와 매체",MATCH(4,회차설정!$G$13:$G$27,0),MATCH(4,회차설정!$F$13:$F$27,0)),""))</f>
        <v/>
      </c>
    </row>
    <row r="7">
      <c r="A7" s="12" t="inlineStr">
        <is>
          <t>2. 성적</t>
        </is>
      </c>
      <c r="R7" s="37">
        <f>IF($R$4="언어와 매체",회차설정!$D$9,회차설정!$D$8)</f>
        <v/>
      </c>
      <c r="S7" s="37">
        <f>IF($R$4="","",IFERROR(IF($R$4="언어와 매체",MATCH(5,회차설정!$G$13:$G$27,0),MATCH(5,회차설정!$F$13:$F$27,0)),""))</f>
        <v/>
      </c>
    </row>
    <row r="8">
      <c r="A8" s="13" t="inlineStr">
        <is>
          <t>점수 (100점 만점)</t>
        </is>
      </c>
      <c r="B8" s="7" t="n"/>
      <c r="C8" s="7" t="n"/>
      <c r="D8" s="7" t="n"/>
      <c r="E8" s="8" t="n"/>
      <c r="F8" s="13" t="inlineStr">
        <is>
          <t>등급</t>
        </is>
      </c>
      <c r="G8" s="7" t="n"/>
      <c r="H8" s="8" t="n"/>
      <c r="I8" s="13" t="inlineStr">
        <is>
          <t>등급컷</t>
        </is>
      </c>
      <c r="J8" s="7" t="n"/>
      <c r="K8" s="7" t="n"/>
      <c r="L8" s="8" t="n"/>
      <c r="M8" s="13" t="inlineStr">
        <is>
          <t>같은 선택과목 평균</t>
        </is>
      </c>
      <c r="N8" s="7" t="n"/>
      <c r="O8" s="7" t="n"/>
      <c r="P8" s="8" t="n"/>
      <c r="R8" s="37">
        <f>IF($R$4="언어와 매체",회차설정!$E$9,회차설정!$E$8)</f>
        <v/>
      </c>
      <c r="S8" s="37">
        <f>IF($R$4="","",IFERROR(IF($R$4="언어와 매체",MATCH(6,회차설정!$G$13:$G$27,0),MATCH(6,회차설정!$F$13:$F$27,0)),""))</f>
        <v/>
      </c>
    </row>
    <row r="9" ht="34" customHeight="1">
      <c r="A9" s="41">
        <f>IF($R$3="","",INDEX(전체채점!$C$3:$C$62,$R$3))</f>
        <v/>
      </c>
      <c r="B9" s="7" t="n"/>
      <c r="C9" s="7" t="n"/>
      <c r="D9" s="7" t="n"/>
      <c r="E9" s="8" t="n"/>
      <c r="F9" s="42">
        <f>IF($R$3="","",INDEX(전체채점!$D$3:$D$62,$R$3))</f>
        <v/>
      </c>
      <c r="G9" s="7" t="n"/>
      <c r="H9" s="8" t="n"/>
      <c r="I9" s="43">
        <f>IF($R$3="","",$R$5&amp;"-"&amp;$R$6&amp;"-"&amp;$R$7&amp;"-"&amp;$R$8)</f>
        <v/>
      </c>
      <c r="J9" s="7" t="n"/>
      <c r="K9" s="7" t="n"/>
      <c r="L9" s="8" t="n"/>
      <c r="M9" s="44">
        <f>IFERROR(AVERAGEIF(전체채점!$B$3:$B$62,$R$4,전체채점!$C$3:$C$62),"")</f>
        <v/>
      </c>
      <c r="N9" s="7" t="n"/>
      <c r="O9" s="7" t="n"/>
      <c r="P9" s="8" t="n"/>
      <c r="S9" s="37">
        <f>IF($R$4="","",IFERROR(IF($R$4="언어와 매체",MATCH(7,회차설정!$G$13:$G$27,0),MATCH(7,회차설정!$F$13:$F$27,0)),""))</f>
        <v/>
      </c>
    </row>
    <row r="10">
      <c r="S10" s="37">
        <f>IF($R$4="","",IFERROR(IF($R$4="언어와 매체",MATCH(8,회차설정!$G$13:$G$27,0),MATCH(8,회차설정!$F$13:$F$27,0)),""))</f>
        <v/>
      </c>
    </row>
    <row r="11">
      <c r="A11" s="12" t="inlineStr">
        <is>
          <t>3. 영역분류별 성취도 분석</t>
        </is>
      </c>
      <c r="F11" s="45">
        <f>IF(OR($R$3="",$E25=""),"",IF($E25=INDEX(전체채점!$C$3:$C$62,$R$3),"","※ 회차설정의 영역 표를 확인하세요 — 영역 합계와 점수가 다릅니다"))</f>
        <v/>
      </c>
      <c r="S11" s="37">
        <f>IF($R$4="","",IFERROR(IF($R$4="언어와 매체",MATCH(9,회차설정!$G$13:$G$27,0),MATCH(9,회차설정!$F$13:$F$27,0)),""))</f>
        <v/>
      </c>
    </row>
    <row r="12">
      <c r="A12" s="13" t="inlineStr">
        <is>
          <t>분류</t>
        </is>
      </c>
      <c r="B12" s="13" t="inlineStr">
        <is>
          <t>영역</t>
        </is>
      </c>
      <c r="C12" s="8" t="n"/>
      <c r="D12" s="13" t="inlineStr">
        <is>
          <t>배점</t>
        </is>
      </c>
      <c r="E12" s="13" t="inlineStr">
        <is>
          <t>득점</t>
        </is>
      </c>
      <c r="F12" s="13" t="inlineStr">
        <is>
          <t>성취도(%)</t>
        </is>
      </c>
      <c r="G12" s="8" t="n"/>
      <c r="H12" s="13" t="inlineStr"/>
      <c r="I12" s="7" t="n"/>
      <c r="J12" s="7" t="n"/>
      <c r="K12" s="7" t="n"/>
      <c r="L12" s="7" t="n"/>
      <c r="M12" s="7" t="n"/>
      <c r="N12" s="7" t="n"/>
      <c r="O12" s="7" t="n"/>
      <c r="P12" s="8" t="n"/>
      <c r="S12" s="37">
        <f>IF($R$4="","",IFERROR(IF($R$4="언어와 매체",MATCH(10,회차설정!$G$13:$G$27,0),MATCH(10,회차설정!$F$13:$F$27,0)),""))</f>
        <v/>
      </c>
    </row>
    <row r="13">
      <c r="A13" s="14">
        <f>IF($S$3="","",INDEX(회차설정!$A$13:$A$27,$S$3))</f>
        <v/>
      </c>
      <c r="B13" s="14">
        <f>IF($S$3="","",INDEX(회차설정!$B$13:$B$27,$S$3))</f>
        <v/>
      </c>
      <c r="C13" s="8" t="n"/>
      <c r="D13" s="14">
        <f>IF($S$3="","",IF($R$4="언어와 매체",SUMPRODUCT((자동계산!$A$4:$A$48&gt;=INDEX(회차설정!$C$13:$C$27,$S$3))*(자동계산!$A$4:$A$48&lt;=INDEX(회차설정!$D$13:$D$27,$S$3))*자동계산!$E$4:$E$48),SUMPRODUCT((자동계산!$A$4:$A$48&gt;=INDEX(회차설정!$C$13:$C$27,$S$3))*(자동계산!$A$4:$A$48&lt;=INDEX(회차설정!$D$13:$D$27,$S$3))*자동계산!$C$4:$C$48)))</f>
        <v/>
      </c>
      <c r="E13" s="14">
        <f>IF(OR($S$3="",$R$3=""),"",SUM(OFFSET(전체채점!$AW$2,$R$3,INDEX(회차설정!$C$13:$C$27,$S$3),1,INDEX(회차설정!$D$13:$D$27,$S$3)-INDEX(회차설정!$C$13:$C$27,$S$3)+1)))</f>
        <v/>
      </c>
      <c r="F13" s="46">
        <f>IF(OR($S$3="",$D13=0,$D13="",$E13=""),"",$E13/$D13*100)</f>
        <v/>
      </c>
      <c r="G13" s="8" t="n"/>
      <c r="H13" s="47">
        <f>IF($F13="","",REPT("■",ROUND($F13/5,0)))</f>
        <v/>
      </c>
      <c r="I13" s="7" t="n"/>
      <c r="J13" s="7" t="n"/>
      <c r="K13" s="7" t="n"/>
      <c r="L13" s="7" t="n"/>
      <c r="M13" s="7" t="n"/>
      <c r="N13" s="7" t="n"/>
      <c r="O13" s="7" t="n"/>
      <c r="P13" s="8" t="n"/>
      <c r="S13" s="37">
        <f>IF($R$4="","",IFERROR(IF($R$4="언어와 매체",MATCH(11,회차설정!$G$13:$G$27,0),MATCH(11,회차설정!$F$13:$F$27,0)),""))</f>
        <v/>
      </c>
    </row>
    <row r="14">
      <c r="A14" s="14">
        <f>IF($S$4="","",INDEX(회차설정!$A$13:$A$27,$S$4))</f>
        <v/>
      </c>
      <c r="B14" s="14">
        <f>IF($S$4="","",INDEX(회차설정!$B$13:$B$27,$S$4))</f>
        <v/>
      </c>
      <c r="C14" s="8" t="n"/>
      <c r="D14" s="14">
        <f>IF($S$4="","",IF($R$4="언어와 매체",SUMPRODUCT((자동계산!$A$4:$A$48&gt;=INDEX(회차설정!$C$13:$C$27,$S$4))*(자동계산!$A$4:$A$48&lt;=INDEX(회차설정!$D$13:$D$27,$S$4))*자동계산!$E$4:$E$48),SUMPRODUCT((자동계산!$A$4:$A$48&gt;=INDEX(회차설정!$C$13:$C$27,$S$4))*(자동계산!$A$4:$A$48&lt;=INDEX(회차설정!$D$13:$D$27,$S$4))*자동계산!$C$4:$C$48)))</f>
        <v/>
      </c>
      <c r="E14" s="14">
        <f>IF(OR($S$4="",$R$3=""),"",SUM(OFFSET(전체채점!$AW$2,$R$3,INDEX(회차설정!$C$13:$C$27,$S$4),1,INDEX(회차설정!$D$13:$D$27,$S$4)-INDEX(회차설정!$C$13:$C$27,$S$4)+1)))</f>
        <v/>
      </c>
      <c r="F14" s="46">
        <f>IF(OR($S$4="",$D14=0,$D14="",$E14=""),"",$E14/$D14*100)</f>
        <v/>
      </c>
      <c r="G14" s="8" t="n"/>
      <c r="H14" s="47">
        <f>IF($F14="","",REPT("■",ROUND($F14/5,0)))</f>
        <v/>
      </c>
      <c r="I14" s="7" t="n"/>
      <c r="J14" s="7" t="n"/>
      <c r="K14" s="7" t="n"/>
      <c r="L14" s="7" t="n"/>
      <c r="M14" s="7" t="n"/>
      <c r="N14" s="7" t="n"/>
      <c r="O14" s="7" t="n"/>
      <c r="P14" s="8" t="n"/>
      <c r="S14" s="37">
        <f>IF($R$4="","",IFERROR(IF($R$4="언어와 매체",MATCH(12,회차설정!$G$13:$G$27,0),MATCH(12,회차설정!$F$13:$F$27,0)),""))</f>
        <v/>
      </c>
    </row>
    <row r="15">
      <c r="A15" s="14">
        <f>IF($S$5="","",INDEX(회차설정!$A$13:$A$27,$S$5))</f>
        <v/>
      </c>
      <c r="B15" s="14">
        <f>IF($S$5="","",INDEX(회차설정!$B$13:$B$27,$S$5))</f>
        <v/>
      </c>
      <c r="C15" s="8" t="n"/>
      <c r="D15" s="14">
        <f>IF($S$5="","",IF($R$4="언어와 매체",SUMPRODUCT((자동계산!$A$4:$A$48&gt;=INDEX(회차설정!$C$13:$C$27,$S$5))*(자동계산!$A$4:$A$48&lt;=INDEX(회차설정!$D$13:$D$27,$S$5))*자동계산!$E$4:$E$48),SUMPRODUCT((자동계산!$A$4:$A$48&gt;=INDEX(회차설정!$C$13:$C$27,$S$5))*(자동계산!$A$4:$A$48&lt;=INDEX(회차설정!$D$13:$D$27,$S$5))*자동계산!$C$4:$C$48)))</f>
        <v/>
      </c>
      <c r="E15" s="14">
        <f>IF(OR($S$5="",$R$3=""),"",SUM(OFFSET(전체채점!$AW$2,$R$3,INDEX(회차설정!$C$13:$C$27,$S$5),1,INDEX(회차설정!$D$13:$D$27,$S$5)-INDEX(회차설정!$C$13:$C$27,$S$5)+1)))</f>
        <v/>
      </c>
      <c r="F15" s="46">
        <f>IF(OR($S$5="",$D15=0,$D15="",$E15=""),"",$E15/$D15*100)</f>
        <v/>
      </c>
      <c r="G15" s="8" t="n"/>
      <c r="H15" s="47">
        <f>IF($F15="","",REPT("■",ROUND($F15/5,0)))</f>
        <v/>
      </c>
      <c r="I15" s="7" t="n"/>
      <c r="J15" s="7" t="n"/>
      <c r="K15" s="7" t="n"/>
      <c r="L15" s="7" t="n"/>
      <c r="M15" s="7" t="n"/>
      <c r="N15" s="7" t="n"/>
      <c r="O15" s="7" t="n"/>
      <c r="P15" s="8" t="n"/>
    </row>
    <row r="16">
      <c r="A16" s="14">
        <f>IF($S$6="","",INDEX(회차설정!$A$13:$A$27,$S$6))</f>
        <v/>
      </c>
      <c r="B16" s="14">
        <f>IF($S$6="","",INDEX(회차설정!$B$13:$B$27,$S$6))</f>
        <v/>
      </c>
      <c r="C16" s="8" t="n"/>
      <c r="D16" s="14">
        <f>IF($S$6="","",IF($R$4="언어와 매체",SUMPRODUCT((자동계산!$A$4:$A$48&gt;=INDEX(회차설정!$C$13:$C$27,$S$6))*(자동계산!$A$4:$A$48&lt;=INDEX(회차설정!$D$13:$D$27,$S$6))*자동계산!$E$4:$E$48),SUMPRODUCT((자동계산!$A$4:$A$48&gt;=INDEX(회차설정!$C$13:$C$27,$S$6))*(자동계산!$A$4:$A$48&lt;=INDEX(회차설정!$D$13:$D$27,$S$6))*자동계산!$C$4:$C$48)))</f>
        <v/>
      </c>
      <c r="E16" s="14">
        <f>IF(OR($S$6="",$R$3=""),"",SUM(OFFSET(전체채점!$AW$2,$R$3,INDEX(회차설정!$C$13:$C$27,$S$6),1,INDEX(회차설정!$D$13:$D$27,$S$6)-INDEX(회차설정!$C$13:$C$27,$S$6)+1)))</f>
        <v/>
      </c>
      <c r="F16" s="46">
        <f>IF(OR($S$6="",$D16=0,$D16="",$E16=""),"",$E16/$D16*100)</f>
        <v/>
      </c>
      <c r="G16" s="8" t="n"/>
      <c r="H16" s="47">
        <f>IF($F16="","",REPT("■",ROUND($F16/5,0)))</f>
        <v/>
      </c>
      <c r="I16" s="7" t="n"/>
      <c r="J16" s="7" t="n"/>
      <c r="K16" s="7" t="n"/>
      <c r="L16" s="7" t="n"/>
      <c r="M16" s="7" t="n"/>
      <c r="N16" s="7" t="n"/>
      <c r="O16" s="7" t="n"/>
      <c r="P16" s="8" t="n"/>
    </row>
    <row r="17">
      <c r="A17" s="14">
        <f>IF($S$7="","",INDEX(회차설정!$A$13:$A$27,$S$7))</f>
        <v/>
      </c>
      <c r="B17" s="14">
        <f>IF($S$7="","",INDEX(회차설정!$B$13:$B$27,$S$7))</f>
        <v/>
      </c>
      <c r="C17" s="8" t="n"/>
      <c r="D17" s="14">
        <f>IF($S$7="","",IF($R$4="언어와 매체",SUMPRODUCT((자동계산!$A$4:$A$48&gt;=INDEX(회차설정!$C$13:$C$27,$S$7))*(자동계산!$A$4:$A$48&lt;=INDEX(회차설정!$D$13:$D$27,$S$7))*자동계산!$E$4:$E$48),SUMPRODUCT((자동계산!$A$4:$A$48&gt;=INDEX(회차설정!$C$13:$C$27,$S$7))*(자동계산!$A$4:$A$48&lt;=INDEX(회차설정!$D$13:$D$27,$S$7))*자동계산!$C$4:$C$48)))</f>
        <v/>
      </c>
      <c r="E17" s="14">
        <f>IF(OR($S$7="",$R$3=""),"",SUM(OFFSET(전체채점!$AW$2,$R$3,INDEX(회차설정!$C$13:$C$27,$S$7),1,INDEX(회차설정!$D$13:$D$27,$S$7)-INDEX(회차설정!$C$13:$C$27,$S$7)+1)))</f>
        <v/>
      </c>
      <c r="F17" s="46">
        <f>IF(OR($S$7="",$D17=0,$D17="",$E17=""),"",$E17/$D17*100)</f>
        <v/>
      </c>
      <c r="G17" s="8" t="n"/>
      <c r="H17" s="47">
        <f>IF($F17="","",REPT("■",ROUND($F17/5,0)))</f>
        <v/>
      </c>
      <c r="I17" s="7" t="n"/>
      <c r="J17" s="7" t="n"/>
      <c r="K17" s="7" t="n"/>
      <c r="L17" s="7" t="n"/>
      <c r="M17" s="7" t="n"/>
      <c r="N17" s="7" t="n"/>
      <c r="O17" s="7" t="n"/>
      <c r="P17" s="8" t="n"/>
    </row>
    <row r="18">
      <c r="A18" s="14">
        <f>IF($S$8="","",INDEX(회차설정!$A$13:$A$27,$S$8))</f>
        <v/>
      </c>
      <c r="B18" s="14">
        <f>IF($S$8="","",INDEX(회차설정!$B$13:$B$27,$S$8))</f>
        <v/>
      </c>
      <c r="C18" s="8" t="n"/>
      <c r="D18" s="14">
        <f>IF($S$8="","",IF($R$4="언어와 매체",SUMPRODUCT((자동계산!$A$4:$A$48&gt;=INDEX(회차설정!$C$13:$C$27,$S$8))*(자동계산!$A$4:$A$48&lt;=INDEX(회차설정!$D$13:$D$27,$S$8))*자동계산!$E$4:$E$48),SUMPRODUCT((자동계산!$A$4:$A$48&gt;=INDEX(회차설정!$C$13:$C$27,$S$8))*(자동계산!$A$4:$A$48&lt;=INDEX(회차설정!$D$13:$D$27,$S$8))*자동계산!$C$4:$C$48)))</f>
        <v/>
      </c>
      <c r="E18" s="14">
        <f>IF(OR($S$8="",$R$3=""),"",SUM(OFFSET(전체채점!$AW$2,$R$3,INDEX(회차설정!$C$13:$C$27,$S$8),1,INDEX(회차설정!$D$13:$D$27,$S$8)-INDEX(회차설정!$C$13:$C$27,$S$8)+1)))</f>
        <v/>
      </c>
      <c r="F18" s="46">
        <f>IF(OR($S$8="",$D18=0,$D18="",$E18=""),"",$E18/$D18*100)</f>
        <v/>
      </c>
      <c r="G18" s="8" t="n"/>
      <c r="H18" s="47">
        <f>IF($F18="","",REPT("■",ROUND($F18/5,0)))</f>
        <v/>
      </c>
      <c r="I18" s="7" t="n"/>
      <c r="J18" s="7" t="n"/>
      <c r="K18" s="7" t="n"/>
      <c r="L18" s="7" t="n"/>
      <c r="M18" s="7" t="n"/>
      <c r="N18" s="7" t="n"/>
      <c r="O18" s="7" t="n"/>
      <c r="P18" s="8" t="n"/>
    </row>
    <row r="19">
      <c r="A19" s="14">
        <f>IF($S$9="","",INDEX(회차설정!$A$13:$A$27,$S$9))</f>
        <v/>
      </c>
      <c r="B19" s="14">
        <f>IF($S$9="","",INDEX(회차설정!$B$13:$B$27,$S$9))</f>
        <v/>
      </c>
      <c r="C19" s="8" t="n"/>
      <c r="D19" s="14">
        <f>IF($S$9="","",IF($R$4="언어와 매체",SUMPRODUCT((자동계산!$A$4:$A$48&gt;=INDEX(회차설정!$C$13:$C$27,$S$9))*(자동계산!$A$4:$A$48&lt;=INDEX(회차설정!$D$13:$D$27,$S$9))*자동계산!$E$4:$E$48),SUMPRODUCT((자동계산!$A$4:$A$48&gt;=INDEX(회차설정!$C$13:$C$27,$S$9))*(자동계산!$A$4:$A$48&lt;=INDEX(회차설정!$D$13:$D$27,$S$9))*자동계산!$C$4:$C$48)))</f>
        <v/>
      </c>
      <c r="E19" s="14">
        <f>IF(OR($S$9="",$R$3=""),"",SUM(OFFSET(전체채점!$AW$2,$R$3,INDEX(회차설정!$C$13:$C$27,$S$9),1,INDEX(회차설정!$D$13:$D$27,$S$9)-INDEX(회차설정!$C$13:$C$27,$S$9)+1)))</f>
        <v/>
      </c>
      <c r="F19" s="46">
        <f>IF(OR($S$9="",$D19=0,$D19="",$E19=""),"",$E19/$D19*100)</f>
        <v/>
      </c>
      <c r="G19" s="8" t="n"/>
      <c r="H19" s="47">
        <f>IF($F19="","",REPT("■",ROUND($F19/5,0)))</f>
        <v/>
      </c>
      <c r="I19" s="7" t="n"/>
      <c r="J19" s="7" t="n"/>
      <c r="K19" s="7" t="n"/>
      <c r="L19" s="7" t="n"/>
      <c r="M19" s="7" t="n"/>
      <c r="N19" s="7" t="n"/>
      <c r="O19" s="7" t="n"/>
      <c r="P19" s="8" t="n"/>
    </row>
    <row r="20">
      <c r="A20" s="14">
        <f>IF($S$10="","",INDEX(회차설정!$A$13:$A$27,$S$10))</f>
        <v/>
      </c>
      <c r="B20" s="14">
        <f>IF($S$10="","",INDEX(회차설정!$B$13:$B$27,$S$10))</f>
        <v/>
      </c>
      <c r="C20" s="8" t="n"/>
      <c r="D20" s="14">
        <f>IF($S$10="","",IF($R$4="언어와 매체",SUMPRODUCT((자동계산!$A$4:$A$48&gt;=INDEX(회차설정!$C$13:$C$27,$S$10))*(자동계산!$A$4:$A$48&lt;=INDEX(회차설정!$D$13:$D$27,$S$10))*자동계산!$E$4:$E$48),SUMPRODUCT((자동계산!$A$4:$A$48&gt;=INDEX(회차설정!$C$13:$C$27,$S$10))*(자동계산!$A$4:$A$48&lt;=INDEX(회차설정!$D$13:$D$27,$S$10))*자동계산!$C$4:$C$48)))</f>
        <v/>
      </c>
      <c r="E20" s="14">
        <f>IF(OR($S$10="",$R$3=""),"",SUM(OFFSET(전체채점!$AW$2,$R$3,INDEX(회차설정!$C$13:$C$27,$S$10),1,INDEX(회차설정!$D$13:$D$27,$S$10)-INDEX(회차설정!$C$13:$C$27,$S$10)+1)))</f>
        <v/>
      </c>
      <c r="F20" s="46">
        <f>IF(OR($S$10="",$D20=0,$D20="",$E20=""),"",$E20/$D20*100)</f>
        <v/>
      </c>
      <c r="G20" s="8" t="n"/>
      <c r="H20" s="47">
        <f>IF($F20="","",REPT("■",ROUND($F20/5,0)))</f>
        <v/>
      </c>
      <c r="I20" s="7" t="n"/>
      <c r="J20" s="7" t="n"/>
      <c r="K20" s="7" t="n"/>
      <c r="L20" s="7" t="n"/>
      <c r="M20" s="7" t="n"/>
      <c r="N20" s="7" t="n"/>
      <c r="O20" s="7" t="n"/>
      <c r="P20" s="8" t="n"/>
    </row>
    <row r="21">
      <c r="A21" s="14">
        <f>IF($S$11="","",INDEX(회차설정!$A$13:$A$27,$S$11))</f>
        <v/>
      </c>
      <c r="B21" s="14">
        <f>IF($S$11="","",INDEX(회차설정!$B$13:$B$27,$S$11))</f>
        <v/>
      </c>
      <c r="C21" s="8" t="n"/>
      <c r="D21" s="14">
        <f>IF($S$11="","",IF($R$4="언어와 매체",SUMPRODUCT((자동계산!$A$4:$A$48&gt;=INDEX(회차설정!$C$13:$C$27,$S$11))*(자동계산!$A$4:$A$48&lt;=INDEX(회차설정!$D$13:$D$27,$S$11))*자동계산!$E$4:$E$48),SUMPRODUCT((자동계산!$A$4:$A$48&gt;=INDEX(회차설정!$C$13:$C$27,$S$11))*(자동계산!$A$4:$A$48&lt;=INDEX(회차설정!$D$13:$D$27,$S$11))*자동계산!$C$4:$C$48)))</f>
        <v/>
      </c>
      <c r="E21" s="14">
        <f>IF(OR($S$11="",$R$3=""),"",SUM(OFFSET(전체채점!$AW$2,$R$3,INDEX(회차설정!$C$13:$C$27,$S$11),1,INDEX(회차설정!$D$13:$D$27,$S$11)-INDEX(회차설정!$C$13:$C$27,$S$11)+1)))</f>
        <v/>
      </c>
      <c r="F21" s="46">
        <f>IF(OR($S$11="",$D21=0,$D21="",$E21=""),"",$E21/$D21*100)</f>
        <v/>
      </c>
      <c r="G21" s="8" t="n"/>
      <c r="H21" s="47">
        <f>IF($F21="","",REPT("■",ROUND($F21/5,0)))</f>
        <v/>
      </c>
      <c r="I21" s="7" t="n"/>
      <c r="J21" s="7" t="n"/>
      <c r="K21" s="7" t="n"/>
      <c r="L21" s="7" t="n"/>
      <c r="M21" s="7" t="n"/>
      <c r="N21" s="7" t="n"/>
      <c r="O21" s="7" t="n"/>
      <c r="P21" s="8" t="n"/>
    </row>
    <row r="22">
      <c r="A22" s="14">
        <f>IF($S$12="","",INDEX(회차설정!$A$13:$A$27,$S$12))</f>
        <v/>
      </c>
      <c r="B22" s="14">
        <f>IF($S$12="","",INDEX(회차설정!$B$13:$B$27,$S$12))</f>
        <v/>
      </c>
      <c r="C22" s="8" t="n"/>
      <c r="D22" s="14">
        <f>IF($S$12="","",IF($R$4="언어와 매체",SUMPRODUCT((자동계산!$A$4:$A$48&gt;=INDEX(회차설정!$C$13:$C$27,$S$12))*(자동계산!$A$4:$A$48&lt;=INDEX(회차설정!$D$13:$D$27,$S$12))*자동계산!$E$4:$E$48),SUMPRODUCT((자동계산!$A$4:$A$48&gt;=INDEX(회차설정!$C$13:$C$27,$S$12))*(자동계산!$A$4:$A$48&lt;=INDEX(회차설정!$D$13:$D$27,$S$12))*자동계산!$C$4:$C$48)))</f>
        <v/>
      </c>
      <c r="E22" s="14">
        <f>IF(OR($S$12="",$R$3=""),"",SUM(OFFSET(전체채점!$AW$2,$R$3,INDEX(회차설정!$C$13:$C$27,$S$12),1,INDEX(회차설정!$D$13:$D$27,$S$12)-INDEX(회차설정!$C$13:$C$27,$S$12)+1)))</f>
        <v/>
      </c>
      <c r="F22" s="46">
        <f>IF(OR($S$12="",$D22=0,$D22="",$E22=""),"",$E22/$D22*100)</f>
        <v/>
      </c>
      <c r="G22" s="8" t="n"/>
      <c r="H22" s="47">
        <f>IF($F22="","",REPT("■",ROUND($F22/5,0)))</f>
        <v/>
      </c>
      <c r="I22" s="7" t="n"/>
      <c r="J22" s="7" t="n"/>
      <c r="K22" s="7" t="n"/>
      <c r="L22" s="7" t="n"/>
      <c r="M22" s="7" t="n"/>
      <c r="N22" s="7" t="n"/>
      <c r="O22" s="7" t="n"/>
      <c r="P22" s="8" t="n"/>
    </row>
    <row r="23">
      <c r="A23" s="14">
        <f>IF($S$13="","",INDEX(회차설정!$A$13:$A$27,$S$13))</f>
        <v/>
      </c>
      <c r="B23" s="14">
        <f>IF($S$13="","",INDEX(회차설정!$B$13:$B$27,$S$13))</f>
        <v/>
      </c>
      <c r="C23" s="8" t="n"/>
      <c r="D23" s="14">
        <f>IF($S$13="","",IF($R$4="언어와 매체",SUMPRODUCT((자동계산!$A$4:$A$48&gt;=INDEX(회차설정!$C$13:$C$27,$S$13))*(자동계산!$A$4:$A$48&lt;=INDEX(회차설정!$D$13:$D$27,$S$13))*자동계산!$E$4:$E$48),SUMPRODUCT((자동계산!$A$4:$A$48&gt;=INDEX(회차설정!$C$13:$C$27,$S$13))*(자동계산!$A$4:$A$48&lt;=INDEX(회차설정!$D$13:$D$27,$S$13))*자동계산!$C$4:$C$48)))</f>
        <v/>
      </c>
      <c r="E23" s="14">
        <f>IF(OR($S$13="",$R$3=""),"",SUM(OFFSET(전체채점!$AW$2,$R$3,INDEX(회차설정!$C$13:$C$27,$S$13),1,INDEX(회차설정!$D$13:$D$27,$S$13)-INDEX(회차설정!$C$13:$C$27,$S$13)+1)))</f>
        <v/>
      </c>
      <c r="F23" s="46">
        <f>IF(OR($S$13="",$D23=0,$D23="",$E23=""),"",$E23/$D23*100)</f>
        <v/>
      </c>
      <c r="G23" s="8" t="n"/>
      <c r="H23" s="47">
        <f>IF($F23="","",REPT("■",ROUND($F23/5,0)))</f>
        <v/>
      </c>
      <c r="I23" s="7" t="n"/>
      <c r="J23" s="7" t="n"/>
      <c r="K23" s="7" t="n"/>
      <c r="L23" s="7" t="n"/>
      <c r="M23" s="7" t="n"/>
      <c r="N23" s="7" t="n"/>
      <c r="O23" s="7" t="n"/>
      <c r="P23" s="8" t="n"/>
    </row>
    <row r="24">
      <c r="A24" s="14">
        <f>IF($S$14="","",INDEX(회차설정!$A$13:$A$27,$S$14))</f>
        <v/>
      </c>
      <c r="B24" s="14">
        <f>IF($S$14="","",INDEX(회차설정!$B$13:$B$27,$S$14))</f>
        <v/>
      </c>
      <c r="C24" s="8" t="n"/>
      <c r="D24" s="14">
        <f>IF($S$14="","",IF($R$4="언어와 매체",SUMPRODUCT((자동계산!$A$4:$A$48&gt;=INDEX(회차설정!$C$13:$C$27,$S$14))*(자동계산!$A$4:$A$48&lt;=INDEX(회차설정!$D$13:$D$27,$S$14))*자동계산!$E$4:$E$48),SUMPRODUCT((자동계산!$A$4:$A$48&gt;=INDEX(회차설정!$C$13:$C$27,$S$14))*(자동계산!$A$4:$A$48&lt;=INDEX(회차설정!$D$13:$D$27,$S$14))*자동계산!$C$4:$C$48)))</f>
        <v/>
      </c>
      <c r="E24" s="14">
        <f>IF(OR($S$14="",$R$3=""),"",SUM(OFFSET(전체채점!$AW$2,$R$3,INDEX(회차설정!$C$13:$C$27,$S$14),1,INDEX(회차설정!$D$13:$D$27,$S$14)-INDEX(회차설정!$C$13:$C$27,$S$14)+1)))</f>
        <v/>
      </c>
      <c r="F24" s="46">
        <f>IF(OR($S$14="",$D24=0,$D24="",$E24=""),"",$E24/$D24*100)</f>
        <v/>
      </c>
      <c r="G24" s="8" t="n"/>
      <c r="H24" s="47">
        <f>IF($F24="","",REPT("■",ROUND($F24/5,0)))</f>
        <v/>
      </c>
      <c r="I24" s="7" t="n"/>
      <c r="J24" s="7" t="n"/>
      <c r="K24" s="7" t="n"/>
      <c r="L24" s="7" t="n"/>
      <c r="M24" s="7" t="n"/>
      <c r="N24" s="7" t="n"/>
      <c r="O24" s="7" t="n"/>
      <c r="P24" s="8" t="n"/>
    </row>
    <row r="25">
      <c r="A25" s="5">
        <f>IF($R$3="","","합계")</f>
        <v/>
      </c>
      <c r="B25" s="7" t="n"/>
      <c r="C25" s="8" t="n"/>
      <c r="D25" s="5">
        <f>IF($R$3="","",SUM(D13:D24))</f>
        <v/>
      </c>
      <c r="E25" s="5">
        <f>IF($R$3="","",SUM(E13:E24))</f>
        <v/>
      </c>
      <c r="F25" s="48">
        <f>IF(OR($D25=0,$D25=""),"",$E25/$D25*100)</f>
        <v/>
      </c>
      <c r="G25" s="8" t="n"/>
      <c r="H25" s="49">
        <f>IF($F25="","",REPT("■",ROUND($F25/5,0)))</f>
        <v/>
      </c>
      <c r="I25" s="7" t="n"/>
      <c r="J25" s="7" t="n"/>
      <c r="K25" s="7" t="n"/>
      <c r="L25" s="7" t="n"/>
      <c r="M25" s="7" t="n"/>
      <c r="N25" s="7" t="n"/>
      <c r="O25" s="7" t="n"/>
      <c r="P25" s="8" t="n"/>
    </row>
    <row r="27">
      <c r="A27" s="12" t="inlineStr">
        <is>
          <t>4. 문항 채점표</t>
        </is>
      </c>
    </row>
    <row r="28">
      <c r="A28" s="50" t="inlineStr">
        <is>
          <t>문항 번호</t>
        </is>
      </c>
      <c r="B28" s="51" t="n">
        <v>1</v>
      </c>
      <c r="C28" s="51" t="n">
        <v>2</v>
      </c>
      <c r="D28" s="51" t="n">
        <v>3</v>
      </c>
      <c r="E28" s="51" t="n">
        <v>4</v>
      </c>
      <c r="F28" s="51" t="n">
        <v>5</v>
      </c>
      <c r="G28" s="51" t="n">
        <v>6</v>
      </c>
      <c r="H28" s="51" t="n">
        <v>7</v>
      </c>
      <c r="I28" s="51" t="n">
        <v>8</v>
      </c>
      <c r="J28" s="51" t="n">
        <v>9</v>
      </c>
      <c r="K28" s="51" t="n">
        <v>10</v>
      </c>
      <c r="L28" s="51" t="n">
        <v>11</v>
      </c>
      <c r="M28" s="51" t="n">
        <v>12</v>
      </c>
      <c r="N28" s="51" t="n">
        <v>13</v>
      </c>
      <c r="O28" s="51" t="n">
        <v>14</v>
      </c>
      <c r="P28" s="51" t="n">
        <v>15</v>
      </c>
    </row>
    <row r="29">
      <c r="A29" s="52" t="inlineStr">
        <is>
          <t>정답</t>
        </is>
      </c>
      <c r="B29" s="33">
        <f>IF($R$4="","",IF($R$4="언어와 매체",자동계산!$D$4,자동계산!$B$4))</f>
        <v/>
      </c>
      <c r="C29" s="33">
        <f>IF($R$4="","",IF($R$4="언어와 매체",자동계산!$D$5,자동계산!$B$5))</f>
        <v/>
      </c>
      <c r="D29" s="33">
        <f>IF($R$4="","",IF($R$4="언어와 매체",자동계산!$D$6,자동계산!$B$6))</f>
        <v/>
      </c>
      <c r="E29" s="33">
        <f>IF($R$4="","",IF($R$4="언어와 매체",자동계산!$D$7,자동계산!$B$7))</f>
        <v/>
      </c>
      <c r="F29" s="33">
        <f>IF($R$4="","",IF($R$4="언어와 매체",자동계산!$D$8,자동계산!$B$8))</f>
        <v/>
      </c>
      <c r="G29" s="33">
        <f>IF($R$4="","",IF($R$4="언어와 매체",자동계산!$D$9,자동계산!$B$9))</f>
        <v/>
      </c>
      <c r="H29" s="33">
        <f>IF($R$4="","",IF($R$4="언어와 매체",자동계산!$D$10,자동계산!$B$10))</f>
        <v/>
      </c>
      <c r="I29" s="33">
        <f>IF($R$4="","",IF($R$4="언어와 매체",자동계산!$D$11,자동계산!$B$11))</f>
        <v/>
      </c>
      <c r="J29" s="33">
        <f>IF($R$4="","",IF($R$4="언어와 매체",자동계산!$D$12,자동계산!$B$12))</f>
        <v/>
      </c>
      <c r="K29" s="33">
        <f>IF($R$4="","",IF($R$4="언어와 매체",자동계산!$D$13,자동계산!$B$13))</f>
        <v/>
      </c>
      <c r="L29" s="33">
        <f>IF($R$4="","",IF($R$4="언어와 매체",자동계산!$D$14,자동계산!$B$14))</f>
        <v/>
      </c>
      <c r="M29" s="33">
        <f>IF($R$4="","",IF($R$4="언어와 매체",자동계산!$D$15,자동계산!$B$15))</f>
        <v/>
      </c>
      <c r="N29" s="33">
        <f>IF($R$4="","",IF($R$4="언어와 매체",자동계산!$D$16,자동계산!$B$16))</f>
        <v/>
      </c>
      <c r="O29" s="33">
        <f>IF($R$4="","",IF($R$4="언어와 매체",자동계산!$D$17,자동계산!$B$17))</f>
        <v/>
      </c>
      <c r="P29" s="33">
        <f>IF($R$4="","",IF($R$4="언어와 매체",자동계산!$D$18,자동계산!$B$18))</f>
        <v/>
      </c>
    </row>
    <row r="30">
      <c r="A30" s="52" t="inlineStr">
        <is>
          <t>학생답안</t>
        </is>
      </c>
      <c r="B30" s="33">
        <f>IF($R$3="","",INDEX(전체채점!E$3:E$62,$R$3))</f>
        <v/>
      </c>
      <c r="C30" s="33">
        <f>IF($R$3="","",INDEX(전체채점!F$3:F$62,$R$3))</f>
        <v/>
      </c>
      <c r="D30" s="33">
        <f>IF($R$3="","",INDEX(전체채점!G$3:G$62,$R$3))</f>
        <v/>
      </c>
      <c r="E30" s="33">
        <f>IF($R$3="","",INDEX(전체채점!H$3:H$62,$R$3))</f>
        <v/>
      </c>
      <c r="F30" s="33">
        <f>IF($R$3="","",INDEX(전체채점!I$3:I$62,$R$3))</f>
        <v/>
      </c>
      <c r="G30" s="33">
        <f>IF($R$3="","",INDEX(전체채점!J$3:J$62,$R$3))</f>
        <v/>
      </c>
      <c r="H30" s="33">
        <f>IF($R$3="","",INDEX(전체채점!K$3:K$62,$R$3))</f>
        <v/>
      </c>
      <c r="I30" s="33">
        <f>IF($R$3="","",INDEX(전체채점!L$3:L$62,$R$3))</f>
        <v/>
      </c>
      <c r="J30" s="33">
        <f>IF($R$3="","",INDEX(전체채점!M$3:M$62,$R$3))</f>
        <v/>
      </c>
      <c r="K30" s="33">
        <f>IF($R$3="","",INDEX(전체채점!N$3:N$62,$R$3))</f>
        <v/>
      </c>
      <c r="L30" s="33">
        <f>IF($R$3="","",INDEX(전체채점!O$3:O$62,$R$3))</f>
        <v/>
      </c>
      <c r="M30" s="33">
        <f>IF($R$3="","",INDEX(전체채점!P$3:P$62,$R$3))</f>
        <v/>
      </c>
      <c r="N30" s="33">
        <f>IF($R$3="","",INDEX(전체채점!Q$3:Q$62,$R$3))</f>
        <v/>
      </c>
      <c r="O30" s="33">
        <f>IF($R$3="","",INDEX(전체채점!R$3:R$62,$R$3))</f>
        <v/>
      </c>
      <c r="P30" s="33">
        <f>IF($R$3="","",INDEX(전체채점!S$3:S$62,$R$3))</f>
        <v/>
      </c>
    </row>
    <row r="31">
      <c r="A31" s="52" t="inlineStr">
        <is>
          <t>정오</t>
        </is>
      </c>
      <c r="B31" s="33">
        <f>IF($R$3="","",INDEX(전체채점!AX$3:AX$62,$R$3))</f>
        <v/>
      </c>
      <c r="C31" s="33">
        <f>IF($R$3="","",INDEX(전체채점!AY$3:AY$62,$R$3))</f>
        <v/>
      </c>
      <c r="D31" s="33">
        <f>IF($R$3="","",INDEX(전체채점!AZ$3:AZ$62,$R$3))</f>
        <v/>
      </c>
      <c r="E31" s="33">
        <f>IF($R$3="","",INDEX(전체채점!BA$3:BA$62,$R$3))</f>
        <v/>
      </c>
      <c r="F31" s="33">
        <f>IF($R$3="","",INDEX(전체채점!BB$3:BB$62,$R$3))</f>
        <v/>
      </c>
      <c r="G31" s="33">
        <f>IF($R$3="","",INDEX(전체채점!BC$3:BC$62,$R$3))</f>
        <v/>
      </c>
      <c r="H31" s="33">
        <f>IF($R$3="","",INDEX(전체채점!BD$3:BD$62,$R$3))</f>
        <v/>
      </c>
      <c r="I31" s="33">
        <f>IF($R$3="","",INDEX(전체채점!BE$3:BE$62,$R$3))</f>
        <v/>
      </c>
      <c r="J31" s="33">
        <f>IF($R$3="","",INDEX(전체채점!BF$3:BF$62,$R$3))</f>
        <v/>
      </c>
      <c r="K31" s="33">
        <f>IF($R$3="","",INDEX(전체채점!BG$3:BG$62,$R$3))</f>
        <v/>
      </c>
      <c r="L31" s="33">
        <f>IF($R$3="","",INDEX(전체채점!BH$3:BH$62,$R$3))</f>
        <v/>
      </c>
      <c r="M31" s="33">
        <f>IF($R$3="","",INDEX(전체채점!BI$3:BI$62,$R$3))</f>
        <v/>
      </c>
      <c r="N31" s="33">
        <f>IF($R$3="","",INDEX(전체채점!BJ$3:BJ$62,$R$3))</f>
        <v/>
      </c>
      <c r="O31" s="33">
        <f>IF($R$3="","",INDEX(전체채점!BK$3:BK$62,$R$3))</f>
        <v/>
      </c>
      <c r="P31" s="33">
        <f>IF($R$3="","",INDEX(전체채점!BL$3:BL$62,$R$3))</f>
        <v/>
      </c>
    </row>
    <row r="32">
      <c r="A32" s="50" t="inlineStr">
        <is>
          <t>문항 번호</t>
        </is>
      </c>
      <c r="B32" s="51" t="n">
        <v>16</v>
      </c>
      <c r="C32" s="51" t="n">
        <v>17</v>
      </c>
      <c r="D32" s="51" t="n">
        <v>18</v>
      </c>
      <c r="E32" s="51" t="n">
        <v>19</v>
      </c>
      <c r="F32" s="51" t="n">
        <v>20</v>
      </c>
      <c r="G32" s="51" t="n">
        <v>21</v>
      </c>
      <c r="H32" s="51" t="n">
        <v>22</v>
      </c>
      <c r="I32" s="51" t="n">
        <v>23</v>
      </c>
      <c r="J32" s="51" t="n">
        <v>24</v>
      </c>
      <c r="K32" s="51" t="n">
        <v>25</v>
      </c>
      <c r="L32" s="51" t="n">
        <v>26</v>
      </c>
      <c r="M32" s="51" t="n">
        <v>27</v>
      </c>
      <c r="N32" s="51" t="n">
        <v>28</v>
      </c>
      <c r="O32" s="51" t="n">
        <v>29</v>
      </c>
      <c r="P32" s="51" t="n">
        <v>30</v>
      </c>
    </row>
    <row r="33">
      <c r="A33" s="52" t="inlineStr">
        <is>
          <t>정답</t>
        </is>
      </c>
      <c r="B33" s="33">
        <f>IF($R$4="","",IF($R$4="언어와 매체",자동계산!$D$19,자동계산!$B$19))</f>
        <v/>
      </c>
      <c r="C33" s="33">
        <f>IF($R$4="","",IF($R$4="언어와 매체",자동계산!$D$20,자동계산!$B$20))</f>
        <v/>
      </c>
      <c r="D33" s="33">
        <f>IF($R$4="","",IF($R$4="언어와 매체",자동계산!$D$21,자동계산!$B$21))</f>
        <v/>
      </c>
      <c r="E33" s="33">
        <f>IF($R$4="","",IF($R$4="언어와 매체",자동계산!$D$22,자동계산!$B$22))</f>
        <v/>
      </c>
      <c r="F33" s="33">
        <f>IF($R$4="","",IF($R$4="언어와 매체",자동계산!$D$23,자동계산!$B$23))</f>
        <v/>
      </c>
      <c r="G33" s="33">
        <f>IF($R$4="","",IF($R$4="언어와 매체",자동계산!$D$24,자동계산!$B$24))</f>
        <v/>
      </c>
      <c r="H33" s="33">
        <f>IF($R$4="","",IF($R$4="언어와 매체",자동계산!$D$25,자동계산!$B$25))</f>
        <v/>
      </c>
      <c r="I33" s="33">
        <f>IF($R$4="","",IF($R$4="언어와 매체",자동계산!$D$26,자동계산!$B$26))</f>
        <v/>
      </c>
      <c r="J33" s="33">
        <f>IF($R$4="","",IF($R$4="언어와 매체",자동계산!$D$27,자동계산!$B$27))</f>
        <v/>
      </c>
      <c r="K33" s="33">
        <f>IF($R$4="","",IF($R$4="언어와 매체",자동계산!$D$28,자동계산!$B$28))</f>
        <v/>
      </c>
      <c r="L33" s="33">
        <f>IF($R$4="","",IF($R$4="언어와 매체",자동계산!$D$29,자동계산!$B$29))</f>
        <v/>
      </c>
      <c r="M33" s="33">
        <f>IF($R$4="","",IF($R$4="언어와 매체",자동계산!$D$30,자동계산!$B$30))</f>
        <v/>
      </c>
      <c r="N33" s="33">
        <f>IF($R$4="","",IF($R$4="언어와 매체",자동계산!$D$31,자동계산!$B$31))</f>
        <v/>
      </c>
      <c r="O33" s="33">
        <f>IF($R$4="","",IF($R$4="언어와 매체",자동계산!$D$32,자동계산!$B$32))</f>
        <v/>
      </c>
      <c r="P33" s="33">
        <f>IF($R$4="","",IF($R$4="언어와 매체",자동계산!$D$33,자동계산!$B$33))</f>
        <v/>
      </c>
    </row>
    <row r="34">
      <c r="A34" s="52" t="inlineStr">
        <is>
          <t>학생답안</t>
        </is>
      </c>
      <c r="B34" s="33">
        <f>IF($R$3="","",INDEX(전체채점!T$3:T$62,$R$3))</f>
        <v/>
      </c>
      <c r="C34" s="33">
        <f>IF($R$3="","",INDEX(전체채점!U$3:U$62,$R$3))</f>
        <v/>
      </c>
      <c r="D34" s="33">
        <f>IF($R$3="","",INDEX(전체채점!V$3:V$62,$R$3))</f>
        <v/>
      </c>
      <c r="E34" s="33">
        <f>IF($R$3="","",INDEX(전체채점!W$3:W$62,$R$3))</f>
        <v/>
      </c>
      <c r="F34" s="33">
        <f>IF($R$3="","",INDEX(전체채점!X$3:X$62,$R$3))</f>
        <v/>
      </c>
      <c r="G34" s="33">
        <f>IF($R$3="","",INDEX(전체채점!Y$3:Y$62,$R$3))</f>
        <v/>
      </c>
      <c r="H34" s="33">
        <f>IF($R$3="","",INDEX(전체채점!Z$3:Z$62,$R$3))</f>
        <v/>
      </c>
      <c r="I34" s="33">
        <f>IF($R$3="","",INDEX(전체채점!AA$3:AA$62,$R$3))</f>
        <v/>
      </c>
      <c r="J34" s="33">
        <f>IF($R$3="","",INDEX(전체채점!AB$3:AB$62,$R$3))</f>
        <v/>
      </c>
      <c r="K34" s="33">
        <f>IF($R$3="","",INDEX(전체채점!AC$3:AC$62,$R$3))</f>
        <v/>
      </c>
      <c r="L34" s="33">
        <f>IF($R$3="","",INDEX(전체채점!AD$3:AD$62,$R$3))</f>
        <v/>
      </c>
      <c r="M34" s="33">
        <f>IF($R$3="","",INDEX(전체채점!AE$3:AE$62,$R$3))</f>
        <v/>
      </c>
      <c r="N34" s="33">
        <f>IF($R$3="","",INDEX(전체채점!AF$3:AF$62,$R$3))</f>
        <v/>
      </c>
      <c r="O34" s="33">
        <f>IF($R$3="","",INDEX(전체채점!AG$3:AG$62,$R$3))</f>
        <v/>
      </c>
      <c r="P34" s="33">
        <f>IF($R$3="","",INDEX(전체채점!AH$3:AH$62,$R$3))</f>
        <v/>
      </c>
    </row>
    <row r="35">
      <c r="A35" s="52" t="inlineStr">
        <is>
          <t>정오</t>
        </is>
      </c>
      <c r="B35" s="33">
        <f>IF($R$3="","",INDEX(전체채점!BM$3:BM$62,$R$3))</f>
        <v/>
      </c>
      <c r="C35" s="33">
        <f>IF($R$3="","",INDEX(전체채점!BN$3:BN$62,$R$3))</f>
        <v/>
      </c>
      <c r="D35" s="33">
        <f>IF($R$3="","",INDEX(전체채점!BO$3:BO$62,$R$3))</f>
        <v/>
      </c>
      <c r="E35" s="33">
        <f>IF($R$3="","",INDEX(전체채점!BP$3:BP$62,$R$3))</f>
        <v/>
      </c>
      <c r="F35" s="33">
        <f>IF($R$3="","",INDEX(전체채점!BQ$3:BQ$62,$R$3))</f>
        <v/>
      </c>
      <c r="G35" s="33">
        <f>IF($R$3="","",INDEX(전체채점!BR$3:BR$62,$R$3))</f>
        <v/>
      </c>
      <c r="H35" s="33">
        <f>IF($R$3="","",INDEX(전체채점!BS$3:BS$62,$R$3))</f>
        <v/>
      </c>
      <c r="I35" s="33">
        <f>IF($R$3="","",INDEX(전체채점!BT$3:BT$62,$R$3))</f>
        <v/>
      </c>
      <c r="J35" s="33">
        <f>IF($R$3="","",INDEX(전체채점!BU$3:BU$62,$R$3))</f>
        <v/>
      </c>
      <c r="K35" s="33">
        <f>IF($R$3="","",INDEX(전체채점!BV$3:BV$62,$R$3))</f>
        <v/>
      </c>
      <c r="L35" s="33">
        <f>IF($R$3="","",INDEX(전체채점!BW$3:BW$62,$R$3))</f>
        <v/>
      </c>
      <c r="M35" s="33">
        <f>IF($R$3="","",INDEX(전체채점!BX$3:BX$62,$R$3))</f>
        <v/>
      </c>
      <c r="N35" s="33">
        <f>IF($R$3="","",INDEX(전체채점!BY$3:BY$62,$R$3))</f>
        <v/>
      </c>
      <c r="O35" s="33">
        <f>IF($R$3="","",INDEX(전체채점!BZ$3:BZ$62,$R$3))</f>
        <v/>
      </c>
      <c r="P35" s="33">
        <f>IF($R$3="","",INDEX(전체채점!CA$3:CA$62,$R$3))</f>
        <v/>
      </c>
    </row>
    <row r="36">
      <c r="A36" s="50" t="inlineStr">
        <is>
          <t>문항 번호</t>
        </is>
      </c>
      <c r="B36" s="51" t="n">
        <v>31</v>
      </c>
      <c r="C36" s="51" t="n">
        <v>32</v>
      </c>
      <c r="D36" s="51" t="n">
        <v>33</v>
      </c>
      <c r="E36" s="51" t="n">
        <v>34</v>
      </c>
      <c r="F36" s="51" t="n">
        <v>35</v>
      </c>
      <c r="G36" s="51" t="n">
        <v>36</v>
      </c>
      <c r="H36" s="51" t="n">
        <v>37</v>
      </c>
      <c r="I36" s="51" t="n">
        <v>38</v>
      </c>
      <c r="J36" s="51" t="n">
        <v>39</v>
      </c>
      <c r="K36" s="51" t="n">
        <v>40</v>
      </c>
      <c r="L36" s="51" t="n">
        <v>41</v>
      </c>
      <c r="M36" s="51" t="n">
        <v>42</v>
      </c>
      <c r="N36" s="51" t="n">
        <v>43</v>
      </c>
      <c r="O36" s="51" t="n">
        <v>44</v>
      </c>
      <c r="P36" s="51" t="n">
        <v>45</v>
      </c>
    </row>
    <row r="37">
      <c r="A37" s="52" t="inlineStr">
        <is>
          <t>정답</t>
        </is>
      </c>
      <c r="B37" s="33">
        <f>IF($R$4="","",IF($R$4="언어와 매체",자동계산!$D$34,자동계산!$B$34))</f>
        <v/>
      </c>
      <c r="C37" s="33">
        <f>IF($R$4="","",IF($R$4="언어와 매체",자동계산!$D$35,자동계산!$B$35))</f>
        <v/>
      </c>
      <c r="D37" s="33">
        <f>IF($R$4="","",IF($R$4="언어와 매체",자동계산!$D$36,자동계산!$B$36))</f>
        <v/>
      </c>
      <c r="E37" s="33">
        <f>IF($R$4="","",IF($R$4="언어와 매체",자동계산!$D$37,자동계산!$B$37))</f>
        <v/>
      </c>
      <c r="F37" s="33">
        <f>IF($R$4="","",IF($R$4="언어와 매체",자동계산!$D$38,자동계산!$B$38))</f>
        <v/>
      </c>
      <c r="G37" s="33">
        <f>IF($R$4="","",IF($R$4="언어와 매체",자동계산!$D$39,자동계산!$B$39))</f>
        <v/>
      </c>
      <c r="H37" s="33">
        <f>IF($R$4="","",IF($R$4="언어와 매체",자동계산!$D$40,자동계산!$B$40))</f>
        <v/>
      </c>
      <c r="I37" s="33">
        <f>IF($R$4="","",IF($R$4="언어와 매체",자동계산!$D$41,자동계산!$B$41))</f>
        <v/>
      </c>
      <c r="J37" s="33">
        <f>IF($R$4="","",IF($R$4="언어와 매체",자동계산!$D$42,자동계산!$B$42))</f>
        <v/>
      </c>
      <c r="K37" s="33">
        <f>IF($R$4="","",IF($R$4="언어와 매체",자동계산!$D$43,자동계산!$B$43))</f>
        <v/>
      </c>
      <c r="L37" s="33">
        <f>IF($R$4="","",IF($R$4="언어와 매체",자동계산!$D$44,자동계산!$B$44))</f>
        <v/>
      </c>
      <c r="M37" s="33">
        <f>IF($R$4="","",IF($R$4="언어와 매체",자동계산!$D$45,자동계산!$B$45))</f>
        <v/>
      </c>
      <c r="N37" s="33">
        <f>IF($R$4="","",IF($R$4="언어와 매체",자동계산!$D$46,자동계산!$B$46))</f>
        <v/>
      </c>
      <c r="O37" s="33">
        <f>IF($R$4="","",IF($R$4="언어와 매체",자동계산!$D$47,자동계산!$B$47))</f>
        <v/>
      </c>
      <c r="P37" s="33">
        <f>IF($R$4="","",IF($R$4="언어와 매체",자동계산!$D$48,자동계산!$B$48))</f>
        <v/>
      </c>
    </row>
    <row r="38">
      <c r="A38" s="52" t="inlineStr">
        <is>
          <t>학생답안</t>
        </is>
      </c>
      <c r="B38" s="33">
        <f>IF($R$3="","",INDEX(전체채점!AI$3:AI$62,$R$3))</f>
        <v/>
      </c>
      <c r="C38" s="33">
        <f>IF($R$3="","",INDEX(전체채점!AJ$3:AJ$62,$R$3))</f>
        <v/>
      </c>
      <c r="D38" s="33">
        <f>IF($R$3="","",INDEX(전체채점!AK$3:AK$62,$R$3))</f>
        <v/>
      </c>
      <c r="E38" s="33">
        <f>IF($R$3="","",INDEX(전체채점!AL$3:AL$62,$R$3))</f>
        <v/>
      </c>
      <c r="F38" s="33">
        <f>IF($R$3="","",INDEX(전체채점!AM$3:AM$62,$R$3))</f>
        <v/>
      </c>
      <c r="G38" s="33">
        <f>IF($R$3="","",INDEX(전체채점!AN$3:AN$62,$R$3))</f>
        <v/>
      </c>
      <c r="H38" s="33">
        <f>IF($R$3="","",INDEX(전체채점!AO$3:AO$62,$R$3))</f>
        <v/>
      </c>
      <c r="I38" s="33">
        <f>IF($R$3="","",INDEX(전체채점!AP$3:AP$62,$R$3))</f>
        <v/>
      </c>
      <c r="J38" s="33">
        <f>IF($R$3="","",INDEX(전체채점!AQ$3:AQ$62,$R$3))</f>
        <v/>
      </c>
      <c r="K38" s="33">
        <f>IF($R$3="","",INDEX(전체채점!AR$3:AR$62,$R$3))</f>
        <v/>
      </c>
      <c r="L38" s="33">
        <f>IF($R$3="","",INDEX(전체채점!AS$3:AS$62,$R$3))</f>
        <v/>
      </c>
      <c r="M38" s="33">
        <f>IF($R$3="","",INDEX(전체채점!AT$3:AT$62,$R$3))</f>
        <v/>
      </c>
      <c r="N38" s="33">
        <f>IF($R$3="","",INDEX(전체채점!AU$3:AU$62,$R$3))</f>
        <v/>
      </c>
      <c r="O38" s="33">
        <f>IF($R$3="","",INDEX(전체채점!AV$3:AV$62,$R$3))</f>
        <v/>
      </c>
      <c r="P38" s="33">
        <f>IF($R$3="","",INDEX(전체채점!AW$3:AW$62,$R$3))</f>
        <v/>
      </c>
    </row>
    <row r="39">
      <c r="A39" s="52" t="inlineStr">
        <is>
          <t>정오</t>
        </is>
      </c>
      <c r="B39" s="33">
        <f>IF($R$3="","",INDEX(전체채점!CB$3:CB$62,$R$3))</f>
        <v/>
      </c>
      <c r="C39" s="33">
        <f>IF($R$3="","",INDEX(전체채점!CC$3:CC$62,$R$3))</f>
        <v/>
      </c>
      <c r="D39" s="33">
        <f>IF($R$3="","",INDEX(전체채점!CD$3:CD$62,$R$3))</f>
        <v/>
      </c>
      <c r="E39" s="33">
        <f>IF($R$3="","",INDEX(전체채점!CE$3:CE$62,$R$3))</f>
        <v/>
      </c>
      <c r="F39" s="33">
        <f>IF($R$3="","",INDEX(전체채점!CF$3:CF$62,$R$3))</f>
        <v/>
      </c>
      <c r="G39" s="33">
        <f>IF($R$3="","",INDEX(전체채점!CG$3:CG$62,$R$3))</f>
        <v/>
      </c>
      <c r="H39" s="33">
        <f>IF($R$3="","",INDEX(전체채점!CH$3:CH$62,$R$3))</f>
        <v/>
      </c>
      <c r="I39" s="33">
        <f>IF($R$3="","",INDEX(전체채점!CI$3:CI$62,$R$3))</f>
        <v/>
      </c>
      <c r="J39" s="33">
        <f>IF($R$3="","",INDEX(전체채점!CJ$3:CJ$62,$R$3))</f>
        <v/>
      </c>
      <c r="K39" s="33">
        <f>IF($R$3="","",INDEX(전체채점!CK$3:CK$62,$R$3))</f>
        <v/>
      </c>
      <c r="L39" s="33">
        <f>IF($R$3="","",INDEX(전체채점!CL$3:CL$62,$R$3))</f>
        <v/>
      </c>
      <c r="M39" s="33">
        <f>IF($R$3="","",INDEX(전체채점!CM$3:CM$62,$R$3))</f>
        <v/>
      </c>
      <c r="N39" s="33">
        <f>IF($R$3="","",INDEX(전체채점!CN$3:CN$62,$R$3))</f>
        <v/>
      </c>
      <c r="O39" s="33">
        <f>IF($R$3="","",INDEX(전체채점!CO$3:CO$62,$R$3))</f>
        <v/>
      </c>
      <c r="P39" s="33">
        <f>IF($R$3="","",INDEX(전체채점!CP$3:CP$62,$R$3))</f>
        <v/>
      </c>
    </row>
    <row r="42" ht="34" customHeight="1">
      <c r="A42" s="36">
        <f>IF($R$44="","",회차설정!$B$2&amp;" 성적표")</f>
        <v/>
      </c>
    </row>
    <row r="44">
      <c r="A44" s="12" t="inlineStr">
        <is>
          <t>1. 학생정보</t>
        </is>
      </c>
      <c r="R44" s="37">
        <f>IF(답안입력!$A$4="","",2)</f>
        <v/>
      </c>
      <c r="S44" s="37">
        <f>IF($R$45="","",IFERROR(IF($R$45="언어와 매체",MATCH(1,회차설정!$G$13:$G$27,0),MATCH(1,회차설정!$F$13:$F$27,0)),""))</f>
        <v/>
      </c>
    </row>
    <row r="45">
      <c r="A45" s="13" t="inlineStr">
        <is>
          <t>성명</t>
        </is>
      </c>
      <c r="B45" s="7" t="n"/>
      <c r="C45" s="8" t="n"/>
      <c r="D45" s="13" t="inlineStr">
        <is>
          <t>선택과목</t>
        </is>
      </c>
      <c r="E45" s="7" t="n"/>
      <c r="F45" s="7" t="n"/>
      <c r="G45" s="8" t="n"/>
      <c r="H45" s="13" t="inlineStr">
        <is>
          <t>학년</t>
        </is>
      </c>
      <c r="I45" s="7" t="n"/>
      <c r="J45" s="7" t="n"/>
      <c r="K45" s="8" t="n"/>
      <c r="L45" s="13" t="inlineStr">
        <is>
          <t>시행일</t>
        </is>
      </c>
      <c r="M45" s="7" t="n"/>
      <c r="N45" s="7" t="n"/>
      <c r="O45" s="7" t="n"/>
      <c r="P45" s="8" t="n"/>
      <c r="R45" s="37">
        <f>IF($R$44="","",INDEX(전체채점!$B$3:$B$62,$R$44))</f>
        <v/>
      </c>
      <c r="S45" s="37">
        <f>IF($R$45="","",IFERROR(IF($R$45="언어와 매체",MATCH(2,회차설정!$G$13:$G$27,0),MATCH(2,회차설정!$F$13:$F$27,0)),""))</f>
        <v/>
      </c>
    </row>
    <row r="46" ht="26" customHeight="1">
      <c r="A46" s="39">
        <f>IF($R$44="","",INDEX(답안입력!$A$3:$A$62,$R$44))</f>
        <v/>
      </c>
      <c r="B46" s="7" t="n"/>
      <c r="C46" s="8" t="n"/>
      <c r="D46" s="39">
        <f>IF($R$44="","",INDEX(답안입력!$C$3:$C$62,$R$44))</f>
        <v/>
      </c>
      <c r="E46" s="7" t="n"/>
      <c r="F46" s="7" t="n"/>
      <c r="G46" s="8" t="n"/>
      <c r="H46" s="39">
        <f>IF($R$44="","",INDEX(답안입력!$B$3:$B$62,$R$44))</f>
        <v/>
      </c>
      <c r="I46" s="7" t="n"/>
      <c r="J46" s="7" t="n"/>
      <c r="K46" s="8" t="n"/>
      <c r="L46" s="40">
        <f>회차설정!$B$3</f>
        <v/>
      </c>
      <c r="M46" s="7" t="n"/>
      <c r="N46" s="7" t="n"/>
      <c r="O46" s="7" t="n"/>
      <c r="P46" s="8" t="n"/>
      <c r="R46" s="37">
        <f>IF($R$45="언어와 매체",회차설정!$B$9,회차설정!$B$8)</f>
        <v/>
      </c>
      <c r="S46" s="37">
        <f>IF($R$45="","",IFERROR(IF($R$45="언어와 매체",MATCH(3,회차설정!$G$13:$G$27,0),MATCH(3,회차설정!$F$13:$F$27,0)),""))</f>
        <v/>
      </c>
    </row>
    <row r="47">
      <c r="R47" s="37">
        <f>IF($R$45="언어와 매체",회차설정!$C$9,회차설정!$C$8)</f>
        <v/>
      </c>
      <c r="S47" s="37">
        <f>IF($R$45="","",IFERROR(IF($R$45="언어와 매체",MATCH(4,회차설정!$G$13:$G$27,0),MATCH(4,회차설정!$F$13:$F$27,0)),""))</f>
        <v/>
      </c>
    </row>
    <row r="48">
      <c r="A48" s="12" t="inlineStr">
        <is>
          <t>2. 성적</t>
        </is>
      </c>
      <c r="R48" s="37">
        <f>IF($R$45="언어와 매체",회차설정!$D$9,회차설정!$D$8)</f>
        <v/>
      </c>
      <c r="S48" s="37">
        <f>IF($R$45="","",IFERROR(IF($R$45="언어와 매체",MATCH(5,회차설정!$G$13:$G$27,0),MATCH(5,회차설정!$F$13:$F$27,0)),""))</f>
        <v/>
      </c>
    </row>
    <row r="49">
      <c r="A49" s="13" t="inlineStr">
        <is>
          <t>점수 (100점 만점)</t>
        </is>
      </c>
      <c r="B49" s="7" t="n"/>
      <c r="C49" s="7" t="n"/>
      <c r="D49" s="7" t="n"/>
      <c r="E49" s="8" t="n"/>
      <c r="F49" s="13" t="inlineStr">
        <is>
          <t>등급</t>
        </is>
      </c>
      <c r="G49" s="7" t="n"/>
      <c r="H49" s="8" t="n"/>
      <c r="I49" s="13" t="inlineStr">
        <is>
          <t>등급컷</t>
        </is>
      </c>
      <c r="J49" s="7" t="n"/>
      <c r="K49" s="7" t="n"/>
      <c r="L49" s="8" t="n"/>
      <c r="M49" s="13" t="inlineStr">
        <is>
          <t>같은 선택과목 평균</t>
        </is>
      </c>
      <c r="N49" s="7" t="n"/>
      <c r="O49" s="7" t="n"/>
      <c r="P49" s="8" t="n"/>
      <c r="R49" s="37">
        <f>IF($R$45="언어와 매체",회차설정!$E$9,회차설정!$E$8)</f>
        <v/>
      </c>
      <c r="S49" s="37">
        <f>IF($R$45="","",IFERROR(IF($R$45="언어와 매체",MATCH(6,회차설정!$G$13:$G$27,0),MATCH(6,회차설정!$F$13:$F$27,0)),""))</f>
        <v/>
      </c>
    </row>
    <row r="50" ht="34" customHeight="1">
      <c r="A50" s="41">
        <f>IF($R$44="","",INDEX(전체채점!$C$3:$C$62,$R$44))</f>
        <v/>
      </c>
      <c r="B50" s="7" t="n"/>
      <c r="C50" s="7" t="n"/>
      <c r="D50" s="7" t="n"/>
      <c r="E50" s="8" t="n"/>
      <c r="F50" s="42">
        <f>IF($R$44="","",INDEX(전체채점!$D$3:$D$62,$R$44))</f>
        <v/>
      </c>
      <c r="G50" s="7" t="n"/>
      <c r="H50" s="8" t="n"/>
      <c r="I50" s="43">
        <f>IF($R$44="","",$R$46&amp;"-"&amp;$R$47&amp;"-"&amp;$R$48&amp;"-"&amp;$R$49)</f>
        <v/>
      </c>
      <c r="J50" s="7" t="n"/>
      <c r="K50" s="7" t="n"/>
      <c r="L50" s="8" t="n"/>
      <c r="M50" s="44">
        <f>IFERROR(AVERAGEIF(전체채점!$B$3:$B$62,$R$45,전체채점!$C$3:$C$62),"")</f>
        <v/>
      </c>
      <c r="N50" s="7" t="n"/>
      <c r="O50" s="7" t="n"/>
      <c r="P50" s="8" t="n"/>
      <c r="S50" s="37">
        <f>IF($R$45="","",IFERROR(IF($R$45="언어와 매체",MATCH(7,회차설정!$G$13:$G$27,0),MATCH(7,회차설정!$F$13:$F$27,0)),""))</f>
        <v/>
      </c>
    </row>
    <row r="51">
      <c r="S51" s="37">
        <f>IF($R$45="","",IFERROR(IF($R$45="언어와 매체",MATCH(8,회차설정!$G$13:$G$27,0),MATCH(8,회차설정!$F$13:$F$27,0)),""))</f>
        <v/>
      </c>
    </row>
    <row r="52">
      <c r="A52" s="12" t="inlineStr">
        <is>
          <t>3. 영역분류별 성취도 분석</t>
        </is>
      </c>
      <c r="F52" s="45">
        <f>IF(OR($R$44="",$E66=""),"",IF($E66=INDEX(전체채점!$C$3:$C$62,$R$44),"","※ 회차설정의 영역 표를 확인하세요 — 영역 합계와 점수가 다릅니다"))</f>
        <v/>
      </c>
      <c r="S52" s="37">
        <f>IF($R$45="","",IFERROR(IF($R$45="언어와 매체",MATCH(9,회차설정!$G$13:$G$27,0),MATCH(9,회차설정!$F$13:$F$27,0)),""))</f>
        <v/>
      </c>
    </row>
    <row r="53">
      <c r="A53" s="13" t="inlineStr">
        <is>
          <t>분류</t>
        </is>
      </c>
      <c r="B53" s="13" t="inlineStr">
        <is>
          <t>영역</t>
        </is>
      </c>
      <c r="C53" s="8" t="n"/>
      <c r="D53" s="13" t="inlineStr">
        <is>
          <t>배점</t>
        </is>
      </c>
      <c r="E53" s="13" t="inlineStr">
        <is>
          <t>득점</t>
        </is>
      </c>
      <c r="F53" s="13" t="inlineStr">
        <is>
          <t>성취도(%)</t>
        </is>
      </c>
      <c r="G53" s="8" t="n"/>
      <c r="H53" s="13" t="inlineStr"/>
      <c r="I53" s="7" t="n"/>
      <c r="J53" s="7" t="n"/>
      <c r="K53" s="7" t="n"/>
      <c r="L53" s="7" t="n"/>
      <c r="M53" s="7" t="n"/>
      <c r="N53" s="7" t="n"/>
      <c r="O53" s="7" t="n"/>
      <c r="P53" s="8" t="n"/>
      <c r="S53" s="37">
        <f>IF($R$45="","",IFERROR(IF($R$45="언어와 매체",MATCH(10,회차설정!$G$13:$G$27,0),MATCH(10,회차설정!$F$13:$F$27,0)),""))</f>
        <v/>
      </c>
    </row>
    <row r="54">
      <c r="A54" s="14">
        <f>IF($S$44="","",INDEX(회차설정!$A$13:$A$27,$S$44))</f>
        <v/>
      </c>
      <c r="B54" s="14">
        <f>IF($S$44="","",INDEX(회차설정!$B$13:$B$27,$S$44))</f>
        <v/>
      </c>
      <c r="C54" s="8" t="n"/>
      <c r="D54" s="14">
        <f>IF($S$44="","",IF($R$45="언어와 매체",SUMPRODUCT((자동계산!$A$4:$A$48&gt;=INDEX(회차설정!$C$13:$C$27,$S$44))*(자동계산!$A$4:$A$48&lt;=INDEX(회차설정!$D$13:$D$27,$S$44))*자동계산!$E$4:$E$48),SUMPRODUCT((자동계산!$A$4:$A$48&gt;=INDEX(회차설정!$C$13:$C$27,$S$44))*(자동계산!$A$4:$A$48&lt;=INDEX(회차설정!$D$13:$D$27,$S$44))*자동계산!$C$4:$C$48)))</f>
        <v/>
      </c>
      <c r="E54" s="14">
        <f>IF(OR($S$44="",$R$44=""),"",SUM(OFFSET(전체채점!$AW$2,$R$44,INDEX(회차설정!$C$13:$C$27,$S$44),1,INDEX(회차설정!$D$13:$D$27,$S$44)-INDEX(회차설정!$C$13:$C$27,$S$44)+1)))</f>
        <v/>
      </c>
      <c r="F54" s="46">
        <f>IF(OR($S$44="",$D54=0,$D54="",$E54=""),"",$E54/$D54*100)</f>
        <v/>
      </c>
      <c r="G54" s="8" t="n"/>
      <c r="H54" s="47">
        <f>IF($F54="","",REPT("■",ROUND($F54/5,0)))</f>
        <v/>
      </c>
      <c r="I54" s="7" t="n"/>
      <c r="J54" s="7" t="n"/>
      <c r="K54" s="7" t="n"/>
      <c r="L54" s="7" t="n"/>
      <c r="M54" s="7" t="n"/>
      <c r="N54" s="7" t="n"/>
      <c r="O54" s="7" t="n"/>
      <c r="P54" s="8" t="n"/>
      <c r="S54" s="37">
        <f>IF($R$45="","",IFERROR(IF($R$45="언어와 매체",MATCH(11,회차설정!$G$13:$G$27,0),MATCH(11,회차설정!$F$13:$F$27,0)),""))</f>
        <v/>
      </c>
    </row>
    <row r="55">
      <c r="A55" s="14">
        <f>IF($S$45="","",INDEX(회차설정!$A$13:$A$27,$S$45))</f>
        <v/>
      </c>
      <c r="B55" s="14">
        <f>IF($S$45="","",INDEX(회차설정!$B$13:$B$27,$S$45))</f>
        <v/>
      </c>
      <c r="C55" s="8" t="n"/>
      <c r="D55" s="14">
        <f>IF($S$45="","",IF($R$45="언어와 매체",SUMPRODUCT((자동계산!$A$4:$A$48&gt;=INDEX(회차설정!$C$13:$C$27,$S$45))*(자동계산!$A$4:$A$48&lt;=INDEX(회차설정!$D$13:$D$27,$S$45))*자동계산!$E$4:$E$48),SUMPRODUCT((자동계산!$A$4:$A$48&gt;=INDEX(회차설정!$C$13:$C$27,$S$45))*(자동계산!$A$4:$A$48&lt;=INDEX(회차설정!$D$13:$D$27,$S$45))*자동계산!$C$4:$C$48)))</f>
        <v/>
      </c>
      <c r="E55" s="14">
        <f>IF(OR($S$45="",$R$44=""),"",SUM(OFFSET(전체채점!$AW$2,$R$44,INDEX(회차설정!$C$13:$C$27,$S$45),1,INDEX(회차설정!$D$13:$D$27,$S$45)-INDEX(회차설정!$C$13:$C$27,$S$45)+1)))</f>
        <v/>
      </c>
      <c r="F55" s="46">
        <f>IF(OR($S$45="",$D55=0,$D55="",$E55=""),"",$E55/$D55*100)</f>
        <v/>
      </c>
      <c r="G55" s="8" t="n"/>
      <c r="H55" s="47">
        <f>IF($F55="","",REPT("■",ROUND($F55/5,0)))</f>
        <v/>
      </c>
      <c r="I55" s="7" t="n"/>
      <c r="J55" s="7" t="n"/>
      <c r="K55" s="7" t="n"/>
      <c r="L55" s="7" t="n"/>
      <c r="M55" s="7" t="n"/>
      <c r="N55" s="7" t="n"/>
      <c r="O55" s="7" t="n"/>
      <c r="P55" s="8" t="n"/>
      <c r="S55" s="37">
        <f>IF($R$45="","",IFERROR(IF($R$45="언어와 매체",MATCH(12,회차설정!$G$13:$G$27,0),MATCH(12,회차설정!$F$13:$F$27,0)),""))</f>
        <v/>
      </c>
    </row>
    <row r="56">
      <c r="A56" s="14">
        <f>IF($S$46="","",INDEX(회차설정!$A$13:$A$27,$S$46))</f>
        <v/>
      </c>
      <c r="B56" s="14">
        <f>IF($S$46="","",INDEX(회차설정!$B$13:$B$27,$S$46))</f>
        <v/>
      </c>
      <c r="C56" s="8" t="n"/>
      <c r="D56" s="14">
        <f>IF($S$46="","",IF($R$45="언어와 매체",SUMPRODUCT((자동계산!$A$4:$A$48&gt;=INDEX(회차설정!$C$13:$C$27,$S$46))*(자동계산!$A$4:$A$48&lt;=INDEX(회차설정!$D$13:$D$27,$S$46))*자동계산!$E$4:$E$48),SUMPRODUCT((자동계산!$A$4:$A$48&gt;=INDEX(회차설정!$C$13:$C$27,$S$46))*(자동계산!$A$4:$A$48&lt;=INDEX(회차설정!$D$13:$D$27,$S$46))*자동계산!$C$4:$C$48)))</f>
        <v/>
      </c>
      <c r="E56" s="14">
        <f>IF(OR($S$46="",$R$44=""),"",SUM(OFFSET(전체채점!$AW$2,$R$44,INDEX(회차설정!$C$13:$C$27,$S$46),1,INDEX(회차설정!$D$13:$D$27,$S$46)-INDEX(회차설정!$C$13:$C$27,$S$46)+1)))</f>
        <v/>
      </c>
      <c r="F56" s="46">
        <f>IF(OR($S$46="",$D56=0,$D56="",$E56=""),"",$E56/$D56*100)</f>
        <v/>
      </c>
      <c r="G56" s="8" t="n"/>
      <c r="H56" s="47">
        <f>IF($F56="","",REPT("■",ROUND($F56/5,0)))</f>
        <v/>
      </c>
      <c r="I56" s="7" t="n"/>
      <c r="J56" s="7" t="n"/>
      <c r="K56" s="7" t="n"/>
      <c r="L56" s="7" t="n"/>
      <c r="M56" s="7" t="n"/>
      <c r="N56" s="7" t="n"/>
      <c r="O56" s="7" t="n"/>
      <c r="P56" s="8" t="n"/>
    </row>
    <row r="57">
      <c r="A57" s="14">
        <f>IF($S$47="","",INDEX(회차설정!$A$13:$A$27,$S$47))</f>
        <v/>
      </c>
      <c r="B57" s="14">
        <f>IF($S$47="","",INDEX(회차설정!$B$13:$B$27,$S$47))</f>
        <v/>
      </c>
      <c r="C57" s="8" t="n"/>
      <c r="D57" s="14">
        <f>IF($S$47="","",IF($R$45="언어와 매체",SUMPRODUCT((자동계산!$A$4:$A$48&gt;=INDEX(회차설정!$C$13:$C$27,$S$47))*(자동계산!$A$4:$A$48&lt;=INDEX(회차설정!$D$13:$D$27,$S$47))*자동계산!$E$4:$E$48),SUMPRODUCT((자동계산!$A$4:$A$48&gt;=INDEX(회차설정!$C$13:$C$27,$S$47))*(자동계산!$A$4:$A$48&lt;=INDEX(회차설정!$D$13:$D$27,$S$47))*자동계산!$C$4:$C$48)))</f>
        <v/>
      </c>
      <c r="E57" s="14">
        <f>IF(OR($S$47="",$R$44=""),"",SUM(OFFSET(전체채점!$AW$2,$R$44,INDEX(회차설정!$C$13:$C$27,$S$47),1,INDEX(회차설정!$D$13:$D$27,$S$47)-INDEX(회차설정!$C$13:$C$27,$S$47)+1)))</f>
        <v/>
      </c>
      <c r="F57" s="46">
        <f>IF(OR($S$47="",$D57=0,$D57="",$E57=""),"",$E57/$D57*100)</f>
        <v/>
      </c>
      <c r="G57" s="8" t="n"/>
      <c r="H57" s="47">
        <f>IF($F57="","",REPT("■",ROUND($F57/5,0)))</f>
        <v/>
      </c>
      <c r="I57" s="7" t="n"/>
      <c r="J57" s="7" t="n"/>
      <c r="K57" s="7" t="n"/>
      <c r="L57" s="7" t="n"/>
      <c r="M57" s="7" t="n"/>
      <c r="N57" s="7" t="n"/>
      <c r="O57" s="7" t="n"/>
      <c r="P57" s="8" t="n"/>
    </row>
    <row r="58">
      <c r="A58" s="14">
        <f>IF($S$48="","",INDEX(회차설정!$A$13:$A$27,$S$48))</f>
        <v/>
      </c>
      <c r="B58" s="14">
        <f>IF($S$48="","",INDEX(회차설정!$B$13:$B$27,$S$48))</f>
        <v/>
      </c>
      <c r="C58" s="8" t="n"/>
      <c r="D58" s="14">
        <f>IF($S$48="","",IF($R$45="언어와 매체",SUMPRODUCT((자동계산!$A$4:$A$48&gt;=INDEX(회차설정!$C$13:$C$27,$S$48))*(자동계산!$A$4:$A$48&lt;=INDEX(회차설정!$D$13:$D$27,$S$48))*자동계산!$E$4:$E$48),SUMPRODUCT((자동계산!$A$4:$A$48&gt;=INDEX(회차설정!$C$13:$C$27,$S$48))*(자동계산!$A$4:$A$48&lt;=INDEX(회차설정!$D$13:$D$27,$S$48))*자동계산!$C$4:$C$48)))</f>
        <v/>
      </c>
      <c r="E58" s="14">
        <f>IF(OR($S$48="",$R$44=""),"",SUM(OFFSET(전체채점!$AW$2,$R$44,INDEX(회차설정!$C$13:$C$27,$S$48),1,INDEX(회차설정!$D$13:$D$27,$S$48)-INDEX(회차설정!$C$13:$C$27,$S$48)+1)))</f>
        <v/>
      </c>
      <c r="F58" s="46">
        <f>IF(OR($S$48="",$D58=0,$D58="",$E58=""),"",$E58/$D58*100)</f>
        <v/>
      </c>
      <c r="G58" s="8" t="n"/>
      <c r="H58" s="47">
        <f>IF($F58="","",REPT("■",ROUND($F58/5,0)))</f>
        <v/>
      </c>
      <c r="I58" s="7" t="n"/>
      <c r="J58" s="7" t="n"/>
      <c r="K58" s="7" t="n"/>
      <c r="L58" s="7" t="n"/>
      <c r="M58" s="7" t="n"/>
      <c r="N58" s="7" t="n"/>
      <c r="O58" s="7" t="n"/>
      <c r="P58" s="8" t="n"/>
    </row>
    <row r="59">
      <c r="A59" s="14">
        <f>IF($S$49="","",INDEX(회차설정!$A$13:$A$27,$S$49))</f>
        <v/>
      </c>
      <c r="B59" s="14">
        <f>IF($S$49="","",INDEX(회차설정!$B$13:$B$27,$S$49))</f>
        <v/>
      </c>
      <c r="C59" s="8" t="n"/>
      <c r="D59" s="14">
        <f>IF($S$49="","",IF($R$45="언어와 매체",SUMPRODUCT((자동계산!$A$4:$A$48&gt;=INDEX(회차설정!$C$13:$C$27,$S$49))*(자동계산!$A$4:$A$48&lt;=INDEX(회차설정!$D$13:$D$27,$S$49))*자동계산!$E$4:$E$48),SUMPRODUCT((자동계산!$A$4:$A$48&gt;=INDEX(회차설정!$C$13:$C$27,$S$49))*(자동계산!$A$4:$A$48&lt;=INDEX(회차설정!$D$13:$D$27,$S$49))*자동계산!$C$4:$C$48)))</f>
        <v/>
      </c>
      <c r="E59" s="14">
        <f>IF(OR($S$49="",$R$44=""),"",SUM(OFFSET(전체채점!$AW$2,$R$44,INDEX(회차설정!$C$13:$C$27,$S$49),1,INDEX(회차설정!$D$13:$D$27,$S$49)-INDEX(회차설정!$C$13:$C$27,$S$49)+1)))</f>
        <v/>
      </c>
      <c r="F59" s="46">
        <f>IF(OR($S$49="",$D59=0,$D59="",$E59=""),"",$E59/$D59*100)</f>
        <v/>
      </c>
      <c r="G59" s="8" t="n"/>
      <c r="H59" s="47">
        <f>IF($F59="","",REPT("■",ROUND($F59/5,0)))</f>
        <v/>
      </c>
      <c r="I59" s="7" t="n"/>
      <c r="J59" s="7" t="n"/>
      <c r="K59" s="7" t="n"/>
      <c r="L59" s="7" t="n"/>
      <c r="M59" s="7" t="n"/>
      <c r="N59" s="7" t="n"/>
      <c r="O59" s="7" t="n"/>
      <c r="P59" s="8" t="n"/>
    </row>
    <row r="60">
      <c r="A60" s="14">
        <f>IF($S$50="","",INDEX(회차설정!$A$13:$A$27,$S$50))</f>
        <v/>
      </c>
      <c r="B60" s="14">
        <f>IF($S$50="","",INDEX(회차설정!$B$13:$B$27,$S$50))</f>
        <v/>
      </c>
      <c r="C60" s="8" t="n"/>
      <c r="D60" s="14">
        <f>IF($S$50="","",IF($R$45="언어와 매체",SUMPRODUCT((자동계산!$A$4:$A$48&gt;=INDEX(회차설정!$C$13:$C$27,$S$50))*(자동계산!$A$4:$A$48&lt;=INDEX(회차설정!$D$13:$D$27,$S$50))*자동계산!$E$4:$E$48),SUMPRODUCT((자동계산!$A$4:$A$48&gt;=INDEX(회차설정!$C$13:$C$27,$S$50))*(자동계산!$A$4:$A$48&lt;=INDEX(회차설정!$D$13:$D$27,$S$50))*자동계산!$C$4:$C$48)))</f>
        <v/>
      </c>
      <c r="E60" s="14">
        <f>IF(OR($S$50="",$R$44=""),"",SUM(OFFSET(전체채점!$AW$2,$R$44,INDEX(회차설정!$C$13:$C$27,$S$50),1,INDEX(회차설정!$D$13:$D$27,$S$50)-INDEX(회차설정!$C$13:$C$27,$S$50)+1)))</f>
        <v/>
      </c>
      <c r="F60" s="46">
        <f>IF(OR($S$50="",$D60=0,$D60="",$E60=""),"",$E60/$D60*100)</f>
        <v/>
      </c>
      <c r="G60" s="8" t="n"/>
      <c r="H60" s="47">
        <f>IF($F60="","",REPT("■",ROUND($F60/5,0)))</f>
        <v/>
      </c>
      <c r="I60" s="7" t="n"/>
      <c r="J60" s="7" t="n"/>
      <c r="K60" s="7" t="n"/>
      <c r="L60" s="7" t="n"/>
      <c r="M60" s="7" t="n"/>
      <c r="N60" s="7" t="n"/>
      <c r="O60" s="7" t="n"/>
      <c r="P60" s="8" t="n"/>
    </row>
    <row r="61">
      <c r="A61" s="14">
        <f>IF($S$51="","",INDEX(회차설정!$A$13:$A$27,$S$51))</f>
        <v/>
      </c>
      <c r="B61" s="14">
        <f>IF($S$51="","",INDEX(회차설정!$B$13:$B$27,$S$51))</f>
        <v/>
      </c>
      <c r="C61" s="8" t="n"/>
      <c r="D61" s="14">
        <f>IF($S$51="","",IF($R$45="언어와 매체",SUMPRODUCT((자동계산!$A$4:$A$48&gt;=INDEX(회차설정!$C$13:$C$27,$S$51))*(자동계산!$A$4:$A$48&lt;=INDEX(회차설정!$D$13:$D$27,$S$51))*자동계산!$E$4:$E$48),SUMPRODUCT((자동계산!$A$4:$A$48&gt;=INDEX(회차설정!$C$13:$C$27,$S$51))*(자동계산!$A$4:$A$48&lt;=INDEX(회차설정!$D$13:$D$27,$S$51))*자동계산!$C$4:$C$48)))</f>
        <v/>
      </c>
      <c r="E61" s="14">
        <f>IF(OR($S$51="",$R$44=""),"",SUM(OFFSET(전체채점!$AW$2,$R$44,INDEX(회차설정!$C$13:$C$27,$S$51),1,INDEX(회차설정!$D$13:$D$27,$S$51)-INDEX(회차설정!$C$13:$C$27,$S$51)+1)))</f>
        <v/>
      </c>
      <c r="F61" s="46">
        <f>IF(OR($S$51="",$D61=0,$D61="",$E61=""),"",$E61/$D61*100)</f>
        <v/>
      </c>
      <c r="G61" s="8" t="n"/>
      <c r="H61" s="47">
        <f>IF($F61="","",REPT("■",ROUND($F61/5,0)))</f>
        <v/>
      </c>
      <c r="I61" s="7" t="n"/>
      <c r="J61" s="7" t="n"/>
      <c r="K61" s="7" t="n"/>
      <c r="L61" s="7" t="n"/>
      <c r="M61" s="7" t="n"/>
      <c r="N61" s="7" t="n"/>
      <c r="O61" s="7" t="n"/>
      <c r="P61" s="8" t="n"/>
    </row>
    <row r="62">
      <c r="A62" s="14">
        <f>IF($S$52="","",INDEX(회차설정!$A$13:$A$27,$S$52))</f>
        <v/>
      </c>
      <c r="B62" s="14">
        <f>IF($S$52="","",INDEX(회차설정!$B$13:$B$27,$S$52))</f>
        <v/>
      </c>
      <c r="C62" s="8" t="n"/>
      <c r="D62" s="14">
        <f>IF($S$52="","",IF($R$45="언어와 매체",SUMPRODUCT((자동계산!$A$4:$A$48&gt;=INDEX(회차설정!$C$13:$C$27,$S$52))*(자동계산!$A$4:$A$48&lt;=INDEX(회차설정!$D$13:$D$27,$S$52))*자동계산!$E$4:$E$48),SUMPRODUCT((자동계산!$A$4:$A$48&gt;=INDEX(회차설정!$C$13:$C$27,$S$52))*(자동계산!$A$4:$A$48&lt;=INDEX(회차설정!$D$13:$D$27,$S$52))*자동계산!$C$4:$C$48)))</f>
        <v/>
      </c>
      <c r="E62" s="14">
        <f>IF(OR($S$52="",$R$44=""),"",SUM(OFFSET(전체채점!$AW$2,$R$44,INDEX(회차설정!$C$13:$C$27,$S$52),1,INDEX(회차설정!$D$13:$D$27,$S$52)-INDEX(회차설정!$C$13:$C$27,$S$52)+1)))</f>
        <v/>
      </c>
      <c r="F62" s="46">
        <f>IF(OR($S$52="",$D62=0,$D62="",$E62=""),"",$E62/$D62*100)</f>
        <v/>
      </c>
      <c r="G62" s="8" t="n"/>
      <c r="H62" s="47">
        <f>IF($F62="","",REPT("■",ROUND($F62/5,0)))</f>
        <v/>
      </c>
      <c r="I62" s="7" t="n"/>
      <c r="J62" s="7" t="n"/>
      <c r="K62" s="7" t="n"/>
      <c r="L62" s="7" t="n"/>
      <c r="M62" s="7" t="n"/>
      <c r="N62" s="7" t="n"/>
      <c r="O62" s="7" t="n"/>
      <c r="P62" s="8" t="n"/>
    </row>
    <row r="63">
      <c r="A63" s="14">
        <f>IF($S$53="","",INDEX(회차설정!$A$13:$A$27,$S$53))</f>
        <v/>
      </c>
      <c r="B63" s="14">
        <f>IF($S$53="","",INDEX(회차설정!$B$13:$B$27,$S$53))</f>
        <v/>
      </c>
      <c r="C63" s="8" t="n"/>
      <c r="D63" s="14">
        <f>IF($S$53="","",IF($R$45="언어와 매체",SUMPRODUCT((자동계산!$A$4:$A$48&gt;=INDEX(회차설정!$C$13:$C$27,$S$53))*(자동계산!$A$4:$A$48&lt;=INDEX(회차설정!$D$13:$D$27,$S$53))*자동계산!$E$4:$E$48),SUMPRODUCT((자동계산!$A$4:$A$48&gt;=INDEX(회차설정!$C$13:$C$27,$S$53))*(자동계산!$A$4:$A$48&lt;=INDEX(회차설정!$D$13:$D$27,$S$53))*자동계산!$C$4:$C$48)))</f>
        <v/>
      </c>
      <c r="E63" s="14">
        <f>IF(OR($S$53="",$R$44=""),"",SUM(OFFSET(전체채점!$AW$2,$R$44,INDEX(회차설정!$C$13:$C$27,$S$53),1,INDEX(회차설정!$D$13:$D$27,$S$53)-INDEX(회차설정!$C$13:$C$27,$S$53)+1)))</f>
        <v/>
      </c>
      <c r="F63" s="46">
        <f>IF(OR($S$53="",$D63=0,$D63="",$E63=""),"",$E63/$D63*100)</f>
        <v/>
      </c>
      <c r="G63" s="8" t="n"/>
      <c r="H63" s="47">
        <f>IF($F63="","",REPT("■",ROUND($F63/5,0)))</f>
        <v/>
      </c>
      <c r="I63" s="7" t="n"/>
      <c r="J63" s="7" t="n"/>
      <c r="K63" s="7" t="n"/>
      <c r="L63" s="7" t="n"/>
      <c r="M63" s="7" t="n"/>
      <c r="N63" s="7" t="n"/>
      <c r="O63" s="7" t="n"/>
      <c r="P63" s="8" t="n"/>
    </row>
    <row r="64">
      <c r="A64" s="14">
        <f>IF($S$54="","",INDEX(회차설정!$A$13:$A$27,$S$54))</f>
        <v/>
      </c>
      <c r="B64" s="14">
        <f>IF($S$54="","",INDEX(회차설정!$B$13:$B$27,$S$54))</f>
        <v/>
      </c>
      <c r="C64" s="8" t="n"/>
      <c r="D64" s="14">
        <f>IF($S$54="","",IF($R$45="언어와 매체",SUMPRODUCT((자동계산!$A$4:$A$48&gt;=INDEX(회차설정!$C$13:$C$27,$S$54))*(자동계산!$A$4:$A$48&lt;=INDEX(회차설정!$D$13:$D$27,$S$54))*자동계산!$E$4:$E$48),SUMPRODUCT((자동계산!$A$4:$A$48&gt;=INDEX(회차설정!$C$13:$C$27,$S$54))*(자동계산!$A$4:$A$48&lt;=INDEX(회차설정!$D$13:$D$27,$S$54))*자동계산!$C$4:$C$48)))</f>
        <v/>
      </c>
      <c r="E64" s="14">
        <f>IF(OR($S$54="",$R$44=""),"",SUM(OFFSET(전체채점!$AW$2,$R$44,INDEX(회차설정!$C$13:$C$27,$S$54),1,INDEX(회차설정!$D$13:$D$27,$S$54)-INDEX(회차설정!$C$13:$C$27,$S$54)+1)))</f>
        <v/>
      </c>
      <c r="F64" s="46">
        <f>IF(OR($S$54="",$D64=0,$D64="",$E64=""),"",$E64/$D64*100)</f>
        <v/>
      </c>
      <c r="G64" s="8" t="n"/>
      <c r="H64" s="47">
        <f>IF($F64="","",REPT("■",ROUND($F64/5,0)))</f>
        <v/>
      </c>
      <c r="I64" s="7" t="n"/>
      <c r="J64" s="7" t="n"/>
      <c r="K64" s="7" t="n"/>
      <c r="L64" s="7" t="n"/>
      <c r="M64" s="7" t="n"/>
      <c r="N64" s="7" t="n"/>
      <c r="O64" s="7" t="n"/>
      <c r="P64" s="8" t="n"/>
    </row>
    <row r="65">
      <c r="A65" s="14">
        <f>IF($S$55="","",INDEX(회차설정!$A$13:$A$27,$S$55))</f>
        <v/>
      </c>
      <c r="B65" s="14">
        <f>IF($S$55="","",INDEX(회차설정!$B$13:$B$27,$S$55))</f>
        <v/>
      </c>
      <c r="C65" s="8" t="n"/>
      <c r="D65" s="14">
        <f>IF($S$55="","",IF($R$45="언어와 매체",SUMPRODUCT((자동계산!$A$4:$A$48&gt;=INDEX(회차설정!$C$13:$C$27,$S$55))*(자동계산!$A$4:$A$48&lt;=INDEX(회차설정!$D$13:$D$27,$S$55))*자동계산!$E$4:$E$48),SUMPRODUCT((자동계산!$A$4:$A$48&gt;=INDEX(회차설정!$C$13:$C$27,$S$55))*(자동계산!$A$4:$A$48&lt;=INDEX(회차설정!$D$13:$D$27,$S$55))*자동계산!$C$4:$C$48)))</f>
        <v/>
      </c>
      <c r="E65" s="14">
        <f>IF(OR($S$55="",$R$44=""),"",SUM(OFFSET(전체채점!$AW$2,$R$44,INDEX(회차설정!$C$13:$C$27,$S$55),1,INDEX(회차설정!$D$13:$D$27,$S$55)-INDEX(회차설정!$C$13:$C$27,$S$55)+1)))</f>
        <v/>
      </c>
      <c r="F65" s="46">
        <f>IF(OR($S$55="",$D65=0,$D65="",$E65=""),"",$E65/$D65*100)</f>
        <v/>
      </c>
      <c r="G65" s="8" t="n"/>
      <c r="H65" s="47">
        <f>IF($F65="","",REPT("■",ROUND($F65/5,0)))</f>
        <v/>
      </c>
      <c r="I65" s="7" t="n"/>
      <c r="J65" s="7" t="n"/>
      <c r="K65" s="7" t="n"/>
      <c r="L65" s="7" t="n"/>
      <c r="M65" s="7" t="n"/>
      <c r="N65" s="7" t="n"/>
      <c r="O65" s="7" t="n"/>
      <c r="P65" s="8" t="n"/>
    </row>
    <row r="66">
      <c r="A66" s="5">
        <f>IF($R$44="","","합계")</f>
        <v/>
      </c>
      <c r="B66" s="7" t="n"/>
      <c r="C66" s="8" t="n"/>
      <c r="D66" s="5">
        <f>IF($R$44="","",SUM(D54:D65))</f>
        <v/>
      </c>
      <c r="E66" s="5">
        <f>IF($R$44="","",SUM(E54:E65))</f>
        <v/>
      </c>
      <c r="F66" s="48">
        <f>IF(OR($D66=0,$D66=""),"",$E66/$D66*100)</f>
        <v/>
      </c>
      <c r="G66" s="8" t="n"/>
      <c r="H66" s="49">
        <f>IF($F66="","",REPT("■",ROUND($F66/5,0)))</f>
        <v/>
      </c>
      <c r="I66" s="7" t="n"/>
      <c r="J66" s="7" t="n"/>
      <c r="K66" s="7" t="n"/>
      <c r="L66" s="7" t="n"/>
      <c r="M66" s="7" t="n"/>
      <c r="N66" s="7" t="n"/>
      <c r="O66" s="7" t="n"/>
      <c r="P66" s="8" t="n"/>
    </row>
    <row r="68">
      <c r="A68" s="12" t="inlineStr">
        <is>
          <t>4. 문항 채점표</t>
        </is>
      </c>
    </row>
    <row r="69">
      <c r="A69" s="50" t="inlineStr">
        <is>
          <t>문항 번호</t>
        </is>
      </c>
      <c r="B69" s="51" t="n">
        <v>1</v>
      </c>
      <c r="C69" s="51" t="n">
        <v>2</v>
      </c>
      <c r="D69" s="51" t="n">
        <v>3</v>
      </c>
      <c r="E69" s="51" t="n">
        <v>4</v>
      </c>
      <c r="F69" s="51" t="n">
        <v>5</v>
      </c>
      <c r="G69" s="51" t="n">
        <v>6</v>
      </c>
      <c r="H69" s="51" t="n">
        <v>7</v>
      </c>
      <c r="I69" s="51" t="n">
        <v>8</v>
      </c>
      <c r="J69" s="51" t="n">
        <v>9</v>
      </c>
      <c r="K69" s="51" t="n">
        <v>10</v>
      </c>
      <c r="L69" s="51" t="n">
        <v>11</v>
      </c>
      <c r="M69" s="51" t="n">
        <v>12</v>
      </c>
      <c r="N69" s="51" t="n">
        <v>13</v>
      </c>
      <c r="O69" s="51" t="n">
        <v>14</v>
      </c>
      <c r="P69" s="51" t="n">
        <v>15</v>
      </c>
    </row>
    <row r="70">
      <c r="A70" s="52" t="inlineStr">
        <is>
          <t>정답</t>
        </is>
      </c>
      <c r="B70" s="33">
        <f>IF($R$45="","",IF($R$45="언어와 매체",자동계산!$D$4,자동계산!$B$4))</f>
        <v/>
      </c>
      <c r="C70" s="33">
        <f>IF($R$45="","",IF($R$45="언어와 매체",자동계산!$D$5,자동계산!$B$5))</f>
        <v/>
      </c>
      <c r="D70" s="33">
        <f>IF($R$45="","",IF($R$45="언어와 매체",자동계산!$D$6,자동계산!$B$6))</f>
        <v/>
      </c>
      <c r="E70" s="33">
        <f>IF($R$45="","",IF($R$45="언어와 매체",자동계산!$D$7,자동계산!$B$7))</f>
        <v/>
      </c>
      <c r="F70" s="33">
        <f>IF($R$45="","",IF($R$45="언어와 매체",자동계산!$D$8,자동계산!$B$8))</f>
        <v/>
      </c>
      <c r="G70" s="33">
        <f>IF($R$45="","",IF($R$45="언어와 매체",자동계산!$D$9,자동계산!$B$9))</f>
        <v/>
      </c>
      <c r="H70" s="33">
        <f>IF($R$45="","",IF($R$45="언어와 매체",자동계산!$D$10,자동계산!$B$10))</f>
        <v/>
      </c>
      <c r="I70" s="33">
        <f>IF($R$45="","",IF($R$45="언어와 매체",자동계산!$D$11,자동계산!$B$11))</f>
        <v/>
      </c>
      <c r="J70" s="33">
        <f>IF($R$45="","",IF($R$45="언어와 매체",자동계산!$D$12,자동계산!$B$12))</f>
        <v/>
      </c>
      <c r="K70" s="33">
        <f>IF($R$45="","",IF($R$45="언어와 매체",자동계산!$D$13,자동계산!$B$13))</f>
        <v/>
      </c>
      <c r="L70" s="33">
        <f>IF($R$45="","",IF($R$45="언어와 매체",자동계산!$D$14,자동계산!$B$14))</f>
        <v/>
      </c>
      <c r="M70" s="33">
        <f>IF($R$45="","",IF($R$45="언어와 매체",자동계산!$D$15,자동계산!$B$15))</f>
        <v/>
      </c>
      <c r="N70" s="33">
        <f>IF($R$45="","",IF($R$45="언어와 매체",자동계산!$D$16,자동계산!$B$16))</f>
        <v/>
      </c>
      <c r="O70" s="33">
        <f>IF($R$45="","",IF($R$45="언어와 매체",자동계산!$D$17,자동계산!$B$17))</f>
        <v/>
      </c>
      <c r="P70" s="33">
        <f>IF($R$45="","",IF($R$45="언어와 매체",자동계산!$D$18,자동계산!$B$18))</f>
        <v/>
      </c>
    </row>
    <row r="71">
      <c r="A71" s="52" t="inlineStr">
        <is>
          <t>학생답안</t>
        </is>
      </c>
      <c r="B71" s="33">
        <f>IF($R$44="","",INDEX(전체채점!E$3:E$62,$R$44))</f>
        <v/>
      </c>
      <c r="C71" s="33">
        <f>IF($R$44="","",INDEX(전체채점!F$3:F$62,$R$44))</f>
        <v/>
      </c>
      <c r="D71" s="33">
        <f>IF($R$44="","",INDEX(전체채점!G$3:G$62,$R$44))</f>
        <v/>
      </c>
      <c r="E71" s="33">
        <f>IF($R$44="","",INDEX(전체채점!H$3:H$62,$R$44))</f>
        <v/>
      </c>
      <c r="F71" s="33">
        <f>IF($R$44="","",INDEX(전체채점!I$3:I$62,$R$44))</f>
        <v/>
      </c>
      <c r="G71" s="33">
        <f>IF($R$44="","",INDEX(전체채점!J$3:J$62,$R$44))</f>
        <v/>
      </c>
      <c r="H71" s="33">
        <f>IF($R$44="","",INDEX(전체채점!K$3:K$62,$R$44))</f>
        <v/>
      </c>
      <c r="I71" s="33">
        <f>IF($R$44="","",INDEX(전체채점!L$3:L$62,$R$44))</f>
        <v/>
      </c>
      <c r="J71" s="33">
        <f>IF($R$44="","",INDEX(전체채점!M$3:M$62,$R$44))</f>
        <v/>
      </c>
      <c r="K71" s="33">
        <f>IF($R$44="","",INDEX(전체채점!N$3:N$62,$R$44))</f>
        <v/>
      </c>
      <c r="L71" s="33">
        <f>IF($R$44="","",INDEX(전체채점!O$3:O$62,$R$44))</f>
        <v/>
      </c>
      <c r="M71" s="33">
        <f>IF($R$44="","",INDEX(전체채점!P$3:P$62,$R$44))</f>
        <v/>
      </c>
      <c r="N71" s="33">
        <f>IF($R$44="","",INDEX(전체채점!Q$3:Q$62,$R$44))</f>
        <v/>
      </c>
      <c r="O71" s="33">
        <f>IF($R$44="","",INDEX(전체채점!R$3:R$62,$R$44))</f>
        <v/>
      </c>
      <c r="P71" s="33">
        <f>IF($R$44="","",INDEX(전체채점!S$3:S$62,$R$44))</f>
        <v/>
      </c>
    </row>
    <row r="72">
      <c r="A72" s="52" t="inlineStr">
        <is>
          <t>정오</t>
        </is>
      </c>
      <c r="B72" s="33">
        <f>IF($R$44="","",INDEX(전체채점!AX$3:AX$62,$R$44))</f>
        <v/>
      </c>
      <c r="C72" s="33">
        <f>IF($R$44="","",INDEX(전체채점!AY$3:AY$62,$R$44))</f>
        <v/>
      </c>
      <c r="D72" s="33">
        <f>IF($R$44="","",INDEX(전체채점!AZ$3:AZ$62,$R$44))</f>
        <v/>
      </c>
      <c r="E72" s="33">
        <f>IF($R$44="","",INDEX(전체채점!BA$3:BA$62,$R$44))</f>
        <v/>
      </c>
      <c r="F72" s="33">
        <f>IF($R$44="","",INDEX(전체채점!BB$3:BB$62,$R$44))</f>
        <v/>
      </c>
      <c r="G72" s="33">
        <f>IF($R$44="","",INDEX(전체채점!BC$3:BC$62,$R$44))</f>
        <v/>
      </c>
      <c r="H72" s="33">
        <f>IF($R$44="","",INDEX(전체채점!BD$3:BD$62,$R$44))</f>
        <v/>
      </c>
      <c r="I72" s="33">
        <f>IF($R$44="","",INDEX(전체채점!BE$3:BE$62,$R$44))</f>
        <v/>
      </c>
      <c r="J72" s="33">
        <f>IF($R$44="","",INDEX(전체채점!BF$3:BF$62,$R$44))</f>
        <v/>
      </c>
      <c r="K72" s="33">
        <f>IF($R$44="","",INDEX(전체채점!BG$3:BG$62,$R$44))</f>
        <v/>
      </c>
      <c r="L72" s="33">
        <f>IF($R$44="","",INDEX(전체채점!BH$3:BH$62,$R$44))</f>
        <v/>
      </c>
      <c r="M72" s="33">
        <f>IF($R$44="","",INDEX(전체채점!BI$3:BI$62,$R$44))</f>
        <v/>
      </c>
      <c r="N72" s="33">
        <f>IF($R$44="","",INDEX(전체채점!BJ$3:BJ$62,$R$44))</f>
        <v/>
      </c>
      <c r="O72" s="33">
        <f>IF($R$44="","",INDEX(전체채점!BK$3:BK$62,$R$44))</f>
        <v/>
      </c>
      <c r="P72" s="33">
        <f>IF($R$44="","",INDEX(전체채점!BL$3:BL$62,$R$44))</f>
        <v/>
      </c>
    </row>
    <row r="73">
      <c r="A73" s="50" t="inlineStr">
        <is>
          <t>문항 번호</t>
        </is>
      </c>
      <c r="B73" s="51" t="n">
        <v>16</v>
      </c>
      <c r="C73" s="51" t="n">
        <v>17</v>
      </c>
      <c r="D73" s="51" t="n">
        <v>18</v>
      </c>
      <c r="E73" s="51" t="n">
        <v>19</v>
      </c>
      <c r="F73" s="51" t="n">
        <v>20</v>
      </c>
      <c r="G73" s="51" t="n">
        <v>21</v>
      </c>
      <c r="H73" s="51" t="n">
        <v>22</v>
      </c>
      <c r="I73" s="51" t="n">
        <v>23</v>
      </c>
      <c r="J73" s="51" t="n">
        <v>24</v>
      </c>
      <c r="K73" s="51" t="n">
        <v>25</v>
      </c>
      <c r="L73" s="51" t="n">
        <v>26</v>
      </c>
      <c r="M73" s="51" t="n">
        <v>27</v>
      </c>
      <c r="N73" s="51" t="n">
        <v>28</v>
      </c>
      <c r="O73" s="51" t="n">
        <v>29</v>
      </c>
      <c r="P73" s="51" t="n">
        <v>30</v>
      </c>
    </row>
    <row r="74">
      <c r="A74" s="52" t="inlineStr">
        <is>
          <t>정답</t>
        </is>
      </c>
      <c r="B74" s="33">
        <f>IF($R$45="","",IF($R$45="언어와 매체",자동계산!$D$19,자동계산!$B$19))</f>
        <v/>
      </c>
      <c r="C74" s="33">
        <f>IF($R$45="","",IF($R$45="언어와 매체",자동계산!$D$20,자동계산!$B$20))</f>
        <v/>
      </c>
      <c r="D74" s="33">
        <f>IF($R$45="","",IF($R$45="언어와 매체",자동계산!$D$21,자동계산!$B$21))</f>
        <v/>
      </c>
      <c r="E74" s="33">
        <f>IF($R$45="","",IF($R$45="언어와 매체",자동계산!$D$22,자동계산!$B$22))</f>
        <v/>
      </c>
      <c r="F74" s="33">
        <f>IF($R$45="","",IF($R$45="언어와 매체",자동계산!$D$23,자동계산!$B$23))</f>
        <v/>
      </c>
      <c r="G74" s="33">
        <f>IF($R$45="","",IF($R$45="언어와 매체",자동계산!$D$24,자동계산!$B$24))</f>
        <v/>
      </c>
      <c r="H74" s="33">
        <f>IF($R$45="","",IF($R$45="언어와 매체",자동계산!$D$25,자동계산!$B$25))</f>
        <v/>
      </c>
      <c r="I74" s="33">
        <f>IF($R$45="","",IF($R$45="언어와 매체",자동계산!$D$26,자동계산!$B$26))</f>
        <v/>
      </c>
      <c r="J74" s="33">
        <f>IF($R$45="","",IF($R$45="언어와 매체",자동계산!$D$27,자동계산!$B$27))</f>
        <v/>
      </c>
      <c r="K74" s="33">
        <f>IF($R$45="","",IF($R$45="언어와 매체",자동계산!$D$28,자동계산!$B$28))</f>
        <v/>
      </c>
      <c r="L74" s="33">
        <f>IF($R$45="","",IF($R$45="언어와 매체",자동계산!$D$29,자동계산!$B$29))</f>
        <v/>
      </c>
      <c r="M74" s="33">
        <f>IF($R$45="","",IF($R$45="언어와 매체",자동계산!$D$30,자동계산!$B$30))</f>
        <v/>
      </c>
      <c r="N74" s="33">
        <f>IF($R$45="","",IF($R$45="언어와 매체",자동계산!$D$31,자동계산!$B$31))</f>
        <v/>
      </c>
      <c r="O74" s="33">
        <f>IF($R$45="","",IF($R$45="언어와 매체",자동계산!$D$32,자동계산!$B$32))</f>
        <v/>
      </c>
      <c r="P74" s="33">
        <f>IF($R$45="","",IF($R$45="언어와 매체",자동계산!$D$33,자동계산!$B$33))</f>
        <v/>
      </c>
    </row>
    <row r="75">
      <c r="A75" s="52" t="inlineStr">
        <is>
          <t>학생답안</t>
        </is>
      </c>
      <c r="B75" s="33">
        <f>IF($R$44="","",INDEX(전체채점!T$3:T$62,$R$44))</f>
        <v/>
      </c>
      <c r="C75" s="33">
        <f>IF($R$44="","",INDEX(전체채점!U$3:U$62,$R$44))</f>
        <v/>
      </c>
      <c r="D75" s="33">
        <f>IF($R$44="","",INDEX(전체채점!V$3:V$62,$R$44))</f>
        <v/>
      </c>
      <c r="E75" s="33">
        <f>IF($R$44="","",INDEX(전체채점!W$3:W$62,$R$44))</f>
        <v/>
      </c>
      <c r="F75" s="33">
        <f>IF($R$44="","",INDEX(전체채점!X$3:X$62,$R$44))</f>
        <v/>
      </c>
      <c r="G75" s="33">
        <f>IF($R$44="","",INDEX(전체채점!Y$3:Y$62,$R$44))</f>
        <v/>
      </c>
      <c r="H75" s="33">
        <f>IF($R$44="","",INDEX(전체채점!Z$3:Z$62,$R$44))</f>
        <v/>
      </c>
      <c r="I75" s="33">
        <f>IF($R$44="","",INDEX(전체채점!AA$3:AA$62,$R$44))</f>
        <v/>
      </c>
      <c r="J75" s="33">
        <f>IF($R$44="","",INDEX(전체채점!AB$3:AB$62,$R$44))</f>
        <v/>
      </c>
      <c r="K75" s="33">
        <f>IF($R$44="","",INDEX(전체채점!AC$3:AC$62,$R$44))</f>
        <v/>
      </c>
      <c r="L75" s="33">
        <f>IF($R$44="","",INDEX(전체채점!AD$3:AD$62,$R$44))</f>
        <v/>
      </c>
      <c r="M75" s="33">
        <f>IF($R$44="","",INDEX(전체채점!AE$3:AE$62,$R$44))</f>
        <v/>
      </c>
      <c r="N75" s="33">
        <f>IF($R$44="","",INDEX(전체채점!AF$3:AF$62,$R$44))</f>
        <v/>
      </c>
      <c r="O75" s="33">
        <f>IF($R$44="","",INDEX(전체채점!AG$3:AG$62,$R$44))</f>
        <v/>
      </c>
      <c r="P75" s="33">
        <f>IF($R$44="","",INDEX(전체채점!AH$3:AH$62,$R$44))</f>
        <v/>
      </c>
    </row>
    <row r="76">
      <c r="A76" s="52" t="inlineStr">
        <is>
          <t>정오</t>
        </is>
      </c>
      <c r="B76" s="33">
        <f>IF($R$44="","",INDEX(전체채점!BM$3:BM$62,$R$44))</f>
        <v/>
      </c>
      <c r="C76" s="33">
        <f>IF($R$44="","",INDEX(전체채점!BN$3:BN$62,$R$44))</f>
        <v/>
      </c>
      <c r="D76" s="33">
        <f>IF($R$44="","",INDEX(전체채점!BO$3:BO$62,$R$44))</f>
        <v/>
      </c>
      <c r="E76" s="33">
        <f>IF($R$44="","",INDEX(전체채점!BP$3:BP$62,$R$44))</f>
        <v/>
      </c>
      <c r="F76" s="33">
        <f>IF($R$44="","",INDEX(전체채점!BQ$3:BQ$62,$R$44))</f>
        <v/>
      </c>
      <c r="G76" s="33">
        <f>IF($R$44="","",INDEX(전체채점!BR$3:BR$62,$R$44))</f>
        <v/>
      </c>
      <c r="H76" s="33">
        <f>IF($R$44="","",INDEX(전체채점!BS$3:BS$62,$R$44))</f>
        <v/>
      </c>
      <c r="I76" s="33">
        <f>IF($R$44="","",INDEX(전체채점!BT$3:BT$62,$R$44))</f>
        <v/>
      </c>
      <c r="J76" s="33">
        <f>IF($R$44="","",INDEX(전체채점!BU$3:BU$62,$R$44))</f>
        <v/>
      </c>
      <c r="K76" s="33">
        <f>IF($R$44="","",INDEX(전체채점!BV$3:BV$62,$R$44))</f>
        <v/>
      </c>
      <c r="L76" s="33">
        <f>IF($R$44="","",INDEX(전체채점!BW$3:BW$62,$R$44))</f>
        <v/>
      </c>
      <c r="M76" s="33">
        <f>IF($R$44="","",INDEX(전체채점!BX$3:BX$62,$R$44))</f>
        <v/>
      </c>
      <c r="N76" s="33">
        <f>IF($R$44="","",INDEX(전체채점!BY$3:BY$62,$R$44))</f>
        <v/>
      </c>
      <c r="O76" s="33">
        <f>IF($R$44="","",INDEX(전체채점!BZ$3:BZ$62,$R$44))</f>
        <v/>
      </c>
      <c r="P76" s="33">
        <f>IF($R$44="","",INDEX(전체채점!CA$3:CA$62,$R$44))</f>
        <v/>
      </c>
    </row>
    <row r="77">
      <c r="A77" s="50" t="inlineStr">
        <is>
          <t>문항 번호</t>
        </is>
      </c>
      <c r="B77" s="51" t="n">
        <v>31</v>
      </c>
      <c r="C77" s="51" t="n">
        <v>32</v>
      </c>
      <c r="D77" s="51" t="n">
        <v>33</v>
      </c>
      <c r="E77" s="51" t="n">
        <v>34</v>
      </c>
      <c r="F77" s="51" t="n">
        <v>35</v>
      </c>
      <c r="G77" s="51" t="n">
        <v>36</v>
      </c>
      <c r="H77" s="51" t="n">
        <v>37</v>
      </c>
      <c r="I77" s="51" t="n">
        <v>38</v>
      </c>
      <c r="J77" s="51" t="n">
        <v>39</v>
      </c>
      <c r="K77" s="51" t="n">
        <v>40</v>
      </c>
      <c r="L77" s="51" t="n">
        <v>41</v>
      </c>
      <c r="M77" s="51" t="n">
        <v>42</v>
      </c>
      <c r="N77" s="51" t="n">
        <v>43</v>
      </c>
      <c r="O77" s="51" t="n">
        <v>44</v>
      </c>
      <c r="P77" s="51" t="n">
        <v>45</v>
      </c>
    </row>
    <row r="78">
      <c r="A78" s="52" t="inlineStr">
        <is>
          <t>정답</t>
        </is>
      </c>
      <c r="B78" s="33">
        <f>IF($R$45="","",IF($R$45="언어와 매체",자동계산!$D$34,자동계산!$B$34))</f>
        <v/>
      </c>
      <c r="C78" s="33">
        <f>IF($R$45="","",IF($R$45="언어와 매체",자동계산!$D$35,자동계산!$B$35))</f>
        <v/>
      </c>
      <c r="D78" s="33">
        <f>IF($R$45="","",IF($R$45="언어와 매체",자동계산!$D$36,자동계산!$B$36))</f>
        <v/>
      </c>
      <c r="E78" s="33">
        <f>IF($R$45="","",IF($R$45="언어와 매체",자동계산!$D$37,자동계산!$B$37))</f>
        <v/>
      </c>
      <c r="F78" s="33">
        <f>IF($R$45="","",IF($R$45="언어와 매체",자동계산!$D$38,자동계산!$B$38))</f>
        <v/>
      </c>
      <c r="G78" s="33">
        <f>IF($R$45="","",IF($R$45="언어와 매체",자동계산!$D$39,자동계산!$B$39))</f>
        <v/>
      </c>
      <c r="H78" s="33">
        <f>IF($R$45="","",IF($R$45="언어와 매체",자동계산!$D$40,자동계산!$B$40))</f>
        <v/>
      </c>
      <c r="I78" s="33">
        <f>IF($R$45="","",IF($R$45="언어와 매체",자동계산!$D$41,자동계산!$B$41))</f>
        <v/>
      </c>
      <c r="J78" s="33">
        <f>IF($R$45="","",IF($R$45="언어와 매체",자동계산!$D$42,자동계산!$B$42))</f>
        <v/>
      </c>
      <c r="K78" s="33">
        <f>IF($R$45="","",IF($R$45="언어와 매체",자동계산!$D$43,자동계산!$B$43))</f>
        <v/>
      </c>
      <c r="L78" s="33">
        <f>IF($R$45="","",IF($R$45="언어와 매체",자동계산!$D$44,자동계산!$B$44))</f>
        <v/>
      </c>
      <c r="M78" s="33">
        <f>IF($R$45="","",IF($R$45="언어와 매체",자동계산!$D$45,자동계산!$B$45))</f>
        <v/>
      </c>
      <c r="N78" s="33">
        <f>IF($R$45="","",IF($R$45="언어와 매체",자동계산!$D$46,자동계산!$B$46))</f>
        <v/>
      </c>
      <c r="O78" s="33">
        <f>IF($R$45="","",IF($R$45="언어와 매체",자동계산!$D$47,자동계산!$B$47))</f>
        <v/>
      </c>
      <c r="P78" s="33">
        <f>IF($R$45="","",IF($R$45="언어와 매체",자동계산!$D$48,자동계산!$B$48))</f>
        <v/>
      </c>
    </row>
    <row r="79">
      <c r="A79" s="52" t="inlineStr">
        <is>
          <t>학생답안</t>
        </is>
      </c>
      <c r="B79" s="33">
        <f>IF($R$44="","",INDEX(전체채점!AI$3:AI$62,$R$44))</f>
        <v/>
      </c>
      <c r="C79" s="33">
        <f>IF($R$44="","",INDEX(전체채점!AJ$3:AJ$62,$R$44))</f>
        <v/>
      </c>
      <c r="D79" s="33">
        <f>IF($R$44="","",INDEX(전체채점!AK$3:AK$62,$R$44))</f>
        <v/>
      </c>
      <c r="E79" s="33">
        <f>IF($R$44="","",INDEX(전체채점!AL$3:AL$62,$R$44))</f>
        <v/>
      </c>
      <c r="F79" s="33">
        <f>IF($R$44="","",INDEX(전체채점!AM$3:AM$62,$R$44))</f>
        <v/>
      </c>
      <c r="G79" s="33">
        <f>IF($R$44="","",INDEX(전체채점!AN$3:AN$62,$R$44))</f>
        <v/>
      </c>
      <c r="H79" s="33">
        <f>IF($R$44="","",INDEX(전체채점!AO$3:AO$62,$R$44))</f>
        <v/>
      </c>
      <c r="I79" s="33">
        <f>IF($R$44="","",INDEX(전체채점!AP$3:AP$62,$R$44))</f>
        <v/>
      </c>
      <c r="J79" s="33">
        <f>IF($R$44="","",INDEX(전체채점!AQ$3:AQ$62,$R$44))</f>
        <v/>
      </c>
      <c r="K79" s="33">
        <f>IF($R$44="","",INDEX(전체채점!AR$3:AR$62,$R$44))</f>
        <v/>
      </c>
      <c r="L79" s="33">
        <f>IF($R$44="","",INDEX(전체채점!AS$3:AS$62,$R$44))</f>
        <v/>
      </c>
      <c r="M79" s="33">
        <f>IF($R$44="","",INDEX(전체채점!AT$3:AT$62,$R$44))</f>
        <v/>
      </c>
      <c r="N79" s="33">
        <f>IF($R$44="","",INDEX(전체채점!AU$3:AU$62,$R$44))</f>
        <v/>
      </c>
      <c r="O79" s="33">
        <f>IF($R$44="","",INDEX(전체채점!AV$3:AV$62,$R$44))</f>
        <v/>
      </c>
      <c r="P79" s="33">
        <f>IF($R$44="","",INDEX(전체채점!AW$3:AW$62,$R$44))</f>
        <v/>
      </c>
    </row>
    <row r="80">
      <c r="A80" s="52" t="inlineStr">
        <is>
          <t>정오</t>
        </is>
      </c>
      <c r="B80" s="33">
        <f>IF($R$44="","",INDEX(전체채점!CB$3:CB$62,$R$44))</f>
        <v/>
      </c>
      <c r="C80" s="33">
        <f>IF($R$44="","",INDEX(전체채점!CC$3:CC$62,$R$44))</f>
        <v/>
      </c>
      <c r="D80" s="33">
        <f>IF($R$44="","",INDEX(전체채점!CD$3:CD$62,$R$44))</f>
        <v/>
      </c>
      <c r="E80" s="33">
        <f>IF($R$44="","",INDEX(전체채점!CE$3:CE$62,$R$44))</f>
        <v/>
      </c>
      <c r="F80" s="33">
        <f>IF($R$44="","",INDEX(전체채점!CF$3:CF$62,$R$44))</f>
        <v/>
      </c>
      <c r="G80" s="33">
        <f>IF($R$44="","",INDEX(전체채점!CG$3:CG$62,$R$44))</f>
        <v/>
      </c>
      <c r="H80" s="33">
        <f>IF($R$44="","",INDEX(전체채점!CH$3:CH$62,$R$44))</f>
        <v/>
      </c>
      <c r="I80" s="33">
        <f>IF($R$44="","",INDEX(전체채점!CI$3:CI$62,$R$44))</f>
        <v/>
      </c>
      <c r="J80" s="33">
        <f>IF($R$44="","",INDEX(전체채점!CJ$3:CJ$62,$R$44))</f>
        <v/>
      </c>
      <c r="K80" s="33">
        <f>IF($R$44="","",INDEX(전체채점!CK$3:CK$62,$R$44))</f>
        <v/>
      </c>
      <c r="L80" s="33">
        <f>IF($R$44="","",INDEX(전체채점!CL$3:CL$62,$R$44))</f>
        <v/>
      </c>
      <c r="M80" s="33">
        <f>IF($R$44="","",INDEX(전체채점!CM$3:CM$62,$R$44))</f>
        <v/>
      </c>
      <c r="N80" s="33">
        <f>IF($R$44="","",INDEX(전체채점!CN$3:CN$62,$R$44))</f>
        <v/>
      </c>
      <c r="O80" s="33">
        <f>IF($R$44="","",INDEX(전체채점!CO$3:CO$62,$R$44))</f>
        <v/>
      </c>
      <c r="P80" s="33">
        <f>IF($R$44="","",INDEX(전체채점!CP$3:CP$62,$R$44))</f>
        <v/>
      </c>
    </row>
    <row r="83" ht="34" customHeight="1">
      <c r="A83" s="36">
        <f>IF($R$85="","",회차설정!$B$2&amp;" 성적표")</f>
        <v/>
      </c>
    </row>
    <row r="85">
      <c r="A85" s="12" t="inlineStr">
        <is>
          <t>1. 학생정보</t>
        </is>
      </c>
      <c r="R85" s="37">
        <f>IF(답안입력!$A$5="","",3)</f>
        <v/>
      </c>
      <c r="S85" s="37">
        <f>IF($R$86="","",IFERROR(IF($R$86="언어와 매체",MATCH(1,회차설정!$G$13:$G$27,0),MATCH(1,회차설정!$F$13:$F$27,0)),""))</f>
        <v/>
      </c>
    </row>
    <row r="86">
      <c r="A86" s="13" t="inlineStr">
        <is>
          <t>성명</t>
        </is>
      </c>
      <c r="B86" s="7" t="n"/>
      <c r="C86" s="8" t="n"/>
      <c r="D86" s="13" t="inlineStr">
        <is>
          <t>선택과목</t>
        </is>
      </c>
      <c r="E86" s="7" t="n"/>
      <c r="F86" s="7" t="n"/>
      <c r="G86" s="8" t="n"/>
      <c r="H86" s="13" t="inlineStr">
        <is>
          <t>학년</t>
        </is>
      </c>
      <c r="I86" s="7" t="n"/>
      <c r="J86" s="7" t="n"/>
      <c r="K86" s="8" t="n"/>
      <c r="L86" s="13" t="inlineStr">
        <is>
          <t>시행일</t>
        </is>
      </c>
      <c r="M86" s="7" t="n"/>
      <c r="N86" s="7" t="n"/>
      <c r="O86" s="7" t="n"/>
      <c r="P86" s="8" t="n"/>
      <c r="R86" s="37">
        <f>IF($R$85="","",INDEX(전체채점!$B$3:$B$62,$R$85))</f>
        <v/>
      </c>
      <c r="S86" s="37">
        <f>IF($R$86="","",IFERROR(IF($R$86="언어와 매체",MATCH(2,회차설정!$G$13:$G$27,0),MATCH(2,회차설정!$F$13:$F$27,0)),""))</f>
        <v/>
      </c>
    </row>
    <row r="87" ht="26" customHeight="1">
      <c r="A87" s="39">
        <f>IF($R$85="","",INDEX(답안입력!$A$3:$A$62,$R$85))</f>
        <v/>
      </c>
      <c r="B87" s="7" t="n"/>
      <c r="C87" s="8" t="n"/>
      <c r="D87" s="39">
        <f>IF($R$85="","",INDEX(답안입력!$C$3:$C$62,$R$85))</f>
        <v/>
      </c>
      <c r="E87" s="7" t="n"/>
      <c r="F87" s="7" t="n"/>
      <c r="G87" s="8" t="n"/>
      <c r="H87" s="39">
        <f>IF($R$85="","",INDEX(답안입력!$B$3:$B$62,$R$85))</f>
        <v/>
      </c>
      <c r="I87" s="7" t="n"/>
      <c r="J87" s="7" t="n"/>
      <c r="K87" s="8" t="n"/>
      <c r="L87" s="40">
        <f>회차설정!$B$3</f>
        <v/>
      </c>
      <c r="M87" s="7" t="n"/>
      <c r="N87" s="7" t="n"/>
      <c r="O87" s="7" t="n"/>
      <c r="P87" s="8" t="n"/>
      <c r="R87" s="37">
        <f>IF($R$86="언어와 매체",회차설정!$B$9,회차설정!$B$8)</f>
        <v/>
      </c>
      <c r="S87" s="37">
        <f>IF($R$86="","",IFERROR(IF($R$86="언어와 매체",MATCH(3,회차설정!$G$13:$G$27,0),MATCH(3,회차설정!$F$13:$F$27,0)),""))</f>
        <v/>
      </c>
    </row>
    <row r="88">
      <c r="R88" s="37">
        <f>IF($R$86="언어와 매체",회차설정!$C$9,회차설정!$C$8)</f>
        <v/>
      </c>
      <c r="S88" s="37">
        <f>IF($R$86="","",IFERROR(IF($R$86="언어와 매체",MATCH(4,회차설정!$G$13:$G$27,0),MATCH(4,회차설정!$F$13:$F$27,0)),""))</f>
        <v/>
      </c>
    </row>
    <row r="89">
      <c r="A89" s="12" t="inlineStr">
        <is>
          <t>2. 성적</t>
        </is>
      </c>
      <c r="R89" s="37">
        <f>IF($R$86="언어와 매체",회차설정!$D$9,회차설정!$D$8)</f>
        <v/>
      </c>
      <c r="S89" s="37">
        <f>IF($R$86="","",IFERROR(IF($R$86="언어와 매체",MATCH(5,회차설정!$G$13:$G$27,0),MATCH(5,회차설정!$F$13:$F$27,0)),""))</f>
        <v/>
      </c>
    </row>
    <row r="90">
      <c r="A90" s="13" t="inlineStr">
        <is>
          <t>점수 (100점 만점)</t>
        </is>
      </c>
      <c r="B90" s="7" t="n"/>
      <c r="C90" s="7" t="n"/>
      <c r="D90" s="7" t="n"/>
      <c r="E90" s="8" t="n"/>
      <c r="F90" s="13" t="inlineStr">
        <is>
          <t>등급</t>
        </is>
      </c>
      <c r="G90" s="7" t="n"/>
      <c r="H90" s="8" t="n"/>
      <c r="I90" s="13" t="inlineStr">
        <is>
          <t>등급컷</t>
        </is>
      </c>
      <c r="J90" s="7" t="n"/>
      <c r="K90" s="7" t="n"/>
      <c r="L90" s="8" t="n"/>
      <c r="M90" s="13" t="inlineStr">
        <is>
          <t>같은 선택과목 평균</t>
        </is>
      </c>
      <c r="N90" s="7" t="n"/>
      <c r="O90" s="7" t="n"/>
      <c r="P90" s="8" t="n"/>
      <c r="R90" s="37">
        <f>IF($R$86="언어와 매체",회차설정!$E$9,회차설정!$E$8)</f>
        <v/>
      </c>
      <c r="S90" s="37">
        <f>IF($R$86="","",IFERROR(IF($R$86="언어와 매체",MATCH(6,회차설정!$G$13:$G$27,0),MATCH(6,회차설정!$F$13:$F$27,0)),""))</f>
        <v/>
      </c>
    </row>
    <row r="91" ht="34" customHeight="1">
      <c r="A91" s="41">
        <f>IF($R$85="","",INDEX(전체채점!$C$3:$C$62,$R$85))</f>
        <v/>
      </c>
      <c r="B91" s="7" t="n"/>
      <c r="C91" s="7" t="n"/>
      <c r="D91" s="7" t="n"/>
      <c r="E91" s="8" t="n"/>
      <c r="F91" s="42">
        <f>IF($R$85="","",INDEX(전체채점!$D$3:$D$62,$R$85))</f>
        <v/>
      </c>
      <c r="G91" s="7" t="n"/>
      <c r="H91" s="8" t="n"/>
      <c r="I91" s="43">
        <f>IF($R$85="","",$R$87&amp;"-"&amp;$R$88&amp;"-"&amp;$R$89&amp;"-"&amp;$R$90)</f>
        <v/>
      </c>
      <c r="J91" s="7" t="n"/>
      <c r="K91" s="7" t="n"/>
      <c r="L91" s="8" t="n"/>
      <c r="M91" s="44">
        <f>IFERROR(AVERAGEIF(전체채점!$B$3:$B$62,$R$86,전체채점!$C$3:$C$62),"")</f>
        <v/>
      </c>
      <c r="N91" s="7" t="n"/>
      <c r="O91" s="7" t="n"/>
      <c r="P91" s="8" t="n"/>
      <c r="S91" s="37">
        <f>IF($R$86="","",IFERROR(IF($R$86="언어와 매체",MATCH(7,회차설정!$G$13:$G$27,0),MATCH(7,회차설정!$F$13:$F$27,0)),""))</f>
        <v/>
      </c>
    </row>
    <row r="92">
      <c r="S92" s="37">
        <f>IF($R$86="","",IFERROR(IF($R$86="언어와 매체",MATCH(8,회차설정!$G$13:$G$27,0),MATCH(8,회차설정!$F$13:$F$27,0)),""))</f>
        <v/>
      </c>
    </row>
    <row r="93">
      <c r="A93" s="12" t="inlineStr">
        <is>
          <t>3. 영역분류별 성취도 분석</t>
        </is>
      </c>
      <c r="F93" s="45">
        <f>IF(OR($R$85="",$E107=""),"",IF($E107=INDEX(전체채점!$C$3:$C$62,$R$85),"","※ 회차설정의 영역 표를 확인하세요 — 영역 합계와 점수가 다릅니다"))</f>
        <v/>
      </c>
      <c r="S93" s="37">
        <f>IF($R$86="","",IFERROR(IF($R$86="언어와 매체",MATCH(9,회차설정!$G$13:$G$27,0),MATCH(9,회차설정!$F$13:$F$27,0)),""))</f>
        <v/>
      </c>
    </row>
    <row r="94">
      <c r="A94" s="13" t="inlineStr">
        <is>
          <t>분류</t>
        </is>
      </c>
      <c r="B94" s="13" t="inlineStr">
        <is>
          <t>영역</t>
        </is>
      </c>
      <c r="C94" s="8" t="n"/>
      <c r="D94" s="13" t="inlineStr">
        <is>
          <t>배점</t>
        </is>
      </c>
      <c r="E94" s="13" t="inlineStr">
        <is>
          <t>득점</t>
        </is>
      </c>
      <c r="F94" s="13" t="inlineStr">
        <is>
          <t>성취도(%)</t>
        </is>
      </c>
      <c r="G94" s="8" t="n"/>
      <c r="H94" s="13" t="inlineStr"/>
      <c r="I94" s="7" t="n"/>
      <c r="J94" s="7" t="n"/>
      <c r="K94" s="7" t="n"/>
      <c r="L94" s="7" t="n"/>
      <c r="M94" s="7" t="n"/>
      <c r="N94" s="7" t="n"/>
      <c r="O94" s="7" t="n"/>
      <c r="P94" s="8" t="n"/>
      <c r="S94" s="37">
        <f>IF($R$86="","",IFERROR(IF($R$86="언어와 매체",MATCH(10,회차설정!$G$13:$G$27,0),MATCH(10,회차설정!$F$13:$F$27,0)),""))</f>
        <v/>
      </c>
    </row>
    <row r="95">
      <c r="A95" s="14">
        <f>IF($S$85="","",INDEX(회차설정!$A$13:$A$27,$S$85))</f>
        <v/>
      </c>
      <c r="B95" s="14">
        <f>IF($S$85="","",INDEX(회차설정!$B$13:$B$27,$S$85))</f>
        <v/>
      </c>
      <c r="C95" s="8" t="n"/>
      <c r="D95" s="14">
        <f>IF($S$85="","",IF($R$86="언어와 매체",SUMPRODUCT((자동계산!$A$4:$A$48&gt;=INDEX(회차설정!$C$13:$C$27,$S$85))*(자동계산!$A$4:$A$48&lt;=INDEX(회차설정!$D$13:$D$27,$S$85))*자동계산!$E$4:$E$48),SUMPRODUCT((자동계산!$A$4:$A$48&gt;=INDEX(회차설정!$C$13:$C$27,$S$85))*(자동계산!$A$4:$A$48&lt;=INDEX(회차설정!$D$13:$D$27,$S$85))*자동계산!$C$4:$C$48)))</f>
        <v/>
      </c>
      <c r="E95" s="14">
        <f>IF(OR($S$85="",$R$85=""),"",SUM(OFFSET(전체채점!$AW$2,$R$85,INDEX(회차설정!$C$13:$C$27,$S$85),1,INDEX(회차설정!$D$13:$D$27,$S$85)-INDEX(회차설정!$C$13:$C$27,$S$85)+1)))</f>
        <v/>
      </c>
      <c r="F95" s="46">
        <f>IF(OR($S$85="",$D95=0,$D95="",$E95=""),"",$E95/$D95*100)</f>
        <v/>
      </c>
      <c r="G95" s="8" t="n"/>
      <c r="H95" s="47">
        <f>IF($F95="","",REPT("■",ROUND($F95/5,0)))</f>
        <v/>
      </c>
      <c r="I95" s="7" t="n"/>
      <c r="J95" s="7" t="n"/>
      <c r="K95" s="7" t="n"/>
      <c r="L95" s="7" t="n"/>
      <c r="M95" s="7" t="n"/>
      <c r="N95" s="7" t="n"/>
      <c r="O95" s="7" t="n"/>
      <c r="P95" s="8" t="n"/>
      <c r="S95" s="37">
        <f>IF($R$86="","",IFERROR(IF($R$86="언어와 매체",MATCH(11,회차설정!$G$13:$G$27,0),MATCH(11,회차설정!$F$13:$F$27,0)),""))</f>
        <v/>
      </c>
    </row>
    <row r="96">
      <c r="A96" s="14">
        <f>IF($S$86="","",INDEX(회차설정!$A$13:$A$27,$S$86))</f>
        <v/>
      </c>
      <c r="B96" s="14">
        <f>IF($S$86="","",INDEX(회차설정!$B$13:$B$27,$S$86))</f>
        <v/>
      </c>
      <c r="C96" s="8" t="n"/>
      <c r="D96" s="14">
        <f>IF($S$86="","",IF($R$86="언어와 매체",SUMPRODUCT((자동계산!$A$4:$A$48&gt;=INDEX(회차설정!$C$13:$C$27,$S$86))*(자동계산!$A$4:$A$48&lt;=INDEX(회차설정!$D$13:$D$27,$S$86))*자동계산!$E$4:$E$48),SUMPRODUCT((자동계산!$A$4:$A$48&gt;=INDEX(회차설정!$C$13:$C$27,$S$86))*(자동계산!$A$4:$A$48&lt;=INDEX(회차설정!$D$13:$D$27,$S$86))*자동계산!$C$4:$C$48)))</f>
        <v/>
      </c>
      <c r="E96" s="14">
        <f>IF(OR($S$86="",$R$85=""),"",SUM(OFFSET(전체채점!$AW$2,$R$85,INDEX(회차설정!$C$13:$C$27,$S$86),1,INDEX(회차설정!$D$13:$D$27,$S$86)-INDEX(회차설정!$C$13:$C$27,$S$86)+1)))</f>
        <v/>
      </c>
      <c r="F96" s="46">
        <f>IF(OR($S$86="",$D96=0,$D96="",$E96=""),"",$E96/$D96*100)</f>
        <v/>
      </c>
      <c r="G96" s="8" t="n"/>
      <c r="H96" s="47">
        <f>IF($F96="","",REPT("■",ROUND($F96/5,0)))</f>
        <v/>
      </c>
      <c r="I96" s="7" t="n"/>
      <c r="J96" s="7" t="n"/>
      <c r="K96" s="7" t="n"/>
      <c r="L96" s="7" t="n"/>
      <c r="M96" s="7" t="n"/>
      <c r="N96" s="7" t="n"/>
      <c r="O96" s="7" t="n"/>
      <c r="P96" s="8" t="n"/>
      <c r="S96" s="37">
        <f>IF($R$86="","",IFERROR(IF($R$86="언어와 매체",MATCH(12,회차설정!$G$13:$G$27,0),MATCH(12,회차설정!$F$13:$F$27,0)),""))</f>
        <v/>
      </c>
    </row>
    <row r="97">
      <c r="A97" s="14">
        <f>IF($S$87="","",INDEX(회차설정!$A$13:$A$27,$S$87))</f>
        <v/>
      </c>
      <c r="B97" s="14">
        <f>IF($S$87="","",INDEX(회차설정!$B$13:$B$27,$S$87))</f>
        <v/>
      </c>
      <c r="C97" s="8" t="n"/>
      <c r="D97" s="14">
        <f>IF($S$87="","",IF($R$86="언어와 매체",SUMPRODUCT((자동계산!$A$4:$A$48&gt;=INDEX(회차설정!$C$13:$C$27,$S$87))*(자동계산!$A$4:$A$48&lt;=INDEX(회차설정!$D$13:$D$27,$S$87))*자동계산!$E$4:$E$48),SUMPRODUCT((자동계산!$A$4:$A$48&gt;=INDEX(회차설정!$C$13:$C$27,$S$87))*(자동계산!$A$4:$A$48&lt;=INDEX(회차설정!$D$13:$D$27,$S$87))*자동계산!$C$4:$C$48)))</f>
        <v/>
      </c>
      <c r="E97" s="14">
        <f>IF(OR($S$87="",$R$85=""),"",SUM(OFFSET(전체채점!$AW$2,$R$85,INDEX(회차설정!$C$13:$C$27,$S$87),1,INDEX(회차설정!$D$13:$D$27,$S$87)-INDEX(회차설정!$C$13:$C$27,$S$87)+1)))</f>
        <v/>
      </c>
      <c r="F97" s="46">
        <f>IF(OR($S$87="",$D97=0,$D97="",$E97=""),"",$E97/$D97*100)</f>
        <v/>
      </c>
      <c r="G97" s="8" t="n"/>
      <c r="H97" s="47">
        <f>IF($F97="","",REPT("■",ROUND($F97/5,0)))</f>
        <v/>
      </c>
      <c r="I97" s="7" t="n"/>
      <c r="J97" s="7" t="n"/>
      <c r="K97" s="7" t="n"/>
      <c r="L97" s="7" t="n"/>
      <c r="M97" s="7" t="n"/>
      <c r="N97" s="7" t="n"/>
      <c r="O97" s="7" t="n"/>
      <c r="P97" s="8" t="n"/>
    </row>
    <row r="98">
      <c r="A98" s="14">
        <f>IF($S$88="","",INDEX(회차설정!$A$13:$A$27,$S$88))</f>
        <v/>
      </c>
      <c r="B98" s="14">
        <f>IF($S$88="","",INDEX(회차설정!$B$13:$B$27,$S$88))</f>
        <v/>
      </c>
      <c r="C98" s="8" t="n"/>
      <c r="D98" s="14">
        <f>IF($S$88="","",IF($R$86="언어와 매체",SUMPRODUCT((자동계산!$A$4:$A$48&gt;=INDEX(회차설정!$C$13:$C$27,$S$88))*(자동계산!$A$4:$A$48&lt;=INDEX(회차설정!$D$13:$D$27,$S$88))*자동계산!$E$4:$E$48),SUMPRODUCT((자동계산!$A$4:$A$48&gt;=INDEX(회차설정!$C$13:$C$27,$S$88))*(자동계산!$A$4:$A$48&lt;=INDEX(회차설정!$D$13:$D$27,$S$88))*자동계산!$C$4:$C$48)))</f>
        <v/>
      </c>
      <c r="E98" s="14">
        <f>IF(OR($S$88="",$R$85=""),"",SUM(OFFSET(전체채점!$AW$2,$R$85,INDEX(회차설정!$C$13:$C$27,$S$88),1,INDEX(회차설정!$D$13:$D$27,$S$88)-INDEX(회차설정!$C$13:$C$27,$S$88)+1)))</f>
        <v/>
      </c>
      <c r="F98" s="46">
        <f>IF(OR($S$88="",$D98=0,$D98="",$E98=""),"",$E98/$D98*100)</f>
        <v/>
      </c>
      <c r="G98" s="8" t="n"/>
      <c r="H98" s="47">
        <f>IF($F98="","",REPT("■",ROUND($F98/5,0)))</f>
        <v/>
      </c>
      <c r="I98" s="7" t="n"/>
      <c r="J98" s="7" t="n"/>
      <c r="K98" s="7" t="n"/>
      <c r="L98" s="7" t="n"/>
      <c r="M98" s="7" t="n"/>
      <c r="N98" s="7" t="n"/>
      <c r="O98" s="7" t="n"/>
      <c r="P98" s="8" t="n"/>
    </row>
    <row r="99">
      <c r="A99" s="14">
        <f>IF($S$89="","",INDEX(회차설정!$A$13:$A$27,$S$89))</f>
        <v/>
      </c>
      <c r="B99" s="14">
        <f>IF($S$89="","",INDEX(회차설정!$B$13:$B$27,$S$89))</f>
        <v/>
      </c>
      <c r="C99" s="8" t="n"/>
      <c r="D99" s="14">
        <f>IF($S$89="","",IF($R$86="언어와 매체",SUMPRODUCT((자동계산!$A$4:$A$48&gt;=INDEX(회차설정!$C$13:$C$27,$S$89))*(자동계산!$A$4:$A$48&lt;=INDEX(회차설정!$D$13:$D$27,$S$89))*자동계산!$E$4:$E$48),SUMPRODUCT((자동계산!$A$4:$A$48&gt;=INDEX(회차설정!$C$13:$C$27,$S$89))*(자동계산!$A$4:$A$48&lt;=INDEX(회차설정!$D$13:$D$27,$S$89))*자동계산!$C$4:$C$48)))</f>
        <v/>
      </c>
      <c r="E99" s="14">
        <f>IF(OR($S$89="",$R$85=""),"",SUM(OFFSET(전체채점!$AW$2,$R$85,INDEX(회차설정!$C$13:$C$27,$S$89),1,INDEX(회차설정!$D$13:$D$27,$S$89)-INDEX(회차설정!$C$13:$C$27,$S$89)+1)))</f>
        <v/>
      </c>
      <c r="F99" s="46">
        <f>IF(OR($S$89="",$D99=0,$D99="",$E99=""),"",$E99/$D99*100)</f>
        <v/>
      </c>
      <c r="G99" s="8" t="n"/>
      <c r="H99" s="47">
        <f>IF($F99="","",REPT("■",ROUND($F99/5,0)))</f>
        <v/>
      </c>
      <c r="I99" s="7" t="n"/>
      <c r="J99" s="7" t="n"/>
      <c r="K99" s="7" t="n"/>
      <c r="L99" s="7" t="n"/>
      <c r="M99" s="7" t="n"/>
      <c r="N99" s="7" t="n"/>
      <c r="O99" s="7" t="n"/>
      <c r="P99" s="8" t="n"/>
    </row>
    <row r="100">
      <c r="A100" s="14">
        <f>IF($S$90="","",INDEX(회차설정!$A$13:$A$27,$S$90))</f>
        <v/>
      </c>
      <c r="B100" s="14">
        <f>IF($S$90="","",INDEX(회차설정!$B$13:$B$27,$S$90))</f>
        <v/>
      </c>
      <c r="C100" s="8" t="n"/>
      <c r="D100" s="14">
        <f>IF($S$90="","",IF($R$86="언어와 매체",SUMPRODUCT((자동계산!$A$4:$A$48&gt;=INDEX(회차설정!$C$13:$C$27,$S$90))*(자동계산!$A$4:$A$48&lt;=INDEX(회차설정!$D$13:$D$27,$S$90))*자동계산!$E$4:$E$48),SUMPRODUCT((자동계산!$A$4:$A$48&gt;=INDEX(회차설정!$C$13:$C$27,$S$90))*(자동계산!$A$4:$A$48&lt;=INDEX(회차설정!$D$13:$D$27,$S$90))*자동계산!$C$4:$C$48)))</f>
        <v/>
      </c>
      <c r="E100" s="14">
        <f>IF(OR($S$90="",$R$85=""),"",SUM(OFFSET(전체채점!$AW$2,$R$85,INDEX(회차설정!$C$13:$C$27,$S$90),1,INDEX(회차설정!$D$13:$D$27,$S$90)-INDEX(회차설정!$C$13:$C$27,$S$90)+1)))</f>
        <v/>
      </c>
      <c r="F100" s="46">
        <f>IF(OR($S$90="",$D100=0,$D100="",$E100=""),"",$E100/$D100*100)</f>
        <v/>
      </c>
      <c r="G100" s="8" t="n"/>
      <c r="H100" s="47">
        <f>IF($F100="","",REPT("■",ROUND($F100/5,0)))</f>
        <v/>
      </c>
      <c r="I100" s="7" t="n"/>
      <c r="J100" s="7" t="n"/>
      <c r="K100" s="7" t="n"/>
      <c r="L100" s="7" t="n"/>
      <c r="M100" s="7" t="n"/>
      <c r="N100" s="7" t="n"/>
      <c r="O100" s="7" t="n"/>
      <c r="P100" s="8" t="n"/>
    </row>
    <row r="101">
      <c r="A101" s="14">
        <f>IF($S$91="","",INDEX(회차설정!$A$13:$A$27,$S$91))</f>
        <v/>
      </c>
      <c r="B101" s="14">
        <f>IF($S$91="","",INDEX(회차설정!$B$13:$B$27,$S$91))</f>
        <v/>
      </c>
      <c r="C101" s="8" t="n"/>
      <c r="D101" s="14">
        <f>IF($S$91="","",IF($R$86="언어와 매체",SUMPRODUCT((자동계산!$A$4:$A$48&gt;=INDEX(회차설정!$C$13:$C$27,$S$91))*(자동계산!$A$4:$A$48&lt;=INDEX(회차설정!$D$13:$D$27,$S$91))*자동계산!$E$4:$E$48),SUMPRODUCT((자동계산!$A$4:$A$48&gt;=INDEX(회차설정!$C$13:$C$27,$S$91))*(자동계산!$A$4:$A$48&lt;=INDEX(회차설정!$D$13:$D$27,$S$91))*자동계산!$C$4:$C$48)))</f>
        <v/>
      </c>
      <c r="E101" s="14">
        <f>IF(OR($S$91="",$R$85=""),"",SUM(OFFSET(전체채점!$AW$2,$R$85,INDEX(회차설정!$C$13:$C$27,$S$91),1,INDEX(회차설정!$D$13:$D$27,$S$91)-INDEX(회차설정!$C$13:$C$27,$S$91)+1)))</f>
        <v/>
      </c>
      <c r="F101" s="46">
        <f>IF(OR($S$91="",$D101=0,$D101="",$E101=""),"",$E101/$D101*100)</f>
        <v/>
      </c>
      <c r="G101" s="8" t="n"/>
      <c r="H101" s="47">
        <f>IF($F101="","",REPT("■",ROUND($F101/5,0)))</f>
        <v/>
      </c>
      <c r="I101" s="7" t="n"/>
      <c r="J101" s="7" t="n"/>
      <c r="K101" s="7" t="n"/>
      <c r="L101" s="7" t="n"/>
      <c r="M101" s="7" t="n"/>
      <c r="N101" s="7" t="n"/>
      <c r="O101" s="7" t="n"/>
      <c r="P101" s="8" t="n"/>
    </row>
    <row r="102">
      <c r="A102" s="14">
        <f>IF($S$92="","",INDEX(회차설정!$A$13:$A$27,$S$92))</f>
        <v/>
      </c>
      <c r="B102" s="14">
        <f>IF($S$92="","",INDEX(회차설정!$B$13:$B$27,$S$92))</f>
        <v/>
      </c>
      <c r="C102" s="8" t="n"/>
      <c r="D102" s="14">
        <f>IF($S$92="","",IF($R$86="언어와 매체",SUMPRODUCT((자동계산!$A$4:$A$48&gt;=INDEX(회차설정!$C$13:$C$27,$S$92))*(자동계산!$A$4:$A$48&lt;=INDEX(회차설정!$D$13:$D$27,$S$92))*자동계산!$E$4:$E$48),SUMPRODUCT((자동계산!$A$4:$A$48&gt;=INDEX(회차설정!$C$13:$C$27,$S$92))*(자동계산!$A$4:$A$48&lt;=INDEX(회차설정!$D$13:$D$27,$S$92))*자동계산!$C$4:$C$48)))</f>
        <v/>
      </c>
      <c r="E102" s="14">
        <f>IF(OR($S$92="",$R$85=""),"",SUM(OFFSET(전체채점!$AW$2,$R$85,INDEX(회차설정!$C$13:$C$27,$S$92),1,INDEX(회차설정!$D$13:$D$27,$S$92)-INDEX(회차설정!$C$13:$C$27,$S$92)+1)))</f>
        <v/>
      </c>
      <c r="F102" s="46">
        <f>IF(OR($S$92="",$D102=0,$D102="",$E102=""),"",$E102/$D102*100)</f>
        <v/>
      </c>
      <c r="G102" s="8" t="n"/>
      <c r="H102" s="47">
        <f>IF($F102="","",REPT("■",ROUND($F102/5,0)))</f>
        <v/>
      </c>
      <c r="I102" s="7" t="n"/>
      <c r="J102" s="7" t="n"/>
      <c r="K102" s="7" t="n"/>
      <c r="L102" s="7" t="n"/>
      <c r="M102" s="7" t="n"/>
      <c r="N102" s="7" t="n"/>
      <c r="O102" s="7" t="n"/>
      <c r="P102" s="8" t="n"/>
    </row>
    <row r="103">
      <c r="A103" s="14">
        <f>IF($S$93="","",INDEX(회차설정!$A$13:$A$27,$S$93))</f>
        <v/>
      </c>
      <c r="B103" s="14">
        <f>IF($S$93="","",INDEX(회차설정!$B$13:$B$27,$S$93))</f>
        <v/>
      </c>
      <c r="C103" s="8" t="n"/>
      <c r="D103" s="14">
        <f>IF($S$93="","",IF($R$86="언어와 매체",SUMPRODUCT((자동계산!$A$4:$A$48&gt;=INDEX(회차설정!$C$13:$C$27,$S$93))*(자동계산!$A$4:$A$48&lt;=INDEX(회차설정!$D$13:$D$27,$S$93))*자동계산!$E$4:$E$48),SUMPRODUCT((자동계산!$A$4:$A$48&gt;=INDEX(회차설정!$C$13:$C$27,$S$93))*(자동계산!$A$4:$A$48&lt;=INDEX(회차설정!$D$13:$D$27,$S$93))*자동계산!$C$4:$C$48)))</f>
        <v/>
      </c>
      <c r="E103" s="14">
        <f>IF(OR($S$93="",$R$85=""),"",SUM(OFFSET(전체채점!$AW$2,$R$85,INDEX(회차설정!$C$13:$C$27,$S$93),1,INDEX(회차설정!$D$13:$D$27,$S$93)-INDEX(회차설정!$C$13:$C$27,$S$93)+1)))</f>
        <v/>
      </c>
      <c r="F103" s="46">
        <f>IF(OR($S$93="",$D103=0,$D103="",$E103=""),"",$E103/$D103*100)</f>
        <v/>
      </c>
      <c r="G103" s="8" t="n"/>
      <c r="H103" s="47">
        <f>IF($F103="","",REPT("■",ROUND($F103/5,0)))</f>
        <v/>
      </c>
      <c r="I103" s="7" t="n"/>
      <c r="J103" s="7" t="n"/>
      <c r="K103" s="7" t="n"/>
      <c r="L103" s="7" t="n"/>
      <c r="M103" s="7" t="n"/>
      <c r="N103" s="7" t="n"/>
      <c r="O103" s="7" t="n"/>
      <c r="P103" s="8" t="n"/>
    </row>
    <row r="104">
      <c r="A104" s="14">
        <f>IF($S$94="","",INDEX(회차설정!$A$13:$A$27,$S$94))</f>
        <v/>
      </c>
      <c r="B104" s="14">
        <f>IF($S$94="","",INDEX(회차설정!$B$13:$B$27,$S$94))</f>
        <v/>
      </c>
      <c r="C104" s="8" t="n"/>
      <c r="D104" s="14">
        <f>IF($S$94="","",IF($R$86="언어와 매체",SUMPRODUCT((자동계산!$A$4:$A$48&gt;=INDEX(회차설정!$C$13:$C$27,$S$94))*(자동계산!$A$4:$A$48&lt;=INDEX(회차설정!$D$13:$D$27,$S$94))*자동계산!$E$4:$E$48),SUMPRODUCT((자동계산!$A$4:$A$48&gt;=INDEX(회차설정!$C$13:$C$27,$S$94))*(자동계산!$A$4:$A$48&lt;=INDEX(회차설정!$D$13:$D$27,$S$94))*자동계산!$C$4:$C$48)))</f>
        <v/>
      </c>
      <c r="E104" s="14">
        <f>IF(OR($S$94="",$R$85=""),"",SUM(OFFSET(전체채점!$AW$2,$R$85,INDEX(회차설정!$C$13:$C$27,$S$94),1,INDEX(회차설정!$D$13:$D$27,$S$94)-INDEX(회차설정!$C$13:$C$27,$S$94)+1)))</f>
        <v/>
      </c>
      <c r="F104" s="46">
        <f>IF(OR($S$94="",$D104=0,$D104="",$E104=""),"",$E104/$D104*100)</f>
        <v/>
      </c>
      <c r="G104" s="8" t="n"/>
      <c r="H104" s="47">
        <f>IF($F104="","",REPT("■",ROUND($F104/5,0)))</f>
        <v/>
      </c>
      <c r="I104" s="7" t="n"/>
      <c r="J104" s="7" t="n"/>
      <c r="K104" s="7" t="n"/>
      <c r="L104" s="7" t="n"/>
      <c r="M104" s="7" t="n"/>
      <c r="N104" s="7" t="n"/>
      <c r="O104" s="7" t="n"/>
      <c r="P104" s="8" t="n"/>
    </row>
    <row r="105">
      <c r="A105" s="14">
        <f>IF($S$95="","",INDEX(회차설정!$A$13:$A$27,$S$95))</f>
        <v/>
      </c>
      <c r="B105" s="14">
        <f>IF($S$95="","",INDEX(회차설정!$B$13:$B$27,$S$95))</f>
        <v/>
      </c>
      <c r="C105" s="8" t="n"/>
      <c r="D105" s="14">
        <f>IF($S$95="","",IF($R$86="언어와 매체",SUMPRODUCT((자동계산!$A$4:$A$48&gt;=INDEX(회차설정!$C$13:$C$27,$S$95))*(자동계산!$A$4:$A$48&lt;=INDEX(회차설정!$D$13:$D$27,$S$95))*자동계산!$E$4:$E$48),SUMPRODUCT((자동계산!$A$4:$A$48&gt;=INDEX(회차설정!$C$13:$C$27,$S$95))*(자동계산!$A$4:$A$48&lt;=INDEX(회차설정!$D$13:$D$27,$S$95))*자동계산!$C$4:$C$48)))</f>
        <v/>
      </c>
      <c r="E105" s="14">
        <f>IF(OR($S$95="",$R$85=""),"",SUM(OFFSET(전체채점!$AW$2,$R$85,INDEX(회차설정!$C$13:$C$27,$S$95),1,INDEX(회차설정!$D$13:$D$27,$S$95)-INDEX(회차설정!$C$13:$C$27,$S$95)+1)))</f>
        <v/>
      </c>
      <c r="F105" s="46">
        <f>IF(OR($S$95="",$D105=0,$D105="",$E105=""),"",$E105/$D105*100)</f>
        <v/>
      </c>
      <c r="G105" s="8" t="n"/>
      <c r="H105" s="47">
        <f>IF($F105="","",REPT("■",ROUND($F105/5,0)))</f>
        <v/>
      </c>
      <c r="I105" s="7" t="n"/>
      <c r="J105" s="7" t="n"/>
      <c r="K105" s="7" t="n"/>
      <c r="L105" s="7" t="n"/>
      <c r="M105" s="7" t="n"/>
      <c r="N105" s="7" t="n"/>
      <c r="O105" s="7" t="n"/>
      <c r="P105" s="8" t="n"/>
    </row>
    <row r="106">
      <c r="A106" s="14">
        <f>IF($S$96="","",INDEX(회차설정!$A$13:$A$27,$S$96))</f>
        <v/>
      </c>
      <c r="B106" s="14">
        <f>IF($S$96="","",INDEX(회차설정!$B$13:$B$27,$S$96))</f>
        <v/>
      </c>
      <c r="C106" s="8" t="n"/>
      <c r="D106" s="14">
        <f>IF($S$96="","",IF($R$86="언어와 매체",SUMPRODUCT((자동계산!$A$4:$A$48&gt;=INDEX(회차설정!$C$13:$C$27,$S$96))*(자동계산!$A$4:$A$48&lt;=INDEX(회차설정!$D$13:$D$27,$S$96))*자동계산!$E$4:$E$48),SUMPRODUCT((자동계산!$A$4:$A$48&gt;=INDEX(회차설정!$C$13:$C$27,$S$96))*(자동계산!$A$4:$A$48&lt;=INDEX(회차설정!$D$13:$D$27,$S$96))*자동계산!$C$4:$C$48)))</f>
        <v/>
      </c>
      <c r="E106" s="14">
        <f>IF(OR($S$96="",$R$85=""),"",SUM(OFFSET(전체채점!$AW$2,$R$85,INDEX(회차설정!$C$13:$C$27,$S$96),1,INDEX(회차설정!$D$13:$D$27,$S$96)-INDEX(회차설정!$C$13:$C$27,$S$96)+1)))</f>
        <v/>
      </c>
      <c r="F106" s="46">
        <f>IF(OR($S$96="",$D106=0,$D106="",$E106=""),"",$E106/$D106*100)</f>
        <v/>
      </c>
      <c r="G106" s="8" t="n"/>
      <c r="H106" s="47">
        <f>IF($F106="","",REPT("■",ROUND($F106/5,0)))</f>
        <v/>
      </c>
      <c r="I106" s="7" t="n"/>
      <c r="J106" s="7" t="n"/>
      <c r="K106" s="7" t="n"/>
      <c r="L106" s="7" t="n"/>
      <c r="M106" s="7" t="n"/>
      <c r="N106" s="7" t="n"/>
      <c r="O106" s="7" t="n"/>
      <c r="P106" s="8" t="n"/>
    </row>
    <row r="107">
      <c r="A107" s="5">
        <f>IF($R$85="","","합계")</f>
        <v/>
      </c>
      <c r="B107" s="7" t="n"/>
      <c r="C107" s="8" t="n"/>
      <c r="D107" s="5">
        <f>IF($R$85="","",SUM(D95:D106))</f>
        <v/>
      </c>
      <c r="E107" s="5">
        <f>IF($R$85="","",SUM(E95:E106))</f>
        <v/>
      </c>
      <c r="F107" s="48">
        <f>IF(OR($D107=0,$D107=""),"",$E107/$D107*100)</f>
        <v/>
      </c>
      <c r="G107" s="8" t="n"/>
      <c r="H107" s="49">
        <f>IF($F107="","",REPT("■",ROUND($F107/5,0)))</f>
        <v/>
      </c>
      <c r="I107" s="7" t="n"/>
      <c r="J107" s="7" t="n"/>
      <c r="K107" s="7" t="n"/>
      <c r="L107" s="7" t="n"/>
      <c r="M107" s="7" t="n"/>
      <c r="N107" s="7" t="n"/>
      <c r="O107" s="7" t="n"/>
      <c r="P107" s="8" t="n"/>
    </row>
    <row r="109">
      <c r="A109" s="12" t="inlineStr">
        <is>
          <t>4. 문항 채점표</t>
        </is>
      </c>
    </row>
    <row r="110">
      <c r="A110" s="50" t="inlineStr">
        <is>
          <t>문항 번호</t>
        </is>
      </c>
      <c r="B110" s="51" t="n">
        <v>1</v>
      </c>
      <c r="C110" s="51" t="n">
        <v>2</v>
      </c>
      <c r="D110" s="51" t="n">
        <v>3</v>
      </c>
      <c r="E110" s="51" t="n">
        <v>4</v>
      </c>
      <c r="F110" s="51" t="n">
        <v>5</v>
      </c>
      <c r="G110" s="51" t="n">
        <v>6</v>
      </c>
      <c r="H110" s="51" t="n">
        <v>7</v>
      </c>
      <c r="I110" s="51" t="n">
        <v>8</v>
      </c>
      <c r="J110" s="51" t="n">
        <v>9</v>
      </c>
      <c r="K110" s="51" t="n">
        <v>10</v>
      </c>
      <c r="L110" s="51" t="n">
        <v>11</v>
      </c>
      <c r="M110" s="51" t="n">
        <v>12</v>
      </c>
      <c r="N110" s="51" t="n">
        <v>13</v>
      </c>
      <c r="O110" s="51" t="n">
        <v>14</v>
      </c>
      <c r="P110" s="51" t="n">
        <v>15</v>
      </c>
    </row>
    <row r="111">
      <c r="A111" s="52" t="inlineStr">
        <is>
          <t>정답</t>
        </is>
      </c>
      <c r="B111" s="33">
        <f>IF($R$86="","",IF($R$86="언어와 매체",자동계산!$D$4,자동계산!$B$4))</f>
        <v/>
      </c>
      <c r="C111" s="33">
        <f>IF($R$86="","",IF($R$86="언어와 매체",자동계산!$D$5,자동계산!$B$5))</f>
        <v/>
      </c>
      <c r="D111" s="33">
        <f>IF($R$86="","",IF($R$86="언어와 매체",자동계산!$D$6,자동계산!$B$6))</f>
        <v/>
      </c>
      <c r="E111" s="33">
        <f>IF($R$86="","",IF($R$86="언어와 매체",자동계산!$D$7,자동계산!$B$7))</f>
        <v/>
      </c>
      <c r="F111" s="33">
        <f>IF($R$86="","",IF($R$86="언어와 매체",자동계산!$D$8,자동계산!$B$8))</f>
        <v/>
      </c>
      <c r="G111" s="33">
        <f>IF($R$86="","",IF($R$86="언어와 매체",자동계산!$D$9,자동계산!$B$9))</f>
        <v/>
      </c>
      <c r="H111" s="33">
        <f>IF($R$86="","",IF($R$86="언어와 매체",자동계산!$D$10,자동계산!$B$10))</f>
        <v/>
      </c>
      <c r="I111" s="33">
        <f>IF($R$86="","",IF($R$86="언어와 매체",자동계산!$D$11,자동계산!$B$11))</f>
        <v/>
      </c>
      <c r="J111" s="33">
        <f>IF($R$86="","",IF($R$86="언어와 매체",자동계산!$D$12,자동계산!$B$12))</f>
        <v/>
      </c>
      <c r="K111" s="33">
        <f>IF($R$86="","",IF($R$86="언어와 매체",자동계산!$D$13,자동계산!$B$13))</f>
        <v/>
      </c>
      <c r="L111" s="33">
        <f>IF($R$86="","",IF($R$86="언어와 매체",자동계산!$D$14,자동계산!$B$14))</f>
        <v/>
      </c>
      <c r="M111" s="33">
        <f>IF($R$86="","",IF($R$86="언어와 매체",자동계산!$D$15,자동계산!$B$15))</f>
        <v/>
      </c>
      <c r="N111" s="33">
        <f>IF($R$86="","",IF($R$86="언어와 매체",자동계산!$D$16,자동계산!$B$16))</f>
        <v/>
      </c>
      <c r="O111" s="33">
        <f>IF($R$86="","",IF($R$86="언어와 매체",자동계산!$D$17,자동계산!$B$17))</f>
        <v/>
      </c>
      <c r="P111" s="33">
        <f>IF($R$86="","",IF($R$86="언어와 매체",자동계산!$D$18,자동계산!$B$18))</f>
        <v/>
      </c>
    </row>
    <row r="112">
      <c r="A112" s="52" t="inlineStr">
        <is>
          <t>학생답안</t>
        </is>
      </c>
      <c r="B112" s="33">
        <f>IF($R$85="","",INDEX(전체채점!E$3:E$62,$R$85))</f>
        <v/>
      </c>
      <c r="C112" s="33">
        <f>IF($R$85="","",INDEX(전체채점!F$3:F$62,$R$85))</f>
        <v/>
      </c>
      <c r="D112" s="33">
        <f>IF($R$85="","",INDEX(전체채점!G$3:G$62,$R$85))</f>
        <v/>
      </c>
      <c r="E112" s="33">
        <f>IF($R$85="","",INDEX(전체채점!H$3:H$62,$R$85))</f>
        <v/>
      </c>
      <c r="F112" s="33">
        <f>IF($R$85="","",INDEX(전체채점!I$3:I$62,$R$85))</f>
        <v/>
      </c>
      <c r="G112" s="33">
        <f>IF($R$85="","",INDEX(전체채점!J$3:J$62,$R$85))</f>
        <v/>
      </c>
      <c r="H112" s="33">
        <f>IF($R$85="","",INDEX(전체채점!K$3:K$62,$R$85))</f>
        <v/>
      </c>
      <c r="I112" s="33">
        <f>IF($R$85="","",INDEX(전체채점!L$3:L$62,$R$85))</f>
        <v/>
      </c>
      <c r="J112" s="33">
        <f>IF($R$85="","",INDEX(전체채점!M$3:M$62,$R$85))</f>
        <v/>
      </c>
      <c r="K112" s="33">
        <f>IF($R$85="","",INDEX(전체채점!N$3:N$62,$R$85))</f>
        <v/>
      </c>
      <c r="L112" s="33">
        <f>IF($R$85="","",INDEX(전체채점!O$3:O$62,$R$85))</f>
        <v/>
      </c>
      <c r="M112" s="33">
        <f>IF($R$85="","",INDEX(전체채점!P$3:P$62,$R$85))</f>
        <v/>
      </c>
      <c r="N112" s="33">
        <f>IF($R$85="","",INDEX(전체채점!Q$3:Q$62,$R$85))</f>
        <v/>
      </c>
      <c r="O112" s="33">
        <f>IF($R$85="","",INDEX(전체채점!R$3:R$62,$R$85))</f>
        <v/>
      </c>
      <c r="P112" s="33">
        <f>IF($R$85="","",INDEX(전체채점!S$3:S$62,$R$85))</f>
        <v/>
      </c>
    </row>
    <row r="113">
      <c r="A113" s="52" t="inlineStr">
        <is>
          <t>정오</t>
        </is>
      </c>
      <c r="B113" s="33">
        <f>IF($R$85="","",INDEX(전체채점!AX$3:AX$62,$R$85))</f>
        <v/>
      </c>
      <c r="C113" s="33">
        <f>IF($R$85="","",INDEX(전체채점!AY$3:AY$62,$R$85))</f>
        <v/>
      </c>
      <c r="D113" s="33">
        <f>IF($R$85="","",INDEX(전체채점!AZ$3:AZ$62,$R$85))</f>
        <v/>
      </c>
      <c r="E113" s="33">
        <f>IF($R$85="","",INDEX(전체채점!BA$3:BA$62,$R$85))</f>
        <v/>
      </c>
      <c r="F113" s="33">
        <f>IF($R$85="","",INDEX(전체채점!BB$3:BB$62,$R$85))</f>
        <v/>
      </c>
      <c r="G113" s="33">
        <f>IF($R$85="","",INDEX(전체채점!BC$3:BC$62,$R$85))</f>
        <v/>
      </c>
      <c r="H113" s="33">
        <f>IF($R$85="","",INDEX(전체채점!BD$3:BD$62,$R$85))</f>
        <v/>
      </c>
      <c r="I113" s="33">
        <f>IF($R$85="","",INDEX(전체채점!BE$3:BE$62,$R$85))</f>
        <v/>
      </c>
      <c r="J113" s="33">
        <f>IF($R$85="","",INDEX(전체채점!BF$3:BF$62,$R$85))</f>
        <v/>
      </c>
      <c r="K113" s="33">
        <f>IF($R$85="","",INDEX(전체채점!BG$3:BG$62,$R$85))</f>
        <v/>
      </c>
      <c r="L113" s="33">
        <f>IF($R$85="","",INDEX(전체채점!BH$3:BH$62,$R$85))</f>
        <v/>
      </c>
      <c r="M113" s="33">
        <f>IF($R$85="","",INDEX(전체채점!BI$3:BI$62,$R$85))</f>
        <v/>
      </c>
      <c r="N113" s="33">
        <f>IF($R$85="","",INDEX(전체채점!BJ$3:BJ$62,$R$85))</f>
        <v/>
      </c>
      <c r="O113" s="33">
        <f>IF($R$85="","",INDEX(전체채점!BK$3:BK$62,$R$85))</f>
        <v/>
      </c>
      <c r="P113" s="33">
        <f>IF($R$85="","",INDEX(전체채점!BL$3:BL$62,$R$85))</f>
        <v/>
      </c>
    </row>
    <row r="114">
      <c r="A114" s="50" t="inlineStr">
        <is>
          <t>문항 번호</t>
        </is>
      </c>
      <c r="B114" s="51" t="n">
        <v>16</v>
      </c>
      <c r="C114" s="51" t="n">
        <v>17</v>
      </c>
      <c r="D114" s="51" t="n">
        <v>18</v>
      </c>
      <c r="E114" s="51" t="n">
        <v>19</v>
      </c>
      <c r="F114" s="51" t="n">
        <v>20</v>
      </c>
      <c r="G114" s="51" t="n">
        <v>21</v>
      </c>
      <c r="H114" s="51" t="n">
        <v>22</v>
      </c>
      <c r="I114" s="51" t="n">
        <v>23</v>
      </c>
      <c r="J114" s="51" t="n">
        <v>24</v>
      </c>
      <c r="K114" s="51" t="n">
        <v>25</v>
      </c>
      <c r="L114" s="51" t="n">
        <v>26</v>
      </c>
      <c r="M114" s="51" t="n">
        <v>27</v>
      </c>
      <c r="N114" s="51" t="n">
        <v>28</v>
      </c>
      <c r="O114" s="51" t="n">
        <v>29</v>
      </c>
      <c r="P114" s="51" t="n">
        <v>30</v>
      </c>
    </row>
    <row r="115">
      <c r="A115" s="52" t="inlineStr">
        <is>
          <t>정답</t>
        </is>
      </c>
      <c r="B115" s="33">
        <f>IF($R$86="","",IF($R$86="언어와 매체",자동계산!$D$19,자동계산!$B$19))</f>
        <v/>
      </c>
      <c r="C115" s="33">
        <f>IF($R$86="","",IF($R$86="언어와 매체",자동계산!$D$20,자동계산!$B$20))</f>
        <v/>
      </c>
      <c r="D115" s="33">
        <f>IF($R$86="","",IF($R$86="언어와 매체",자동계산!$D$21,자동계산!$B$21))</f>
        <v/>
      </c>
      <c r="E115" s="33">
        <f>IF($R$86="","",IF($R$86="언어와 매체",자동계산!$D$22,자동계산!$B$22))</f>
        <v/>
      </c>
      <c r="F115" s="33">
        <f>IF($R$86="","",IF($R$86="언어와 매체",자동계산!$D$23,자동계산!$B$23))</f>
        <v/>
      </c>
      <c r="G115" s="33">
        <f>IF($R$86="","",IF($R$86="언어와 매체",자동계산!$D$24,자동계산!$B$24))</f>
        <v/>
      </c>
      <c r="H115" s="33">
        <f>IF($R$86="","",IF($R$86="언어와 매체",자동계산!$D$25,자동계산!$B$25))</f>
        <v/>
      </c>
      <c r="I115" s="33">
        <f>IF($R$86="","",IF($R$86="언어와 매체",자동계산!$D$26,자동계산!$B$26))</f>
        <v/>
      </c>
      <c r="J115" s="33">
        <f>IF($R$86="","",IF($R$86="언어와 매체",자동계산!$D$27,자동계산!$B$27))</f>
        <v/>
      </c>
      <c r="K115" s="33">
        <f>IF($R$86="","",IF($R$86="언어와 매체",자동계산!$D$28,자동계산!$B$28))</f>
        <v/>
      </c>
      <c r="L115" s="33">
        <f>IF($R$86="","",IF($R$86="언어와 매체",자동계산!$D$29,자동계산!$B$29))</f>
        <v/>
      </c>
      <c r="M115" s="33">
        <f>IF($R$86="","",IF($R$86="언어와 매체",자동계산!$D$30,자동계산!$B$30))</f>
        <v/>
      </c>
      <c r="N115" s="33">
        <f>IF($R$86="","",IF($R$86="언어와 매체",자동계산!$D$31,자동계산!$B$31))</f>
        <v/>
      </c>
      <c r="O115" s="33">
        <f>IF($R$86="","",IF($R$86="언어와 매체",자동계산!$D$32,자동계산!$B$32))</f>
        <v/>
      </c>
      <c r="P115" s="33">
        <f>IF($R$86="","",IF($R$86="언어와 매체",자동계산!$D$33,자동계산!$B$33))</f>
        <v/>
      </c>
    </row>
    <row r="116">
      <c r="A116" s="52" t="inlineStr">
        <is>
          <t>학생답안</t>
        </is>
      </c>
      <c r="B116" s="33">
        <f>IF($R$85="","",INDEX(전체채점!T$3:T$62,$R$85))</f>
        <v/>
      </c>
      <c r="C116" s="33">
        <f>IF($R$85="","",INDEX(전체채점!U$3:U$62,$R$85))</f>
        <v/>
      </c>
      <c r="D116" s="33">
        <f>IF($R$85="","",INDEX(전체채점!V$3:V$62,$R$85))</f>
        <v/>
      </c>
      <c r="E116" s="33">
        <f>IF($R$85="","",INDEX(전체채점!W$3:W$62,$R$85))</f>
        <v/>
      </c>
      <c r="F116" s="33">
        <f>IF($R$85="","",INDEX(전체채점!X$3:X$62,$R$85))</f>
        <v/>
      </c>
      <c r="G116" s="33">
        <f>IF($R$85="","",INDEX(전체채점!Y$3:Y$62,$R$85))</f>
        <v/>
      </c>
      <c r="H116" s="33">
        <f>IF($R$85="","",INDEX(전체채점!Z$3:Z$62,$R$85))</f>
        <v/>
      </c>
      <c r="I116" s="33">
        <f>IF($R$85="","",INDEX(전체채점!AA$3:AA$62,$R$85))</f>
        <v/>
      </c>
      <c r="J116" s="33">
        <f>IF($R$85="","",INDEX(전체채점!AB$3:AB$62,$R$85))</f>
        <v/>
      </c>
      <c r="K116" s="33">
        <f>IF($R$85="","",INDEX(전체채점!AC$3:AC$62,$R$85))</f>
        <v/>
      </c>
      <c r="L116" s="33">
        <f>IF($R$85="","",INDEX(전체채점!AD$3:AD$62,$R$85))</f>
        <v/>
      </c>
      <c r="M116" s="33">
        <f>IF($R$85="","",INDEX(전체채점!AE$3:AE$62,$R$85))</f>
        <v/>
      </c>
      <c r="N116" s="33">
        <f>IF($R$85="","",INDEX(전체채점!AF$3:AF$62,$R$85))</f>
        <v/>
      </c>
      <c r="O116" s="33">
        <f>IF($R$85="","",INDEX(전체채점!AG$3:AG$62,$R$85))</f>
        <v/>
      </c>
      <c r="P116" s="33">
        <f>IF($R$85="","",INDEX(전체채점!AH$3:AH$62,$R$85))</f>
        <v/>
      </c>
    </row>
    <row r="117">
      <c r="A117" s="52" t="inlineStr">
        <is>
          <t>정오</t>
        </is>
      </c>
      <c r="B117" s="33">
        <f>IF($R$85="","",INDEX(전체채점!BM$3:BM$62,$R$85))</f>
        <v/>
      </c>
      <c r="C117" s="33">
        <f>IF($R$85="","",INDEX(전체채점!BN$3:BN$62,$R$85))</f>
        <v/>
      </c>
      <c r="D117" s="33">
        <f>IF($R$85="","",INDEX(전체채점!BO$3:BO$62,$R$85))</f>
        <v/>
      </c>
      <c r="E117" s="33">
        <f>IF($R$85="","",INDEX(전체채점!BP$3:BP$62,$R$85))</f>
        <v/>
      </c>
      <c r="F117" s="33">
        <f>IF($R$85="","",INDEX(전체채점!BQ$3:BQ$62,$R$85))</f>
        <v/>
      </c>
      <c r="G117" s="33">
        <f>IF($R$85="","",INDEX(전체채점!BR$3:BR$62,$R$85))</f>
        <v/>
      </c>
      <c r="H117" s="33">
        <f>IF($R$85="","",INDEX(전체채점!BS$3:BS$62,$R$85))</f>
        <v/>
      </c>
      <c r="I117" s="33">
        <f>IF($R$85="","",INDEX(전체채점!BT$3:BT$62,$R$85))</f>
        <v/>
      </c>
      <c r="J117" s="33">
        <f>IF($R$85="","",INDEX(전체채점!BU$3:BU$62,$R$85))</f>
        <v/>
      </c>
      <c r="K117" s="33">
        <f>IF($R$85="","",INDEX(전체채점!BV$3:BV$62,$R$85))</f>
        <v/>
      </c>
      <c r="L117" s="33">
        <f>IF($R$85="","",INDEX(전체채점!BW$3:BW$62,$R$85))</f>
        <v/>
      </c>
      <c r="M117" s="33">
        <f>IF($R$85="","",INDEX(전체채점!BX$3:BX$62,$R$85))</f>
        <v/>
      </c>
      <c r="N117" s="33">
        <f>IF($R$85="","",INDEX(전체채점!BY$3:BY$62,$R$85))</f>
        <v/>
      </c>
      <c r="O117" s="33">
        <f>IF($R$85="","",INDEX(전체채점!BZ$3:BZ$62,$R$85))</f>
        <v/>
      </c>
      <c r="P117" s="33">
        <f>IF($R$85="","",INDEX(전체채점!CA$3:CA$62,$R$85))</f>
        <v/>
      </c>
    </row>
    <row r="118">
      <c r="A118" s="50" t="inlineStr">
        <is>
          <t>문항 번호</t>
        </is>
      </c>
      <c r="B118" s="51" t="n">
        <v>31</v>
      </c>
      <c r="C118" s="51" t="n">
        <v>32</v>
      </c>
      <c r="D118" s="51" t="n">
        <v>33</v>
      </c>
      <c r="E118" s="51" t="n">
        <v>34</v>
      </c>
      <c r="F118" s="51" t="n">
        <v>35</v>
      </c>
      <c r="G118" s="51" t="n">
        <v>36</v>
      </c>
      <c r="H118" s="51" t="n">
        <v>37</v>
      </c>
      <c r="I118" s="51" t="n">
        <v>38</v>
      </c>
      <c r="J118" s="51" t="n">
        <v>39</v>
      </c>
      <c r="K118" s="51" t="n">
        <v>40</v>
      </c>
      <c r="L118" s="51" t="n">
        <v>41</v>
      </c>
      <c r="M118" s="51" t="n">
        <v>42</v>
      </c>
      <c r="N118" s="51" t="n">
        <v>43</v>
      </c>
      <c r="O118" s="51" t="n">
        <v>44</v>
      </c>
      <c r="P118" s="51" t="n">
        <v>45</v>
      </c>
    </row>
    <row r="119">
      <c r="A119" s="52" t="inlineStr">
        <is>
          <t>정답</t>
        </is>
      </c>
      <c r="B119" s="33">
        <f>IF($R$86="","",IF($R$86="언어와 매체",자동계산!$D$34,자동계산!$B$34))</f>
        <v/>
      </c>
      <c r="C119" s="33">
        <f>IF($R$86="","",IF($R$86="언어와 매체",자동계산!$D$35,자동계산!$B$35))</f>
        <v/>
      </c>
      <c r="D119" s="33">
        <f>IF($R$86="","",IF($R$86="언어와 매체",자동계산!$D$36,자동계산!$B$36))</f>
        <v/>
      </c>
      <c r="E119" s="33">
        <f>IF($R$86="","",IF($R$86="언어와 매체",자동계산!$D$37,자동계산!$B$37))</f>
        <v/>
      </c>
      <c r="F119" s="33">
        <f>IF($R$86="","",IF($R$86="언어와 매체",자동계산!$D$38,자동계산!$B$38))</f>
        <v/>
      </c>
      <c r="G119" s="33">
        <f>IF($R$86="","",IF($R$86="언어와 매체",자동계산!$D$39,자동계산!$B$39))</f>
        <v/>
      </c>
      <c r="H119" s="33">
        <f>IF($R$86="","",IF($R$86="언어와 매체",자동계산!$D$40,자동계산!$B$40))</f>
        <v/>
      </c>
      <c r="I119" s="33">
        <f>IF($R$86="","",IF($R$86="언어와 매체",자동계산!$D$41,자동계산!$B$41))</f>
        <v/>
      </c>
      <c r="J119" s="33">
        <f>IF($R$86="","",IF($R$86="언어와 매체",자동계산!$D$42,자동계산!$B$42))</f>
        <v/>
      </c>
      <c r="K119" s="33">
        <f>IF($R$86="","",IF($R$86="언어와 매체",자동계산!$D$43,자동계산!$B$43))</f>
        <v/>
      </c>
      <c r="L119" s="33">
        <f>IF($R$86="","",IF($R$86="언어와 매체",자동계산!$D$44,자동계산!$B$44))</f>
        <v/>
      </c>
      <c r="M119" s="33">
        <f>IF($R$86="","",IF($R$86="언어와 매체",자동계산!$D$45,자동계산!$B$45))</f>
        <v/>
      </c>
      <c r="N119" s="33">
        <f>IF($R$86="","",IF($R$86="언어와 매체",자동계산!$D$46,자동계산!$B$46))</f>
        <v/>
      </c>
      <c r="O119" s="33">
        <f>IF($R$86="","",IF($R$86="언어와 매체",자동계산!$D$47,자동계산!$B$47))</f>
        <v/>
      </c>
      <c r="P119" s="33">
        <f>IF($R$86="","",IF($R$86="언어와 매체",자동계산!$D$48,자동계산!$B$48))</f>
        <v/>
      </c>
    </row>
    <row r="120">
      <c r="A120" s="52" t="inlineStr">
        <is>
          <t>학생답안</t>
        </is>
      </c>
      <c r="B120" s="33">
        <f>IF($R$85="","",INDEX(전체채점!AI$3:AI$62,$R$85))</f>
        <v/>
      </c>
      <c r="C120" s="33">
        <f>IF($R$85="","",INDEX(전체채점!AJ$3:AJ$62,$R$85))</f>
        <v/>
      </c>
      <c r="D120" s="33">
        <f>IF($R$85="","",INDEX(전체채점!AK$3:AK$62,$R$85))</f>
        <v/>
      </c>
      <c r="E120" s="33">
        <f>IF($R$85="","",INDEX(전체채점!AL$3:AL$62,$R$85))</f>
        <v/>
      </c>
      <c r="F120" s="33">
        <f>IF($R$85="","",INDEX(전체채점!AM$3:AM$62,$R$85))</f>
        <v/>
      </c>
      <c r="G120" s="33">
        <f>IF($R$85="","",INDEX(전체채점!AN$3:AN$62,$R$85))</f>
        <v/>
      </c>
      <c r="H120" s="33">
        <f>IF($R$85="","",INDEX(전체채점!AO$3:AO$62,$R$85))</f>
        <v/>
      </c>
      <c r="I120" s="33">
        <f>IF($R$85="","",INDEX(전체채점!AP$3:AP$62,$R$85))</f>
        <v/>
      </c>
      <c r="J120" s="33">
        <f>IF($R$85="","",INDEX(전체채점!AQ$3:AQ$62,$R$85))</f>
        <v/>
      </c>
      <c r="K120" s="33">
        <f>IF($R$85="","",INDEX(전체채점!AR$3:AR$62,$R$85))</f>
        <v/>
      </c>
      <c r="L120" s="33">
        <f>IF($R$85="","",INDEX(전체채점!AS$3:AS$62,$R$85))</f>
        <v/>
      </c>
      <c r="M120" s="33">
        <f>IF($R$85="","",INDEX(전체채점!AT$3:AT$62,$R$85))</f>
        <v/>
      </c>
      <c r="N120" s="33">
        <f>IF($R$85="","",INDEX(전체채점!AU$3:AU$62,$R$85))</f>
        <v/>
      </c>
      <c r="O120" s="33">
        <f>IF($R$85="","",INDEX(전체채점!AV$3:AV$62,$R$85))</f>
        <v/>
      </c>
      <c r="P120" s="33">
        <f>IF($R$85="","",INDEX(전체채점!AW$3:AW$62,$R$85))</f>
        <v/>
      </c>
    </row>
    <row r="121">
      <c r="A121" s="52" t="inlineStr">
        <is>
          <t>정오</t>
        </is>
      </c>
      <c r="B121" s="33">
        <f>IF($R$85="","",INDEX(전체채점!CB$3:CB$62,$R$85))</f>
        <v/>
      </c>
      <c r="C121" s="33">
        <f>IF($R$85="","",INDEX(전체채점!CC$3:CC$62,$R$85))</f>
        <v/>
      </c>
      <c r="D121" s="33">
        <f>IF($R$85="","",INDEX(전체채점!CD$3:CD$62,$R$85))</f>
        <v/>
      </c>
      <c r="E121" s="33">
        <f>IF($R$85="","",INDEX(전체채점!CE$3:CE$62,$R$85))</f>
        <v/>
      </c>
      <c r="F121" s="33">
        <f>IF($R$85="","",INDEX(전체채점!CF$3:CF$62,$R$85))</f>
        <v/>
      </c>
      <c r="G121" s="33">
        <f>IF($R$85="","",INDEX(전체채점!CG$3:CG$62,$R$85))</f>
        <v/>
      </c>
      <c r="H121" s="33">
        <f>IF($R$85="","",INDEX(전체채점!CH$3:CH$62,$R$85))</f>
        <v/>
      </c>
      <c r="I121" s="33">
        <f>IF($R$85="","",INDEX(전체채점!CI$3:CI$62,$R$85))</f>
        <v/>
      </c>
      <c r="J121" s="33">
        <f>IF($R$85="","",INDEX(전체채점!CJ$3:CJ$62,$R$85))</f>
        <v/>
      </c>
      <c r="K121" s="33">
        <f>IF($R$85="","",INDEX(전체채점!CK$3:CK$62,$R$85))</f>
        <v/>
      </c>
      <c r="L121" s="33">
        <f>IF($R$85="","",INDEX(전체채점!CL$3:CL$62,$R$85))</f>
        <v/>
      </c>
      <c r="M121" s="33">
        <f>IF($R$85="","",INDEX(전체채점!CM$3:CM$62,$R$85))</f>
        <v/>
      </c>
      <c r="N121" s="33">
        <f>IF($R$85="","",INDEX(전체채점!CN$3:CN$62,$R$85))</f>
        <v/>
      </c>
      <c r="O121" s="33">
        <f>IF($R$85="","",INDEX(전체채점!CO$3:CO$62,$R$85))</f>
        <v/>
      </c>
      <c r="P121" s="33">
        <f>IF($R$85="","",INDEX(전체채점!CP$3:CP$62,$R$85))</f>
        <v/>
      </c>
    </row>
    <row r="124" ht="34" customHeight="1">
      <c r="A124" s="36">
        <f>IF($R$126="","",회차설정!$B$2&amp;" 성적표")</f>
        <v/>
      </c>
    </row>
    <row r="126">
      <c r="A126" s="12" t="inlineStr">
        <is>
          <t>1. 학생정보</t>
        </is>
      </c>
      <c r="R126" s="37">
        <f>IF(답안입력!$A$6="","",4)</f>
        <v/>
      </c>
      <c r="S126" s="37">
        <f>IF($R$127="","",IFERROR(IF($R$127="언어와 매체",MATCH(1,회차설정!$G$13:$G$27,0),MATCH(1,회차설정!$F$13:$F$27,0)),""))</f>
        <v/>
      </c>
    </row>
    <row r="127">
      <c r="A127" s="13" t="inlineStr">
        <is>
          <t>성명</t>
        </is>
      </c>
      <c r="B127" s="7" t="n"/>
      <c r="C127" s="8" t="n"/>
      <c r="D127" s="13" t="inlineStr">
        <is>
          <t>선택과목</t>
        </is>
      </c>
      <c r="E127" s="7" t="n"/>
      <c r="F127" s="7" t="n"/>
      <c r="G127" s="8" t="n"/>
      <c r="H127" s="13" t="inlineStr">
        <is>
          <t>학년</t>
        </is>
      </c>
      <c r="I127" s="7" t="n"/>
      <c r="J127" s="7" t="n"/>
      <c r="K127" s="8" t="n"/>
      <c r="L127" s="13" t="inlineStr">
        <is>
          <t>시행일</t>
        </is>
      </c>
      <c r="M127" s="7" t="n"/>
      <c r="N127" s="7" t="n"/>
      <c r="O127" s="7" t="n"/>
      <c r="P127" s="8" t="n"/>
      <c r="R127" s="37">
        <f>IF($R$126="","",INDEX(전체채점!$B$3:$B$62,$R$126))</f>
        <v/>
      </c>
      <c r="S127" s="37">
        <f>IF($R$127="","",IFERROR(IF($R$127="언어와 매체",MATCH(2,회차설정!$G$13:$G$27,0),MATCH(2,회차설정!$F$13:$F$27,0)),""))</f>
        <v/>
      </c>
    </row>
    <row r="128" ht="26" customHeight="1">
      <c r="A128" s="39">
        <f>IF($R$126="","",INDEX(답안입력!$A$3:$A$62,$R$126))</f>
        <v/>
      </c>
      <c r="B128" s="7" t="n"/>
      <c r="C128" s="8" t="n"/>
      <c r="D128" s="39">
        <f>IF($R$126="","",INDEX(답안입력!$C$3:$C$62,$R$126))</f>
        <v/>
      </c>
      <c r="E128" s="7" t="n"/>
      <c r="F128" s="7" t="n"/>
      <c r="G128" s="8" t="n"/>
      <c r="H128" s="39">
        <f>IF($R$126="","",INDEX(답안입력!$B$3:$B$62,$R$126))</f>
        <v/>
      </c>
      <c r="I128" s="7" t="n"/>
      <c r="J128" s="7" t="n"/>
      <c r="K128" s="8" t="n"/>
      <c r="L128" s="40">
        <f>회차설정!$B$3</f>
        <v/>
      </c>
      <c r="M128" s="7" t="n"/>
      <c r="N128" s="7" t="n"/>
      <c r="O128" s="7" t="n"/>
      <c r="P128" s="8" t="n"/>
      <c r="R128" s="37">
        <f>IF($R$127="언어와 매체",회차설정!$B$9,회차설정!$B$8)</f>
        <v/>
      </c>
      <c r="S128" s="37">
        <f>IF($R$127="","",IFERROR(IF($R$127="언어와 매체",MATCH(3,회차설정!$G$13:$G$27,0),MATCH(3,회차설정!$F$13:$F$27,0)),""))</f>
        <v/>
      </c>
    </row>
    <row r="129">
      <c r="R129" s="37">
        <f>IF($R$127="언어와 매체",회차설정!$C$9,회차설정!$C$8)</f>
        <v/>
      </c>
      <c r="S129" s="37">
        <f>IF($R$127="","",IFERROR(IF($R$127="언어와 매체",MATCH(4,회차설정!$G$13:$G$27,0),MATCH(4,회차설정!$F$13:$F$27,0)),""))</f>
        <v/>
      </c>
    </row>
    <row r="130">
      <c r="A130" s="12" t="inlineStr">
        <is>
          <t>2. 성적</t>
        </is>
      </c>
      <c r="R130" s="37">
        <f>IF($R$127="언어와 매체",회차설정!$D$9,회차설정!$D$8)</f>
        <v/>
      </c>
      <c r="S130" s="37">
        <f>IF($R$127="","",IFERROR(IF($R$127="언어와 매체",MATCH(5,회차설정!$G$13:$G$27,0),MATCH(5,회차설정!$F$13:$F$27,0)),""))</f>
        <v/>
      </c>
    </row>
    <row r="131">
      <c r="A131" s="13" t="inlineStr">
        <is>
          <t>점수 (100점 만점)</t>
        </is>
      </c>
      <c r="B131" s="7" t="n"/>
      <c r="C131" s="7" t="n"/>
      <c r="D131" s="7" t="n"/>
      <c r="E131" s="8" t="n"/>
      <c r="F131" s="13" t="inlineStr">
        <is>
          <t>등급</t>
        </is>
      </c>
      <c r="G131" s="7" t="n"/>
      <c r="H131" s="8" t="n"/>
      <c r="I131" s="13" t="inlineStr">
        <is>
          <t>등급컷</t>
        </is>
      </c>
      <c r="J131" s="7" t="n"/>
      <c r="K131" s="7" t="n"/>
      <c r="L131" s="8" t="n"/>
      <c r="M131" s="13" t="inlineStr">
        <is>
          <t>같은 선택과목 평균</t>
        </is>
      </c>
      <c r="N131" s="7" t="n"/>
      <c r="O131" s="7" t="n"/>
      <c r="P131" s="8" t="n"/>
      <c r="R131" s="37">
        <f>IF($R$127="언어와 매체",회차설정!$E$9,회차설정!$E$8)</f>
        <v/>
      </c>
      <c r="S131" s="37">
        <f>IF($R$127="","",IFERROR(IF($R$127="언어와 매체",MATCH(6,회차설정!$G$13:$G$27,0),MATCH(6,회차설정!$F$13:$F$27,0)),""))</f>
        <v/>
      </c>
    </row>
    <row r="132" ht="34" customHeight="1">
      <c r="A132" s="41">
        <f>IF($R$126="","",INDEX(전체채점!$C$3:$C$62,$R$126))</f>
        <v/>
      </c>
      <c r="B132" s="7" t="n"/>
      <c r="C132" s="7" t="n"/>
      <c r="D132" s="7" t="n"/>
      <c r="E132" s="8" t="n"/>
      <c r="F132" s="42">
        <f>IF($R$126="","",INDEX(전체채점!$D$3:$D$62,$R$126))</f>
        <v/>
      </c>
      <c r="G132" s="7" t="n"/>
      <c r="H132" s="8" t="n"/>
      <c r="I132" s="43">
        <f>IF($R$126="","",$R$128&amp;"-"&amp;$R$129&amp;"-"&amp;$R$130&amp;"-"&amp;$R$131)</f>
        <v/>
      </c>
      <c r="J132" s="7" t="n"/>
      <c r="K132" s="7" t="n"/>
      <c r="L132" s="8" t="n"/>
      <c r="M132" s="44">
        <f>IFERROR(AVERAGEIF(전체채점!$B$3:$B$62,$R$127,전체채점!$C$3:$C$62),"")</f>
        <v/>
      </c>
      <c r="N132" s="7" t="n"/>
      <c r="O132" s="7" t="n"/>
      <c r="P132" s="8" t="n"/>
      <c r="S132" s="37">
        <f>IF($R$127="","",IFERROR(IF($R$127="언어와 매체",MATCH(7,회차설정!$G$13:$G$27,0),MATCH(7,회차설정!$F$13:$F$27,0)),""))</f>
        <v/>
      </c>
    </row>
    <row r="133">
      <c r="S133" s="37">
        <f>IF($R$127="","",IFERROR(IF($R$127="언어와 매체",MATCH(8,회차설정!$G$13:$G$27,0),MATCH(8,회차설정!$F$13:$F$27,0)),""))</f>
        <v/>
      </c>
    </row>
    <row r="134">
      <c r="A134" s="12" t="inlineStr">
        <is>
          <t>3. 영역분류별 성취도 분석</t>
        </is>
      </c>
      <c r="F134" s="45">
        <f>IF(OR($R$126="",$E148=""),"",IF($E148=INDEX(전체채점!$C$3:$C$62,$R$126),"","※ 회차설정의 영역 표를 확인하세요 — 영역 합계와 점수가 다릅니다"))</f>
        <v/>
      </c>
      <c r="S134" s="37">
        <f>IF($R$127="","",IFERROR(IF($R$127="언어와 매체",MATCH(9,회차설정!$G$13:$G$27,0),MATCH(9,회차설정!$F$13:$F$27,0)),""))</f>
        <v/>
      </c>
    </row>
    <row r="135">
      <c r="A135" s="13" t="inlineStr">
        <is>
          <t>분류</t>
        </is>
      </c>
      <c r="B135" s="13" t="inlineStr">
        <is>
          <t>영역</t>
        </is>
      </c>
      <c r="C135" s="8" t="n"/>
      <c r="D135" s="13" t="inlineStr">
        <is>
          <t>배점</t>
        </is>
      </c>
      <c r="E135" s="13" t="inlineStr">
        <is>
          <t>득점</t>
        </is>
      </c>
      <c r="F135" s="13" t="inlineStr">
        <is>
          <t>성취도(%)</t>
        </is>
      </c>
      <c r="G135" s="8" t="n"/>
      <c r="H135" s="13" t="inlineStr"/>
      <c r="I135" s="7" t="n"/>
      <c r="J135" s="7" t="n"/>
      <c r="K135" s="7" t="n"/>
      <c r="L135" s="7" t="n"/>
      <c r="M135" s="7" t="n"/>
      <c r="N135" s="7" t="n"/>
      <c r="O135" s="7" t="n"/>
      <c r="P135" s="8" t="n"/>
      <c r="S135" s="37">
        <f>IF($R$127="","",IFERROR(IF($R$127="언어와 매체",MATCH(10,회차설정!$G$13:$G$27,0),MATCH(10,회차설정!$F$13:$F$27,0)),""))</f>
        <v/>
      </c>
    </row>
    <row r="136">
      <c r="A136" s="14">
        <f>IF($S$126="","",INDEX(회차설정!$A$13:$A$27,$S$126))</f>
        <v/>
      </c>
      <c r="B136" s="14">
        <f>IF($S$126="","",INDEX(회차설정!$B$13:$B$27,$S$126))</f>
        <v/>
      </c>
      <c r="C136" s="8" t="n"/>
      <c r="D136" s="14">
        <f>IF($S$126="","",IF($R$127="언어와 매체",SUMPRODUCT((자동계산!$A$4:$A$48&gt;=INDEX(회차설정!$C$13:$C$27,$S$126))*(자동계산!$A$4:$A$48&lt;=INDEX(회차설정!$D$13:$D$27,$S$126))*자동계산!$E$4:$E$48),SUMPRODUCT((자동계산!$A$4:$A$48&gt;=INDEX(회차설정!$C$13:$C$27,$S$126))*(자동계산!$A$4:$A$48&lt;=INDEX(회차설정!$D$13:$D$27,$S$126))*자동계산!$C$4:$C$48)))</f>
        <v/>
      </c>
      <c r="E136" s="14">
        <f>IF(OR($S$126="",$R$126=""),"",SUM(OFFSET(전체채점!$AW$2,$R$126,INDEX(회차설정!$C$13:$C$27,$S$126),1,INDEX(회차설정!$D$13:$D$27,$S$126)-INDEX(회차설정!$C$13:$C$27,$S$126)+1)))</f>
        <v/>
      </c>
      <c r="F136" s="46">
        <f>IF(OR($S$126="",$D136=0,$D136="",$E136=""),"",$E136/$D136*100)</f>
        <v/>
      </c>
      <c r="G136" s="8" t="n"/>
      <c r="H136" s="47">
        <f>IF($F136="","",REPT("■",ROUND($F136/5,0)))</f>
        <v/>
      </c>
      <c r="I136" s="7" t="n"/>
      <c r="J136" s="7" t="n"/>
      <c r="K136" s="7" t="n"/>
      <c r="L136" s="7" t="n"/>
      <c r="M136" s="7" t="n"/>
      <c r="N136" s="7" t="n"/>
      <c r="O136" s="7" t="n"/>
      <c r="P136" s="8" t="n"/>
      <c r="S136" s="37">
        <f>IF($R$127="","",IFERROR(IF($R$127="언어와 매체",MATCH(11,회차설정!$G$13:$G$27,0),MATCH(11,회차설정!$F$13:$F$27,0)),""))</f>
        <v/>
      </c>
    </row>
    <row r="137">
      <c r="A137" s="14">
        <f>IF($S$127="","",INDEX(회차설정!$A$13:$A$27,$S$127))</f>
        <v/>
      </c>
      <c r="B137" s="14">
        <f>IF($S$127="","",INDEX(회차설정!$B$13:$B$27,$S$127))</f>
        <v/>
      </c>
      <c r="C137" s="8" t="n"/>
      <c r="D137" s="14">
        <f>IF($S$127="","",IF($R$127="언어와 매체",SUMPRODUCT((자동계산!$A$4:$A$48&gt;=INDEX(회차설정!$C$13:$C$27,$S$127))*(자동계산!$A$4:$A$48&lt;=INDEX(회차설정!$D$13:$D$27,$S$127))*자동계산!$E$4:$E$48),SUMPRODUCT((자동계산!$A$4:$A$48&gt;=INDEX(회차설정!$C$13:$C$27,$S$127))*(자동계산!$A$4:$A$48&lt;=INDEX(회차설정!$D$13:$D$27,$S$127))*자동계산!$C$4:$C$48)))</f>
        <v/>
      </c>
      <c r="E137" s="14">
        <f>IF(OR($S$127="",$R$126=""),"",SUM(OFFSET(전체채점!$AW$2,$R$126,INDEX(회차설정!$C$13:$C$27,$S$127),1,INDEX(회차설정!$D$13:$D$27,$S$127)-INDEX(회차설정!$C$13:$C$27,$S$127)+1)))</f>
        <v/>
      </c>
      <c r="F137" s="46">
        <f>IF(OR($S$127="",$D137=0,$D137="",$E137=""),"",$E137/$D137*100)</f>
        <v/>
      </c>
      <c r="G137" s="8" t="n"/>
      <c r="H137" s="47">
        <f>IF($F137="","",REPT("■",ROUND($F137/5,0)))</f>
        <v/>
      </c>
      <c r="I137" s="7" t="n"/>
      <c r="J137" s="7" t="n"/>
      <c r="K137" s="7" t="n"/>
      <c r="L137" s="7" t="n"/>
      <c r="M137" s="7" t="n"/>
      <c r="N137" s="7" t="n"/>
      <c r="O137" s="7" t="n"/>
      <c r="P137" s="8" t="n"/>
      <c r="S137" s="37">
        <f>IF($R$127="","",IFERROR(IF($R$127="언어와 매체",MATCH(12,회차설정!$G$13:$G$27,0),MATCH(12,회차설정!$F$13:$F$27,0)),""))</f>
        <v/>
      </c>
    </row>
    <row r="138">
      <c r="A138" s="14">
        <f>IF($S$128="","",INDEX(회차설정!$A$13:$A$27,$S$128))</f>
        <v/>
      </c>
      <c r="B138" s="14">
        <f>IF($S$128="","",INDEX(회차설정!$B$13:$B$27,$S$128))</f>
        <v/>
      </c>
      <c r="C138" s="8" t="n"/>
      <c r="D138" s="14">
        <f>IF($S$128="","",IF($R$127="언어와 매체",SUMPRODUCT((자동계산!$A$4:$A$48&gt;=INDEX(회차설정!$C$13:$C$27,$S$128))*(자동계산!$A$4:$A$48&lt;=INDEX(회차설정!$D$13:$D$27,$S$128))*자동계산!$E$4:$E$48),SUMPRODUCT((자동계산!$A$4:$A$48&gt;=INDEX(회차설정!$C$13:$C$27,$S$128))*(자동계산!$A$4:$A$48&lt;=INDEX(회차설정!$D$13:$D$27,$S$128))*자동계산!$C$4:$C$48)))</f>
        <v/>
      </c>
      <c r="E138" s="14">
        <f>IF(OR($S$128="",$R$126=""),"",SUM(OFFSET(전체채점!$AW$2,$R$126,INDEX(회차설정!$C$13:$C$27,$S$128),1,INDEX(회차설정!$D$13:$D$27,$S$128)-INDEX(회차설정!$C$13:$C$27,$S$128)+1)))</f>
        <v/>
      </c>
      <c r="F138" s="46">
        <f>IF(OR($S$128="",$D138=0,$D138="",$E138=""),"",$E138/$D138*100)</f>
        <v/>
      </c>
      <c r="G138" s="8" t="n"/>
      <c r="H138" s="47">
        <f>IF($F138="","",REPT("■",ROUND($F138/5,0)))</f>
        <v/>
      </c>
      <c r="I138" s="7" t="n"/>
      <c r="J138" s="7" t="n"/>
      <c r="K138" s="7" t="n"/>
      <c r="L138" s="7" t="n"/>
      <c r="M138" s="7" t="n"/>
      <c r="N138" s="7" t="n"/>
      <c r="O138" s="7" t="n"/>
      <c r="P138" s="8" t="n"/>
    </row>
    <row r="139">
      <c r="A139" s="14">
        <f>IF($S$129="","",INDEX(회차설정!$A$13:$A$27,$S$129))</f>
        <v/>
      </c>
      <c r="B139" s="14">
        <f>IF($S$129="","",INDEX(회차설정!$B$13:$B$27,$S$129))</f>
        <v/>
      </c>
      <c r="C139" s="8" t="n"/>
      <c r="D139" s="14">
        <f>IF($S$129="","",IF($R$127="언어와 매체",SUMPRODUCT((자동계산!$A$4:$A$48&gt;=INDEX(회차설정!$C$13:$C$27,$S$129))*(자동계산!$A$4:$A$48&lt;=INDEX(회차설정!$D$13:$D$27,$S$129))*자동계산!$E$4:$E$48),SUMPRODUCT((자동계산!$A$4:$A$48&gt;=INDEX(회차설정!$C$13:$C$27,$S$129))*(자동계산!$A$4:$A$48&lt;=INDEX(회차설정!$D$13:$D$27,$S$129))*자동계산!$C$4:$C$48)))</f>
        <v/>
      </c>
      <c r="E139" s="14">
        <f>IF(OR($S$129="",$R$126=""),"",SUM(OFFSET(전체채점!$AW$2,$R$126,INDEX(회차설정!$C$13:$C$27,$S$129),1,INDEX(회차설정!$D$13:$D$27,$S$129)-INDEX(회차설정!$C$13:$C$27,$S$129)+1)))</f>
        <v/>
      </c>
      <c r="F139" s="46">
        <f>IF(OR($S$129="",$D139=0,$D139="",$E139=""),"",$E139/$D139*100)</f>
        <v/>
      </c>
      <c r="G139" s="8" t="n"/>
      <c r="H139" s="47">
        <f>IF($F139="","",REPT("■",ROUND($F139/5,0)))</f>
        <v/>
      </c>
      <c r="I139" s="7" t="n"/>
      <c r="J139" s="7" t="n"/>
      <c r="K139" s="7" t="n"/>
      <c r="L139" s="7" t="n"/>
      <c r="M139" s="7" t="n"/>
      <c r="N139" s="7" t="n"/>
      <c r="O139" s="7" t="n"/>
      <c r="P139" s="8" t="n"/>
    </row>
    <row r="140">
      <c r="A140" s="14">
        <f>IF($S$130="","",INDEX(회차설정!$A$13:$A$27,$S$130))</f>
        <v/>
      </c>
      <c r="B140" s="14">
        <f>IF($S$130="","",INDEX(회차설정!$B$13:$B$27,$S$130))</f>
        <v/>
      </c>
      <c r="C140" s="8" t="n"/>
      <c r="D140" s="14">
        <f>IF($S$130="","",IF($R$127="언어와 매체",SUMPRODUCT((자동계산!$A$4:$A$48&gt;=INDEX(회차설정!$C$13:$C$27,$S$130))*(자동계산!$A$4:$A$48&lt;=INDEX(회차설정!$D$13:$D$27,$S$130))*자동계산!$E$4:$E$48),SUMPRODUCT((자동계산!$A$4:$A$48&gt;=INDEX(회차설정!$C$13:$C$27,$S$130))*(자동계산!$A$4:$A$48&lt;=INDEX(회차설정!$D$13:$D$27,$S$130))*자동계산!$C$4:$C$48)))</f>
        <v/>
      </c>
      <c r="E140" s="14">
        <f>IF(OR($S$130="",$R$126=""),"",SUM(OFFSET(전체채점!$AW$2,$R$126,INDEX(회차설정!$C$13:$C$27,$S$130),1,INDEX(회차설정!$D$13:$D$27,$S$130)-INDEX(회차설정!$C$13:$C$27,$S$130)+1)))</f>
        <v/>
      </c>
      <c r="F140" s="46">
        <f>IF(OR($S$130="",$D140=0,$D140="",$E140=""),"",$E140/$D140*100)</f>
        <v/>
      </c>
      <c r="G140" s="8" t="n"/>
      <c r="H140" s="47">
        <f>IF($F140="","",REPT("■",ROUND($F140/5,0)))</f>
        <v/>
      </c>
      <c r="I140" s="7" t="n"/>
      <c r="J140" s="7" t="n"/>
      <c r="K140" s="7" t="n"/>
      <c r="L140" s="7" t="n"/>
      <c r="M140" s="7" t="n"/>
      <c r="N140" s="7" t="n"/>
      <c r="O140" s="7" t="n"/>
      <c r="P140" s="8" t="n"/>
    </row>
    <row r="141">
      <c r="A141" s="14">
        <f>IF($S$131="","",INDEX(회차설정!$A$13:$A$27,$S$131))</f>
        <v/>
      </c>
      <c r="B141" s="14">
        <f>IF($S$131="","",INDEX(회차설정!$B$13:$B$27,$S$131))</f>
        <v/>
      </c>
      <c r="C141" s="8" t="n"/>
      <c r="D141" s="14">
        <f>IF($S$131="","",IF($R$127="언어와 매체",SUMPRODUCT((자동계산!$A$4:$A$48&gt;=INDEX(회차설정!$C$13:$C$27,$S$131))*(자동계산!$A$4:$A$48&lt;=INDEX(회차설정!$D$13:$D$27,$S$131))*자동계산!$E$4:$E$48),SUMPRODUCT((자동계산!$A$4:$A$48&gt;=INDEX(회차설정!$C$13:$C$27,$S$131))*(자동계산!$A$4:$A$48&lt;=INDEX(회차설정!$D$13:$D$27,$S$131))*자동계산!$C$4:$C$48)))</f>
        <v/>
      </c>
      <c r="E141" s="14">
        <f>IF(OR($S$131="",$R$126=""),"",SUM(OFFSET(전체채점!$AW$2,$R$126,INDEX(회차설정!$C$13:$C$27,$S$131),1,INDEX(회차설정!$D$13:$D$27,$S$131)-INDEX(회차설정!$C$13:$C$27,$S$131)+1)))</f>
        <v/>
      </c>
      <c r="F141" s="46">
        <f>IF(OR($S$131="",$D141=0,$D141="",$E141=""),"",$E141/$D141*100)</f>
        <v/>
      </c>
      <c r="G141" s="8" t="n"/>
      <c r="H141" s="47">
        <f>IF($F141="","",REPT("■",ROUND($F141/5,0)))</f>
        <v/>
      </c>
      <c r="I141" s="7" t="n"/>
      <c r="J141" s="7" t="n"/>
      <c r="K141" s="7" t="n"/>
      <c r="L141" s="7" t="n"/>
      <c r="M141" s="7" t="n"/>
      <c r="N141" s="7" t="n"/>
      <c r="O141" s="7" t="n"/>
      <c r="P141" s="8" t="n"/>
    </row>
    <row r="142">
      <c r="A142" s="14">
        <f>IF($S$132="","",INDEX(회차설정!$A$13:$A$27,$S$132))</f>
        <v/>
      </c>
      <c r="B142" s="14">
        <f>IF($S$132="","",INDEX(회차설정!$B$13:$B$27,$S$132))</f>
        <v/>
      </c>
      <c r="C142" s="8" t="n"/>
      <c r="D142" s="14">
        <f>IF($S$132="","",IF($R$127="언어와 매체",SUMPRODUCT((자동계산!$A$4:$A$48&gt;=INDEX(회차설정!$C$13:$C$27,$S$132))*(자동계산!$A$4:$A$48&lt;=INDEX(회차설정!$D$13:$D$27,$S$132))*자동계산!$E$4:$E$48),SUMPRODUCT((자동계산!$A$4:$A$48&gt;=INDEX(회차설정!$C$13:$C$27,$S$132))*(자동계산!$A$4:$A$48&lt;=INDEX(회차설정!$D$13:$D$27,$S$132))*자동계산!$C$4:$C$48)))</f>
        <v/>
      </c>
      <c r="E142" s="14">
        <f>IF(OR($S$132="",$R$126=""),"",SUM(OFFSET(전체채점!$AW$2,$R$126,INDEX(회차설정!$C$13:$C$27,$S$132),1,INDEX(회차설정!$D$13:$D$27,$S$132)-INDEX(회차설정!$C$13:$C$27,$S$132)+1)))</f>
        <v/>
      </c>
      <c r="F142" s="46">
        <f>IF(OR($S$132="",$D142=0,$D142="",$E142=""),"",$E142/$D142*100)</f>
        <v/>
      </c>
      <c r="G142" s="8" t="n"/>
      <c r="H142" s="47">
        <f>IF($F142="","",REPT("■",ROUND($F142/5,0)))</f>
        <v/>
      </c>
      <c r="I142" s="7" t="n"/>
      <c r="J142" s="7" t="n"/>
      <c r="K142" s="7" t="n"/>
      <c r="L142" s="7" t="n"/>
      <c r="M142" s="7" t="n"/>
      <c r="N142" s="7" t="n"/>
      <c r="O142" s="7" t="n"/>
      <c r="P142" s="8" t="n"/>
    </row>
    <row r="143">
      <c r="A143" s="14">
        <f>IF($S$133="","",INDEX(회차설정!$A$13:$A$27,$S$133))</f>
        <v/>
      </c>
      <c r="B143" s="14">
        <f>IF($S$133="","",INDEX(회차설정!$B$13:$B$27,$S$133))</f>
        <v/>
      </c>
      <c r="C143" s="8" t="n"/>
      <c r="D143" s="14">
        <f>IF($S$133="","",IF($R$127="언어와 매체",SUMPRODUCT((자동계산!$A$4:$A$48&gt;=INDEX(회차설정!$C$13:$C$27,$S$133))*(자동계산!$A$4:$A$48&lt;=INDEX(회차설정!$D$13:$D$27,$S$133))*자동계산!$E$4:$E$48),SUMPRODUCT((자동계산!$A$4:$A$48&gt;=INDEX(회차설정!$C$13:$C$27,$S$133))*(자동계산!$A$4:$A$48&lt;=INDEX(회차설정!$D$13:$D$27,$S$133))*자동계산!$C$4:$C$48)))</f>
        <v/>
      </c>
      <c r="E143" s="14">
        <f>IF(OR($S$133="",$R$126=""),"",SUM(OFFSET(전체채점!$AW$2,$R$126,INDEX(회차설정!$C$13:$C$27,$S$133),1,INDEX(회차설정!$D$13:$D$27,$S$133)-INDEX(회차설정!$C$13:$C$27,$S$133)+1)))</f>
        <v/>
      </c>
      <c r="F143" s="46">
        <f>IF(OR($S$133="",$D143=0,$D143="",$E143=""),"",$E143/$D143*100)</f>
        <v/>
      </c>
      <c r="G143" s="8" t="n"/>
      <c r="H143" s="47">
        <f>IF($F143="","",REPT("■",ROUND($F143/5,0)))</f>
        <v/>
      </c>
      <c r="I143" s="7" t="n"/>
      <c r="J143" s="7" t="n"/>
      <c r="K143" s="7" t="n"/>
      <c r="L143" s="7" t="n"/>
      <c r="M143" s="7" t="n"/>
      <c r="N143" s="7" t="n"/>
      <c r="O143" s="7" t="n"/>
      <c r="P143" s="8" t="n"/>
    </row>
    <row r="144">
      <c r="A144" s="14">
        <f>IF($S$134="","",INDEX(회차설정!$A$13:$A$27,$S$134))</f>
        <v/>
      </c>
      <c r="B144" s="14">
        <f>IF($S$134="","",INDEX(회차설정!$B$13:$B$27,$S$134))</f>
        <v/>
      </c>
      <c r="C144" s="8" t="n"/>
      <c r="D144" s="14">
        <f>IF($S$134="","",IF($R$127="언어와 매체",SUMPRODUCT((자동계산!$A$4:$A$48&gt;=INDEX(회차설정!$C$13:$C$27,$S$134))*(자동계산!$A$4:$A$48&lt;=INDEX(회차설정!$D$13:$D$27,$S$134))*자동계산!$E$4:$E$48),SUMPRODUCT((자동계산!$A$4:$A$48&gt;=INDEX(회차설정!$C$13:$C$27,$S$134))*(자동계산!$A$4:$A$48&lt;=INDEX(회차설정!$D$13:$D$27,$S$134))*자동계산!$C$4:$C$48)))</f>
        <v/>
      </c>
      <c r="E144" s="14">
        <f>IF(OR($S$134="",$R$126=""),"",SUM(OFFSET(전체채점!$AW$2,$R$126,INDEX(회차설정!$C$13:$C$27,$S$134),1,INDEX(회차설정!$D$13:$D$27,$S$134)-INDEX(회차설정!$C$13:$C$27,$S$134)+1)))</f>
        <v/>
      </c>
      <c r="F144" s="46">
        <f>IF(OR($S$134="",$D144=0,$D144="",$E144=""),"",$E144/$D144*100)</f>
        <v/>
      </c>
      <c r="G144" s="8" t="n"/>
      <c r="H144" s="47">
        <f>IF($F144="","",REPT("■",ROUND($F144/5,0)))</f>
        <v/>
      </c>
      <c r="I144" s="7" t="n"/>
      <c r="J144" s="7" t="n"/>
      <c r="K144" s="7" t="n"/>
      <c r="L144" s="7" t="n"/>
      <c r="M144" s="7" t="n"/>
      <c r="N144" s="7" t="n"/>
      <c r="O144" s="7" t="n"/>
      <c r="P144" s="8" t="n"/>
    </row>
    <row r="145">
      <c r="A145" s="14">
        <f>IF($S$135="","",INDEX(회차설정!$A$13:$A$27,$S$135))</f>
        <v/>
      </c>
      <c r="B145" s="14">
        <f>IF($S$135="","",INDEX(회차설정!$B$13:$B$27,$S$135))</f>
        <v/>
      </c>
      <c r="C145" s="8" t="n"/>
      <c r="D145" s="14">
        <f>IF($S$135="","",IF($R$127="언어와 매체",SUMPRODUCT((자동계산!$A$4:$A$48&gt;=INDEX(회차설정!$C$13:$C$27,$S$135))*(자동계산!$A$4:$A$48&lt;=INDEX(회차설정!$D$13:$D$27,$S$135))*자동계산!$E$4:$E$48),SUMPRODUCT((자동계산!$A$4:$A$48&gt;=INDEX(회차설정!$C$13:$C$27,$S$135))*(자동계산!$A$4:$A$48&lt;=INDEX(회차설정!$D$13:$D$27,$S$135))*자동계산!$C$4:$C$48)))</f>
        <v/>
      </c>
      <c r="E145" s="14">
        <f>IF(OR($S$135="",$R$126=""),"",SUM(OFFSET(전체채점!$AW$2,$R$126,INDEX(회차설정!$C$13:$C$27,$S$135),1,INDEX(회차설정!$D$13:$D$27,$S$135)-INDEX(회차설정!$C$13:$C$27,$S$135)+1)))</f>
        <v/>
      </c>
      <c r="F145" s="46">
        <f>IF(OR($S$135="",$D145=0,$D145="",$E145=""),"",$E145/$D145*100)</f>
        <v/>
      </c>
      <c r="G145" s="8" t="n"/>
      <c r="H145" s="47">
        <f>IF($F145="","",REPT("■",ROUND($F145/5,0)))</f>
        <v/>
      </c>
      <c r="I145" s="7" t="n"/>
      <c r="J145" s="7" t="n"/>
      <c r="K145" s="7" t="n"/>
      <c r="L145" s="7" t="n"/>
      <c r="M145" s="7" t="n"/>
      <c r="N145" s="7" t="n"/>
      <c r="O145" s="7" t="n"/>
      <c r="P145" s="8" t="n"/>
    </row>
    <row r="146">
      <c r="A146" s="14">
        <f>IF($S$136="","",INDEX(회차설정!$A$13:$A$27,$S$136))</f>
        <v/>
      </c>
      <c r="B146" s="14">
        <f>IF($S$136="","",INDEX(회차설정!$B$13:$B$27,$S$136))</f>
        <v/>
      </c>
      <c r="C146" s="8" t="n"/>
      <c r="D146" s="14">
        <f>IF($S$136="","",IF($R$127="언어와 매체",SUMPRODUCT((자동계산!$A$4:$A$48&gt;=INDEX(회차설정!$C$13:$C$27,$S$136))*(자동계산!$A$4:$A$48&lt;=INDEX(회차설정!$D$13:$D$27,$S$136))*자동계산!$E$4:$E$48),SUMPRODUCT((자동계산!$A$4:$A$48&gt;=INDEX(회차설정!$C$13:$C$27,$S$136))*(자동계산!$A$4:$A$48&lt;=INDEX(회차설정!$D$13:$D$27,$S$136))*자동계산!$C$4:$C$48)))</f>
        <v/>
      </c>
      <c r="E146" s="14">
        <f>IF(OR($S$136="",$R$126=""),"",SUM(OFFSET(전체채점!$AW$2,$R$126,INDEX(회차설정!$C$13:$C$27,$S$136),1,INDEX(회차설정!$D$13:$D$27,$S$136)-INDEX(회차설정!$C$13:$C$27,$S$136)+1)))</f>
        <v/>
      </c>
      <c r="F146" s="46">
        <f>IF(OR($S$136="",$D146=0,$D146="",$E146=""),"",$E146/$D146*100)</f>
        <v/>
      </c>
      <c r="G146" s="8" t="n"/>
      <c r="H146" s="47">
        <f>IF($F146="","",REPT("■",ROUND($F146/5,0)))</f>
        <v/>
      </c>
      <c r="I146" s="7" t="n"/>
      <c r="J146" s="7" t="n"/>
      <c r="K146" s="7" t="n"/>
      <c r="L146" s="7" t="n"/>
      <c r="M146" s="7" t="n"/>
      <c r="N146" s="7" t="n"/>
      <c r="O146" s="7" t="n"/>
      <c r="P146" s="8" t="n"/>
    </row>
    <row r="147">
      <c r="A147" s="14">
        <f>IF($S$137="","",INDEX(회차설정!$A$13:$A$27,$S$137))</f>
        <v/>
      </c>
      <c r="B147" s="14">
        <f>IF($S$137="","",INDEX(회차설정!$B$13:$B$27,$S$137))</f>
        <v/>
      </c>
      <c r="C147" s="8" t="n"/>
      <c r="D147" s="14">
        <f>IF($S$137="","",IF($R$127="언어와 매체",SUMPRODUCT((자동계산!$A$4:$A$48&gt;=INDEX(회차설정!$C$13:$C$27,$S$137))*(자동계산!$A$4:$A$48&lt;=INDEX(회차설정!$D$13:$D$27,$S$137))*자동계산!$E$4:$E$48),SUMPRODUCT((자동계산!$A$4:$A$48&gt;=INDEX(회차설정!$C$13:$C$27,$S$137))*(자동계산!$A$4:$A$48&lt;=INDEX(회차설정!$D$13:$D$27,$S$137))*자동계산!$C$4:$C$48)))</f>
        <v/>
      </c>
      <c r="E147" s="14">
        <f>IF(OR($S$137="",$R$126=""),"",SUM(OFFSET(전체채점!$AW$2,$R$126,INDEX(회차설정!$C$13:$C$27,$S$137),1,INDEX(회차설정!$D$13:$D$27,$S$137)-INDEX(회차설정!$C$13:$C$27,$S$137)+1)))</f>
        <v/>
      </c>
      <c r="F147" s="46">
        <f>IF(OR($S$137="",$D147=0,$D147="",$E147=""),"",$E147/$D147*100)</f>
        <v/>
      </c>
      <c r="G147" s="8" t="n"/>
      <c r="H147" s="47">
        <f>IF($F147="","",REPT("■",ROUND($F147/5,0)))</f>
        <v/>
      </c>
      <c r="I147" s="7" t="n"/>
      <c r="J147" s="7" t="n"/>
      <c r="K147" s="7" t="n"/>
      <c r="L147" s="7" t="n"/>
      <c r="M147" s="7" t="n"/>
      <c r="N147" s="7" t="n"/>
      <c r="O147" s="7" t="n"/>
      <c r="P147" s="8" t="n"/>
    </row>
    <row r="148">
      <c r="A148" s="5">
        <f>IF($R$126="","","합계")</f>
        <v/>
      </c>
      <c r="B148" s="7" t="n"/>
      <c r="C148" s="8" t="n"/>
      <c r="D148" s="5">
        <f>IF($R$126="","",SUM(D136:D147))</f>
        <v/>
      </c>
      <c r="E148" s="5">
        <f>IF($R$126="","",SUM(E136:E147))</f>
        <v/>
      </c>
      <c r="F148" s="48">
        <f>IF(OR($D148=0,$D148=""),"",$E148/$D148*100)</f>
        <v/>
      </c>
      <c r="G148" s="8" t="n"/>
      <c r="H148" s="49">
        <f>IF($F148="","",REPT("■",ROUND($F148/5,0)))</f>
        <v/>
      </c>
      <c r="I148" s="7" t="n"/>
      <c r="J148" s="7" t="n"/>
      <c r="K148" s="7" t="n"/>
      <c r="L148" s="7" t="n"/>
      <c r="M148" s="7" t="n"/>
      <c r="N148" s="7" t="n"/>
      <c r="O148" s="7" t="n"/>
      <c r="P148" s="8" t="n"/>
    </row>
    <row r="150">
      <c r="A150" s="12" t="inlineStr">
        <is>
          <t>4. 문항 채점표</t>
        </is>
      </c>
    </row>
    <row r="151">
      <c r="A151" s="50" t="inlineStr">
        <is>
          <t>문항 번호</t>
        </is>
      </c>
      <c r="B151" s="51" t="n">
        <v>1</v>
      </c>
      <c r="C151" s="51" t="n">
        <v>2</v>
      </c>
      <c r="D151" s="51" t="n">
        <v>3</v>
      </c>
      <c r="E151" s="51" t="n">
        <v>4</v>
      </c>
      <c r="F151" s="51" t="n">
        <v>5</v>
      </c>
      <c r="G151" s="51" t="n">
        <v>6</v>
      </c>
      <c r="H151" s="51" t="n">
        <v>7</v>
      </c>
      <c r="I151" s="51" t="n">
        <v>8</v>
      </c>
      <c r="J151" s="51" t="n">
        <v>9</v>
      </c>
      <c r="K151" s="51" t="n">
        <v>10</v>
      </c>
      <c r="L151" s="51" t="n">
        <v>11</v>
      </c>
      <c r="M151" s="51" t="n">
        <v>12</v>
      </c>
      <c r="N151" s="51" t="n">
        <v>13</v>
      </c>
      <c r="O151" s="51" t="n">
        <v>14</v>
      </c>
      <c r="P151" s="51" t="n">
        <v>15</v>
      </c>
    </row>
    <row r="152">
      <c r="A152" s="52" t="inlineStr">
        <is>
          <t>정답</t>
        </is>
      </c>
      <c r="B152" s="33">
        <f>IF($R$127="","",IF($R$127="언어와 매체",자동계산!$D$4,자동계산!$B$4))</f>
        <v/>
      </c>
      <c r="C152" s="33">
        <f>IF($R$127="","",IF($R$127="언어와 매체",자동계산!$D$5,자동계산!$B$5))</f>
        <v/>
      </c>
      <c r="D152" s="33">
        <f>IF($R$127="","",IF($R$127="언어와 매체",자동계산!$D$6,자동계산!$B$6))</f>
        <v/>
      </c>
      <c r="E152" s="33">
        <f>IF($R$127="","",IF($R$127="언어와 매체",자동계산!$D$7,자동계산!$B$7))</f>
        <v/>
      </c>
      <c r="F152" s="33">
        <f>IF($R$127="","",IF($R$127="언어와 매체",자동계산!$D$8,자동계산!$B$8))</f>
        <v/>
      </c>
      <c r="G152" s="33">
        <f>IF($R$127="","",IF($R$127="언어와 매체",자동계산!$D$9,자동계산!$B$9))</f>
        <v/>
      </c>
      <c r="H152" s="33">
        <f>IF($R$127="","",IF($R$127="언어와 매체",자동계산!$D$10,자동계산!$B$10))</f>
        <v/>
      </c>
      <c r="I152" s="33">
        <f>IF($R$127="","",IF($R$127="언어와 매체",자동계산!$D$11,자동계산!$B$11))</f>
        <v/>
      </c>
      <c r="J152" s="33">
        <f>IF($R$127="","",IF($R$127="언어와 매체",자동계산!$D$12,자동계산!$B$12))</f>
        <v/>
      </c>
      <c r="K152" s="33">
        <f>IF($R$127="","",IF($R$127="언어와 매체",자동계산!$D$13,자동계산!$B$13))</f>
        <v/>
      </c>
      <c r="L152" s="33">
        <f>IF($R$127="","",IF($R$127="언어와 매체",자동계산!$D$14,자동계산!$B$14))</f>
        <v/>
      </c>
      <c r="M152" s="33">
        <f>IF($R$127="","",IF($R$127="언어와 매체",자동계산!$D$15,자동계산!$B$15))</f>
        <v/>
      </c>
      <c r="N152" s="33">
        <f>IF($R$127="","",IF($R$127="언어와 매체",자동계산!$D$16,자동계산!$B$16))</f>
        <v/>
      </c>
      <c r="O152" s="33">
        <f>IF($R$127="","",IF($R$127="언어와 매체",자동계산!$D$17,자동계산!$B$17))</f>
        <v/>
      </c>
      <c r="P152" s="33">
        <f>IF($R$127="","",IF($R$127="언어와 매체",자동계산!$D$18,자동계산!$B$18))</f>
        <v/>
      </c>
    </row>
    <row r="153">
      <c r="A153" s="52" t="inlineStr">
        <is>
          <t>학생답안</t>
        </is>
      </c>
      <c r="B153" s="33">
        <f>IF($R$126="","",INDEX(전체채점!E$3:E$62,$R$126))</f>
        <v/>
      </c>
      <c r="C153" s="33">
        <f>IF($R$126="","",INDEX(전체채점!F$3:F$62,$R$126))</f>
        <v/>
      </c>
      <c r="D153" s="33">
        <f>IF($R$126="","",INDEX(전체채점!G$3:G$62,$R$126))</f>
        <v/>
      </c>
      <c r="E153" s="33">
        <f>IF($R$126="","",INDEX(전체채점!H$3:H$62,$R$126))</f>
        <v/>
      </c>
      <c r="F153" s="33">
        <f>IF($R$126="","",INDEX(전체채점!I$3:I$62,$R$126))</f>
        <v/>
      </c>
      <c r="G153" s="33">
        <f>IF($R$126="","",INDEX(전체채점!J$3:J$62,$R$126))</f>
        <v/>
      </c>
      <c r="H153" s="33">
        <f>IF($R$126="","",INDEX(전체채점!K$3:K$62,$R$126))</f>
        <v/>
      </c>
      <c r="I153" s="33">
        <f>IF($R$126="","",INDEX(전체채점!L$3:L$62,$R$126))</f>
        <v/>
      </c>
      <c r="J153" s="33">
        <f>IF($R$126="","",INDEX(전체채점!M$3:M$62,$R$126))</f>
        <v/>
      </c>
      <c r="K153" s="33">
        <f>IF($R$126="","",INDEX(전체채점!N$3:N$62,$R$126))</f>
        <v/>
      </c>
      <c r="L153" s="33">
        <f>IF($R$126="","",INDEX(전체채점!O$3:O$62,$R$126))</f>
        <v/>
      </c>
      <c r="M153" s="33">
        <f>IF($R$126="","",INDEX(전체채점!P$3:P$62,$R$126))</f>
        <v/>
      </c>
      <c r="N153" s="33">
        <f>IF($R$126="","",INDEX(전체채점!Q$3:Q$62,$R$126))</f>
        <v/>
      </c>
      <c r="O153" s="33">
        <f>IF($R$126="","",INDEX(전체채점!R$3:R$62,$R$126))</f>
        <v/>
      </c>
      <c r="P153" s="33">
        <f>IF($R$126="","",INDEX(전체채점!S$3:S$62,$R$126))</f>
        <v/>
      </c>
    </row>
    <row r="154">
      <c r="A154" s="52" t="inlineStr">
        <is>
          <t>정오</t>
        </is>
      </c>
      <c r="B154" s="33">
        <f>IF($R$126="","",INDEX(전체채점!AX$3:AX$62,$R$126))</f>
        <v/>
      </c>
      <c r="C154" s="33">
        <f>IF($R$126="","",INDEX(전체채점!AY$3:AY$62,$R$126))</f>
        <v/>
      </c>
      <c r="D154" s="33">
        <f>IF($R$126="","",INDEX(전체채점!AZ$3:AZ$62,$R$126))</f>
        <v/>
      </c>
      <c r="E154" s="33">
        <f>IF($R$126="","",INDEX(전체채점!BA$3:BA$62,$R$126))</f>
        <v/>
      </c>
      <c r="F154" s="33">
        <f>IF($R$126="","",INDEX(전체채점!BB$3:BB$62,$R$126))</f>
        <v/>
      </c>
      <c r="G154" s="33">
        <f>IF($R$126="","",INDEX(전체채점!BC$3:BC$62,$R$126))</f>
        <v/>
      </c>
      <c r="H154" s="33">
        <f>IF($R$126="","",INDEX(전체채점!BD$3:BD$62,$R$126))</f>
        <v/>
      </c>
      <c r="I154" s="33">
        <f>IF($R$126="","",INDEX(전체채점!BE$3:BE$62,$R$126))</f>
        <v/>
      </c>
      <c r="J154" s="33">
        <f>IF($R$126="","",INDEX(전체채점!BF$3:BF$62,$R$126))</f>
        <v/>
      </c>
      <c r="K154" s="33">
        <f>IF($R$126="","",INDEX(전체채점!BG$3:BG$62,$R$126))</f>
        <v/>
      </c>
      <c r="L154" s="33">
        <f>IF($R$126="","",INDEX(전체채점!BH$3:BH$62,$R$126))</f>
        <v/>
      </c>
      <c r="M154" s="33">
        <f>IF($R$126="","",INDEX(전체채점!BI$3:BI$62,$R$126))</f>
        <v/>
      </c>
      <c r="N154" s="33">
        <f>IF($R$126="","",INDEX(전체채점!BJ$3:BJ$62,$R$126))</f>
        <v/>
      </c>
      <c r="O154" s="33">
        <f>IF($R$126="","",INDEX(전체채점!BK$3:BK$62,$R$126))</f>
        <v/>
      </c>
      <c r="P154" s="33">
        <f>IF($R$126="","",INDEX(전체채점!BL$3:BL$62,$R$126))</f>
        <v/>
      </c>
    </row>
    <row r="155">
      <c r="A155" s="50" t="inlineStr">
        <is>
          <t>문항 번호</t>
        </is>
      </c>
      <c r="B155" s="51" t="n">
        <v>16</v>
      </c>
      <c r="C155" s="51" t="n">
        <v>17</v>
      </c>
      <c r="D155" s="51" t="n">
        <v>18</v>
      </c>
      <c r="E155" s="51" t="n">
        <v>19</v>
      </c>
      <c r="F155" s="51" t="n">
        <v>20</v>
      </c>
      <c r="G155" s="51" t="n">
        <v>21</v>
      </c>
      <c r="H155" s="51" t="n">
        <v>22</v>
      </c>
      <c r="I155" s="51" t="n">
        <v>23</v>
      </c>
      <c r="J155" s="51" t="n">
        <v>24</v>
      </c>
      <c r="K155" s="51" t="n">
        <v>25</v>
      </c>
      <c r="L155" s="51" t="n">
        <v>26</v>
      </c>
      <c r="M155" s="51" t="n">
        <v>27</v>
      </c>
      <c r="N155" s="51" t="n">
        <v>28</v>
      </c>
      <c r="O155" s="51" t="n">
        <v>29</v>
      </c>
      <c r="P155" s="51" t="n">
        <v>30</v>
      </c>
    </row>
    <row r="156">
      <c r="A156" s="52" t="inlineStr">
        <is>
          <t>정답</t>
        </is>
      </c>
      <c r="B156" s="33">
        <f>IF($R$127="","",IF($R$127="언어와 매체",자동계산!$D$19,자동계산!$B$19))</f>
        <v/>
      </c>
      <c r="C156" s="33">
        <f>IF($R$127="","",IF($R$127="언어와 매체",자동계산!$D$20,자동계산!$B$20))</f>
        <v/>
      </c>
      <c r="D156" s="33">
        <f>IF($R$127="","",IF($R$127="언어와 매체",자동계산!$D$21,자동계산!$B$21))</f>
        <v/>
      </c>
      <c r="E156" s="33">
        <f>IF($R$127="","",IF($R$127="언어와 매체",자동계산!$D$22,자동계산!$B$22))</f>
        <v/>
      </c>
      <c r="F156" s="33">
        <f>IF($R$127="","",IF($R$127="언어와 매체",자동계산!$D$23,자동계산!$B$23))</f>
        <v/>
      </c>
      <c r="G156" s="33">
        <f>IF($R$127="","",IF($R$127="언어와 매체",자동계산!$D$24,자동계산!$B$24))</f>
        <v/>
      </c>
      <c r="H156" s="33">
        <f>IF($R$127="","",IF($R$127="언어와 매체",자동계산!$D$25,자동계산!$B$25))</f>
        <v/>
      </c>
      <c r="I156" s="33">
        <f>IF($R$127="","",IF($R$127="언어와 매체",자동계산!$D$26,자동계산!$B$26))</f>
        <v/>
      </c>
      <c r="J156" s="33">
        <f>IF($R$127="","",IF($R$127="언어와 매체",자동계산!$D$27,자동계산!$B$27))</f>
        <v/>
      </c>
      <c r="K156" s="33">
        <f>IF($R$127="","",IF($R$127="언어와 매체",자동계산!$D$28,자동계산!$B$28))</f>
        <v/>
      </c>
      <c r="L156" s="33">
        <f>IF($R$127="","",IF($R$127="언어와 매체",자동계산!$D$29,자동계산!$B$29))</f>
        <v/>
      </c>
      <c r="M156" s="33">
        <f>IF($R$127="","",IF($R$127="언어와 매체",자동계산!$D$30,자동계산!$B$30))</f>
        <v/>
      </c>
      <c r="N156" s="33">
        <f>IF($R$127="","",IF($R$127="언어와 매체",자동계산!$D$31,자동계산!$B$31))</f>
        <v/>
      </c>
      <c r="O156" s="33">
        <f>IF($R$127="","",IF($R$127="언어와 매체",자동계산!$D$32,자동계산!$B$32))</f>
        <v/>
      </c>
      <c r="P156" s="33">
        <f>IF($R$127="","",IF($R$127="언어와 매체",자동계산!$D$33,자동계산!$B$33))</f>
        <v/>
      </c>
    </row>
    <row r="157">
      <c r="A157" s="52" t="inlineStr">
        <is>
          <t>학생답안</t>
        </is>
      </c>
      <c r="B157" s="33">
        <f>IF($R$126="","",INDEX(전체채점!T$3:T$62,$R$126))</f>
        <v/>
      </c>
      <c r="C157" s="33">
        <f>IF($R$126="","",INDEX(전체채점!U$3:U$62,$R$126))</f>
        <v/>
      </c>
      <c r="D157" s="33">
        <f>IF($R$126="","",INDEX(전체채점!V$3:V$62,$R$126))</f>
        <v/>
      </c>
      <c r="E157" s="33">
        <f>IF($R$126="","",INDEX(전체채점!W$3:W$62,$R$126))</f>
        <v/>
      </c>
      <c r="F157" s="33">
        <f>IF($R$126="","",INDEX(전체채점!X$3:X$62,$R$126))</f>
        <v/>
      </c>
      <c r="G157" s="33">
        <f>IF($R$126="","",INDEX(전체채점!Y$3:Y$62,$R$126))</f>
        <v/>
      </c>
      <c r="H157" s="33">
        <f>IF($R$126="","",INDEX(전체채점!Z$3:Z$62,$R$126))</f>
        <v/>
      </c>
      <c r="I157" s="33">
        <f>IF($R$126="","",INDEX(전체채점!AA$3:AA$62,$R$126))</f>
        <v/>
      </c>
      <c r="J157" s="33">
        <f>IF($R$126="","",INDEX(전체채점!AB$3:AB$62,$R$126))</f>
        <v/>
      </c>
      <c r="K157" s="33">
        <f>IF($R$126="","",INDEX(전체채점!AC$3:AC$62,$R$126))</f>
        <v/>
      </c>
      <c r="L157" s="33">
        <f>IF($R$126="","",INDEX(전체채점!AD$3:AD$62,$R$126))</f>
        <v/>
      </c>
      <c r="M157" s="33">
        <f>IF($R$126="","",INDEX(전체채점!AE$3:AE$62,$R$126))</f>
        <v/>
      </c>
      <c r="N157" s="33">
        <f>IF($R$126="","",INDEX(전체채점!AF$3:AF$62,$R$126))</f>
        <v/>
      </c>
      <c r="O157" s="33">
        <f>IF($R$126="","",INDEX(전체채점!AG$3:AG$62,$R$126))</f>
        <v/>
      </c>
      <c r="P157" s="33">
        <f>IF($R$126="","",INDEX(전체채점!AH$3:AH$62,$R$126))</f>
        <v/>
      </c>
    </row>
    <row r="158">
      <c r="A158" s="52" t="inlineStr">
        <is>
          <t>정오</t>
        </is>
      </c>
      <c r="B158" s="33">
        <f>IF($R$126="","",INDEX(전체채점!BM$3:BM$62,$R$126))</f>
        <v/>
      </c>
      <c r="C158" s="33">
        <f>IF($R$126="","",INDEX(전체채점!BN$3:BN$62,$R$126))</f>
        <v/>
      </c>
      <c r="D158" s="33">
        <f>IF($R$126="","",INDEX(전체채점!BO$3:BO$62,$R$126))</f>
        <v/>
      </c>
      <c r="E158" s="33">
        <f>IF($R$126="","",INDEX(전체채점!BP$3:BP$62,$R$126))</f>
        <v/>
      </c>
      <c r="F158" s="33">
        <f>IF($R$126="","",INDEX(전체채점!BQ$3:BQ$62,$R$126))</f>
        <v/>
      </c>
      <c r="G158" s="33">
        <f>IF($R$126="","",INDEX(전체채점!BR$3:BR$62,$R$126))</f>
        <v/>
      </c>
      <c r="H158" s="33">
        <f>IF($R$126="","",INDEX(전체채점!BS$3:BS$62,$R$126))</f>
        <v/>
      </c>
      <c r="I158" s="33">
        <f>IF($R$126="","",INDEX(전체채점!BT$3:BT$62,$R$126))</f>
        <v/>
      </c>
      <c r="J158" s="33">
        <f>IF($R$126="","",INDEX(전체채점!BU$3:BU$62,$R$126))</f>
        <v/>
      </c>
      <c r="K158" s="33">
        <f>IF($R$126="","",INDEX(전체채점!BV$3:BV$62,$R$126))</f>
        <v/>
      </c>
      <c r="L158" s="33">
        <f>IF($R$126="","",INDEX(전체채점!BW$3:BW$62,$R$126))</f>
        <v/>
      </c>
      <c r="M158" s="33">
        <f>IF($R$126="","",INDEX(전체채점!BX$3:BX$62,$R$126))</f>
        <v/>
      </c>
      <c r="N158" s="33">
        <f>IF($R$126="","",INDEX(전체채점!BY$3:BY$62,$R$126))</f>
        <v/>
      </c>
      <c r="O158" s="33">
        <f>IF($R$126="","",INDEX(전체채점!BZ$3:BZ$62,$R$126))</f>
        <v/>
      </c>
      <c r="P158" s="33">
        <f>IF($R$126="","",INDEX(전체채점!CA$3:CA$62,$R$126))</f>
        <v/>
      </c>
    </row>
    <row r="159">
      <c r="A159" s="50" t="inlineStr">
        <is>
          <t>문항 번호</t>
        </is>
      </c>
      <c r="B159" s="51" t="n">
        <v>31</v>
      </c>
      <c r="C159" s="51" t="n">
        <v>32</v>
      </c>
      <c r="D159" s="51" t="n">
        <v>33</v>
      </c>
      <c r="E159" s="51" t="n">
        <v>34</v>
      </c>
      <c r="F159" s="51" t="n">
        <v>35</v>
      </c>
      <c r="G159" s="51" t="n">
        <v>36</v>
      </c>
      <c r="H159" s="51" t="n">
        <v>37</v>
      </c>
      <c r="I159" s="51" t="n">
        <v>38</v>
      </c>
      <c r="J159" s="51" t="n">
        <v>39</v>
      </c>
      <c r="K159" s="51" t="n">
        <v>40</v>
      </c>
      <c r="L159" s="51" t="n">
        <v>41</v>
      </c>
      <c r="M159" s="51" t="n">
        <v>42</v>
      </c>
      <c r="N159" s="51" t="n">
        <v>43</v>
      </c>
      <c r="O159" s="51" t="n">
        <v>44</v>
      </c>
      <c r="P159" s="51" t="n">
        <v>45</v>
      </c>
    </row>
    <row r="160">
      <c r="A160" s="52" t="inlineStr">
        <is>
          <t>정답</t>
        </is>
      </c>
      <c r="B160" s="33">
        <f>IF($R$127="","",IF($R$127="언어와 매체",자동계산!$D$34,자동계산!$B$34))</f>
        <v/>
      </c>
      <c r="C160" s="33">
        <f>IF($R$127="","",IF($R$127="언어와 매체",자동계산!$D$35,자동계산!$B$35))</f>
        <v/>
      </c>
      <c r="D160" s="33">
        <f>IF($R$127="","",IF($R$127="언어와 매체",자동계산!$D$36,자동계산!$B$36))</f>
        <v/>
      </c>
      <c r="E160" s="33">
        <f>IF($R$127="","",IF($R$127="언어와 매체",자동계산!$D$37,자동계산!$B$37))</f>
        <v/>
      </c>
      <c r="F160" s="33">
        <f>IF($R$127="","",IF($R$127="언어와 매체",자동계산!$D$38,자동계산!$B$38))</f>
        <v/>
      </c>
      <c r="G160" s="33">
        <f>IF($R$127="","",IF($R$127="언어와 매체",자동계산!$D$39,자동계산!$B$39))</f>
        <v/>
      </c>
      <c r="H160" s="33">
        <f>IF($R$127="","",IF($R$127="언어와 매체",자동계산!$D$40,자동계산!$B$40))</f>
        <v/>
      </c>
      <c r="I160" s="33">
        <f>IF($R$127="","",IF($R$127="언어와 매체",자동계산!$D$41,자동계산!$B$41))</f>
        <v/>
      </c>
      <c r="J160" s="33">
        <f>IF($R$127="","",IF($R$127="언어와 매체",자동계산!$D$42,자동계산!$B$42))</f>
        <v/>
      </c>
      <c r="K160" s="33">
        <f>IF($R$127="","",IF($R$127="언어와 매체",자동계산!$D$43,자동계산!$B$43))</f>
        <v/>
      </c>
      <c r="L160" s="33">
        <f>IF($R$127="","",IF($R$127="언어와 매체",자동계산!$D$44,자동계산!$B$44))</f>
        <v/>
      </c>
      <c r="M160" s="33">
        <f>IF($R$127="","",IF($R$127="언어와 매체",자동계산!$D$45,자동계산!$B$45))</f>
        <v/>
      </c>
      <c r="N160" s="33">
        <f>IF($R$127="","",IF($R$127="언어와 매체",자동계산!$D$46,자동계산!$B$46))</f>
        <v/>
      </c>
      <c r="O160" s="33">
        <f>IF($R$127="","",IF($R$127="언어와 매체",자동계산!$D$47,자동계산!$B$47))</f>
        <v/>
      </c>
      <c r="P160" s="33">
        <f>IF($R$127="","",IF($R$127="언어와 매체",자동계산!$D$48,자동계산!$B$48))</f>
        <v/>
      </c>
    </row>
    <row r="161">
      <c r="A161" s="52" t="inlineStr">
        <is>
          <t>학생답안</t>
        </is>
      </c>
      <c r="B161" s="33">
        <f>IF($R$126="","",INDEX(전체채점!AI$3:AI$62,$R$126))</f>
        <v/>
      </c>
      <c r="C161" s="33">
        <f>IF($R$126="","",INDEX(전체채점!AJ$3:AJ$62,$R$126))</f>
        <v/>
      </c>
      <c r="D161" s="33">
        <f>IF($R$126="","",INDEX(전체채점!AK$3:AK$62,$R$126))</f>
        <v/>
      </c>
      <c r="E161" s="33">
        <f>IF($R$126="","",INDEX(전체채점!AL$3:AL$62,$R$126))</f>
        <v/>
      </c>
      <c r="F161" s="33">
        <f>IF($R$126="","",INDEX(전체채점!AM$3:AM$62,$R$126))</f>
        <v/>
      </c>
      <c r="G161" s="33">
        <f>IF($R$126="","",INDEX(전체채점!AN$3:AN$62,$R$126))</f>
        <v/>
      </c>
      <c r="H161" s="33">
        <f>IF($R$126="","",INDEX(전체채점!AO$3:AO$62,$R$126))</f>
        <v/>
      </c>
      <c r="I161" s="33">
        <f>IF($R$126="","",INDEX(전체채점!AP$3:AP$62,$R$126))</f>
        <v/>
      </c>
      <c r="J161" s="33">
        <f>IF($R$126="","",INDEX(전체채점!AQ$3:AQ$62,$R$126))</f>
        <v/>
      </c>
      <c r="K161" s="33">
        <f>IF($R$126="","",INDEX(전체채점!AR$3:AR$62,$R$126))</f>
        <v/>
      </c>
      <c r="L161" s="33">
        <f>IF($R$126="","",INDEX(전체채점!AS$3:AS$62,$R$126))</f>
        <v/>
      </c>
      <c r="M161" s="33">
        <f>IF($R$126="","",INDEX(전체채점!AT$3:AT$62,$R$126))</f>
        <v/>
      </c>
      <c r="N161" s="33">
        <f>IF($R$126="","",INDEX(전체채점!AU$3:AU$62,$R$126))</f>
        <v/>
      </c>
      <c r="O161" s="33">
        <f>IF($R$126="","",INDEX(전체채점!AV$3:AV$62,$R$126))</f>
        <v/>
      </c>
      <c r="P161" s="33">
        <f>IF($R$126="","",INDEX(전체채점!AW$3:AW$62,$R$126))</f>
        <v/>
      </c>
    </row>
    <row r="162">
      <c r="A162" s="52" t="inlineStr">
        <is>
          <t>정오</t>
        </is>
      </c>
      <c r="B162" s="33">
        <f>IF($R$126="","",INDEX(전체채점!CB$3:CB$62,$R$126))</f>
        <v/>
      </c>
      <c r="C162" s="33">
        <f>IF($R$126="","",INDEX(전체채점!CC$3:CC$62,$R$126))</f>
        <v/>
      </c>
      <c r="D162" s="33">
        <f>IF($R$126="","",INDEX(전체채점!CD$3:CD$62,$R$126))</f>
        <v/>
      </c>
      <c r="E162" s="33">
        <f>IF($R$126="","",INDEX(전체채점!CE$3:CE$62,$R$126))</f>
        <v/>
      </c>
      <c r="F162" s="33">
        <f>IF($R$126="","",INDEX(전체채점!CF$3:CF$62,$R$126))</f>
        <v/>
      </c>
      <c r="G162" s="33">
        <f>IF($R$126="","",INDEX(전체채점!CG$3:CG$62,$R$126))</f>
        <v/>
      </c>
      <c r="H162" s="33">
        <f>IF($R$126="","",INDEX(전체채점!CH$3:CH$62,$R$126))</f>
        <v/>
      </c>
      <c r="I162" s="33">
        <f>IF($R$126="","",INDEX(전체채점!CI$3:CI$62,$R$126))</f>
        <v/>
      </c>
      <c r="J162" s="33">
        <f>IF($R$126="","",INDEX(전체채점!CJ$3:CJ$62,$R$126))</f>
        <v/>
      </c>
      <c r="K162" s="33">
        <f>IF($R$126="","",INDEX(전체채점!CK$3:CK$62,$R$126))</f>
        <v/>
      </c>
      <c r="L162" s="33">
        <f>IF($R$126="","",INDEX(전체채점!CL$3:CL$62,$R$126))</f>
        <v/>
      </c>
      <c r="M162" s="33">
        <f>IF($R$126="","",INDEX(전체채점!CM$3:CM$62,$R$126))</f>
        <v/>
      </c>
      <c r="N162" s="33">
        <f>IF($R$126="","",INDEX(전체채점!CN$3:CN$62,$R$126))</f>
        <v/>
      </c>
      <c r="O162" s="33">
        <f>IF($R$126="","",INDEX(전체채점!CO$3:CO$62,$R$126))</f>
        <v/>
      </c>
      <c r="P162" s="33">
        <f>IF($R$126="","",INDEX(전체채점!CP$3:CP$62,$R$126))</f>
        <v/>
      </c>
    </row>
    <row r="165" ht="34" customHeight="1">
      <c r="A165" s="36">
        <f>IF($R$167="","",회차설정!$B$2&amp;" 성적표")</f>
        <v/>
      </c>
    </row>
    <row r="167">
      <c r="A167" s="12" t="inlineStr">
        <is>
          <t>1. 학생정보</t>
        </is>
      </c>
      <c r="R167" s="37">
        <f>IF(답안입력!$A$7="","",5)</f>
        <v/>
      </c>
      <c r="S167" s="37">
        <f>IF($R$168="","",IFERROR(IF($R$168="언어와 매체",MATCH(1,회차설정!$G$13:$G$27,0),MATCH(1,회차설정!$F$13:$F$27,0)),""))</f>
        <v/>
      </c>
    </row>
    <row r="168">
      <c r="A168" s="13" t="inlineStr">
        <is>
          <t>성명</t>
        </is>
      </c>
      <c r="B168" s="7" t="n"/>
      <c r="C168" s="8" t="n"/>
      <c r="D168" s="13" t="inlineStr">
        <is>
          <t>선택과목</t>
        </is>
      </c>
      <c r="E168" s="7" t="n"/>
      <c r="F168" s="7" t="n"/>
      <c r="G168" s="8" t="n"/>
      <c r="H168" s="13" t="inlineStr">
        <is>
          <t>학년</t>
        </is>
      </c>
      <c r="I168" s="7" t="n"/>
      <c r="J168" s="7" t="n"/>
      <c r="K168" s="8" t="n"/>
      <c r="L168" s="13" t="inlineStr">
        <is>
          <t>시행일</t>
        </is>
      </c>
      <c r="M168" s="7" t="n"/>
      <c r="N168" s="7" t="n"/>
      <c r="O168" s="7" t="n"/>
      <c r="P168" s="8" t="n"/>
      <c r="R168" s="37">
        <f>IF($R$167="","",INDEX(전체채점!$B$3:$B$62,$R$167))</f>
        <v/>
      </c>
      <c r="S168" s="37">
        <f>IF($R$168="","",IFERROR(IF($R$168="언어와 매체",MATCH(2,회차설정!$G$13:$G$27,0),MATCH(2,회차설정!$F$13:$F$27,0)),""))</f>
        <v/>
      </c>
    </row>
    <row r="169" ht="26" customHeight="1">
      <c r="A169" s="39">
        <f>IF($R$167="","",INDEX(답안입력!$A$3:$A$62,$R$167))</f>
        <v/>
      </c>
      <c r="B169" s="7" t="n"/>
      <c r="C169" s="8" t="n"/>
      <c r="D169" s="39">
        <f>IF($R$167="","",INDEX(답안입력!$C$3:$C$62,$R$167))</f>
        <v/>
      </c>
      <c r="E169" s="7" t="n"/>
      <c r="F169" s="7" t="n"/>
      <c r="G169" s="8" t="n"/>
      <c r="H169" s="39">
        <f>IF($R$167="","",INDEX(답안입력!$B$3:$B$62,$R$167))</f>
        <v/>
      </c>
      <c r="I169" s="7" t="n"/>
      <c r="J169" s="7" t="n"/>
      <c r="K169" s="8" t="n"/>
      <c r="L169" s="40">
        <f>회차설정!$B$3</f>
        <v/>
      </c>
      <c r="M169" s="7" t="n"/>
      <c r="N169" s="7" t="n"/>
      <c r="O169" s="7" t="n"/>
      <c r="P169" s="8" t="n"/>
      <c r="R169" s="37">
        <f>IF($R$168="언어와 매체",회차설정!$B$9,회차설정!$B$8)</f>
        <v/>
      </c>
      <c r="S169" s="37">
        <f>IF($R$168="","",IFERROR(IF($R$168="언어와 매체",MATCH(3,회차설정!$G$13:$G$27,0),MATCH(3,회차설정!$F$13:$F$27,0)),""))</f>
        <v/>
      </c>
    </row>
    <row r="170">
      <c r="R170" s="37">
        <f>IF($R$168="언어와 매체",회차설정!$C$9,회차설정!$C$8)</f>
        <v/>
      </c>
      <c r="S170" s="37">
        <f>IF($R$168="","",IFERROR(IF($R$168="언어와 매체",MATCH(4,회차설정!$G$13:$G$27,0),MATCH(4,회차설정!$F$13:$F$27,0)),""))</f>
        <v/>
      </c>
    </row>
    <row r="171">
      <c r="A171" s="12" t="inlineStr">
        <is>
          <t>2. 성적</t>
        </is>
      </c>
      <c r="R171" s="37">
        <f>IF($R$168="언어와 매체",회차설정!$D$9,회차설정!$D$8)</f>
        <v/>
      </c>
      <c r="S171" s="37">
        <f>IF($R$168="","",IFERROR(IF($R$168="언어와 매체",MATCH(5,회차설정!$G$13:$G$27,0),MATCH(5,회차설정!$F$13:$F$27,0)),""))</f>
        <v/>
      </c>
    </row>
    <row r="172">
      <c r="A172" s="13" t="inlineStr">
        <is>
          <t>점수 (100점 만점)</t>
        </is>
      </c>
      <c r="B172" s="7" t="n"/>
      <c r="C172" s="7" t="n"/>
      <c r="D172" s="7" t="n"/>
      <c r="E172" s="8" t="n"/>
      <c r="F172" s="13" t="inlineStr">
        <is>
          <t>등급</t>
        </is>
      </c>
      <c r="G172" s="7" t="n"/>
      <c r="H172" s="8" t="n"/>
      <c r="I172" s="13" t="inlineStr">
        <is>
          <t>등급컷</t>
        </is>
      </c>
      <c r="J172" s="7" t="n"/>
      <c r="K172" s="7" t="n"/>
      <c r="L172" s="8" t="n"/>
      <c r="M172" s="13" t="inlineStr">
        <is>
          <t>같은 선택과목 평균</t>
        </is>
      </c>
      <c r="N172" s="7" t="n"/>
      <c r="O172" s="7" t="n"/>
      <c r="P172" s="8" t="n"/>
      <c r="R172" s="37">
        <f>IF($R$168="언어와 매체",회차설정!$E$9,회차설정!$E$8)</f>
        <v/>
      </c>
      <c r="S172" s="37">
        <f>IF($R$168="","",IFERROR(IF($R$168="언어와 매체",MATCH(6,회차설정!$G$13:$G$27,0),MATCH(6,회차설정!$F$13:$F$27,0)),""))</f>
        <v/>
      </c>
    </row>
    <row r="173" ht="34" customHeight="1">
      <c r="A173" s="41">
        <f>IF($R$167="","",INDEX(전체채점!$C$3:$C$62,$R$167))</f>
        <v/>
      </c>
      <c r="B173" s="7" t="n"/>
      <c r="C173" s="7" t="n"/>
      <c r="D173" s="7" t="n"/>
      <c r="E173" s="8" t="n"/>
      <c r="F173" s="42">
        <f>IF($R$167="","",INDEX(전체채점!$D$3:$D$62,$R$167))</f>
        <v/>
      </c>
      <c r="G173" s="7" t="n"/>
      <c r="H173" s="8" t="n"/>
      <c r="I173" s="43">
        <f>IF($R$167="","",$R$169&amp;"-"&amp;$R$170&amp;"-"&amp;$R$171&amp;"-"&amp;$R$172)</f>
        <v/>
      </c>
      <c r="J173" s="7" t="n"/>
      <c r="K173" s="7" t="n"/>
      <c r="L173" s="8" t="n"/>
      <c r="M173" s="44">
        <f>IFERROR(AVERAGEIF(전체채점!$B$3:$B$62,$R$168,전체채점!$C$3:$C$62),"")</f>
        <v/>
      </c>
      <c r="N173" s="7" t="n"/>
      <c r="O173" s="7" t="n"/>
      <c r="P173" s="8" t="n"/>
      <c r="S173" s="37">
        <f>IF($R$168="","",IFERROR(IF($R$168="언어와 매체",MATCH(7,회차설정!$G$13:$G$27,0),MATCH(7,회차설정!$F$13:$F$27,0)),""))</f>
        <v/>
      </c>
    </row>
    <row r="174">
      <c r="S174" s="37">
        <f>IF($R$168="","",IFERROR(IF($R$168="언어와 매체",MATCH(8,회차설정!$G$13:$G$27,0),MATCH(8,회차설정!$F$13:$F$27,0)),""))</f>
        <v/>
      </c>
    </row>
    <row r="175">
      <c r="A175" s="12" t="inlineStr">
        <is>
          <t>3. 영역분류별 성취도 분석</t>
        </is>
      </c>
      <c r="F175" s="45">
        <f>IF(OR($R$167="",$E189=""),"",IF($E189=INDEX(전체채점!$C$3:$C$62,$R$167),"","※ 회차설정의 영역 표를 확인하세요 — 영역 합계와 점수가 다릅니다"))</f>
        <v/>
      </c>
      <c r="S175" s="37">
        <f>IF($R$168="","",IFERROR(IF($R$168="언어와 매체",MATCH(9,회차설정!$G$13:$G$27,0),MATCH(9,회차설정!$F$13:$F$27,0)),""))</f>
        <v/>
      </c>
    </row>
    <row r="176">
      <c r="A176" s="13" t="inlineStr">
        <is>
          <t>분류</t>
        </is>
      </c>
      <c r="B176" s="13" t="inlineStr">
        <is>
          <t>영역</t>
        </is>
      </c>
      <c r="C176" s="8" t="n"/>
      <c r="D176" s="13" t="inlineStr">
        <is>
          <t>배점</t>
        </is>
      </c>
      <c r="E176" s="13" t="inlineStr">
        <is>
          <t>득점</t>
        </is>
      </c>
      <c r="F176" s="13" t="inlineStr">
        <is>
          <t>성취도(%)</t>
        </is>
      </c>
      <c r="G176" s="8" t="n"/>
      <c r="H176" s="13" t="inlineStr"/>
      <c r="I176" s="7" t="n"/>
      <c r="J176" s="7" t="n"/>
      <c r="K176" s="7" t="n"/>
      <c r="L176" s="7" t="n"/>
      <c r="M176" s="7" t="n"/>
      <c r="N176" s="7" t="n"/>
      <c r="O176" s="7" t="n"/>
      <c r="P176" s="8" t="n"/>
      <c r="S176" s="37">
        <f>IF($R$168="","",IFERROR(IF($R$168="언어와 매체",MATCH(10,회차설정!$G$13:$G$27,0),MATCH(10,회차설정!$F$13:$F$27,0)),""))</f>
        <v/>
      </c>
    </row>
    <row r="177">
      <c r="A177" s="14">
        <f>IF($S$167="","",INDEX(회차설정!$A$13:$A$27,$S$167))</f>
        <v/>
      </c>
      <c r="B177" s="14">
        <f>IF($S$167="","",INDEX(회차설정!$B$13:$B$27,$S$167))</f>
        <v/>
      </c>
      <c r="C177" s="8" t="n"/>
      <c r="D177" s="14">
        <f>IF($S$167="","",IF($R$168="언어와 매체",SUMPRODUCT((자동계산!$A$4:$A$48&gt;=INDEX(회차설정!$C$13:$C$27,$S$167))*(자동계산!$A$4:$A$48&lt;=INDEX(회차설정!$D$13:$D$27,$S$167))*자동계산!$E$4:$E$48),SUMPRODUCT((자동계산!$A$4:$A$48&gt;=INDEX(회차설정!$C$13:$C$27,$S$167))*(자동계산!$A$4:$A$48&lt;=INDEX(회차설정!$D$13:$D$27,$S$167))*자동계산!$C$4:$C$48)))</f>
        <v/>
      </c>
      <c r="E177" s="14">
        <f>IF(OR($S$167="",$R$167=""),"",SUM(OFFSET(전체채점!$AW$2,$R$167,INDEX(회차설정!$C$13:$C$27,$S$167),1,INDEX(회차설정!$D$13:$D$27,$S$167)-INDEX(회차설정!$C$13:$C$27,$S$167)+1)))</f>
        <v/>
      </c>
      <c r="F177" s="46">
        <f>IF(OR($S$167="",$D177=0,$D177="",$E177=""),"",$E177/$D177*100)</f>
        <v/>
      </c>
      <c r="G177" s="8" t="n"/>
      <c r="H177" s="47">
        <f>IF($F177="","",REPT("■",ROUND($F177/5,0)))</f>
        <v/>
      </c>
      <c r="I177" s="7" t="n"/>
      <c r="J177" s="7" t="n"/>
      <c r="K177" s="7" t="n"/>
      <c r="L177" s="7" t="n"/>
      <c r="M177" s="7" t="n"/>
      <c r="N177" s="7" t="n"/>
      <c r="O177" s="7" t="n"/>
      <c r="P177" s="8" t="n"/>
      <c r="S177" s="37">
        <f>IF($R$168="","",IFERROR(IF($R$168="언어와 매체",MATCH(11,회차설정!$G$13:$G$27,0),MATCH(11,회차설정!$F$13:$F$27,0)),""))</f>
        <v/>
      </c>
    </row>
    <row r="178">
      <c r="A178" s="14">
        <f>IF($S$168="","",INDEX(회차설정!$A$13:$A$27,$S$168))</f>
        <v/>
      </c>
      <c r="B178" s="14">
        <f>IF($S$168="","",INDEX(회차설정!$B$13:$B$27,$S$168))</f>
        <v/>
      </c>
      <c r="C178" s="8" t="n"/>
      <c r="D178" s="14">
        <f>IF($S$168="","",IF($R$168="언어와 매체",SUMPRODUCT((자동계산!$A$4:$A$48&gt;=INDEX(회차설정!$C$13:$C$27,$S$168))*(자동계산!$A$4:$A$48&lt;=INDEX(회차설정!$D$13:$D$27,$S$168))*자동계산!$E$4:$E$48),SUMPRODUCT((자동계산!$A$4:$A$48&gt;=INDEX(회차설정!$C$13:$C$27,$S$168))*(자동계산!$A$4:$A$48&lt;=INDEX(회차설정!$D$13:$D$27,$S$168))*자동계산!$C$4:$C$48)))</f>
        <v/>
      </c>
      <c r="E178" s="14">
        <f>IF(OR($S$168="",$R$167=""),"",SUM(OFFSET(전체채점!$AW$2,$R$167,INDEX(회차설정!$C$13:$C$27,$S$168),1,INDEX(회차설정!$D$13:$D$27,$S$168)-INDEX(회차설정!$C$13:$C$27,$S$168)+1)))</f>
        <v/>
      </c>
      <c r="F178" s="46">
        <f>IF(OR($S$168="",$D178=0,$D178="",$E178=""),"",$E178/$D178*100)</f>
        <v/>
      </c>
      <c r="G178" s="8" t="n"/>
      <c r="H178" s="47">
        <f>IF($F178="","",REPT("■",ROUND($F178/5,0)))</f>
        <v/>
      </c>
      <c r="I178" s="7" t="n"/>
      <c r="J178" s="7" t="n"/>
      <c r="K178" s="7" t="n"/>
      <c r="L178" s="7" t="n"/>
      <c r="M178" s="7" t="n"/>
      <c r="N178" s="7" t="n"/>
      <c r="O178" s="7" t="n"/>
      <c r="P178" s="8" t="n"/>
      <c r="S178" s="37">
        <f>IF($R$168="","",IFERROR(IF($R$168="언어와 매체",MATCH(12,회차설정!$G$13:$G$27,0),MATCH(12,회차설정!$F$13:$F$27,0)),""))</f>
        <v/>
      </c>
    </row>
    <row r="179">
      <c r="A179" s="14">
        <f>IF($S$169="","",INDEX(회차설정!$A$13:$A$27,$S$169))</f>
        <v/>
      </c>
      <c r="B179" s="14">
        <f>IF($S$169="","",INDEX(회차설정!$B$13:$B$27,$S$169))</f>
        <v/>
      </c>
      <c r="C179" s="8" t="n"/>
      <c r="D179" s="14">
        <f>IF($S$169="","",IF($R$168="언어와 매체",SUMPRODUCT((자동계산!$A$4:$A$48&gt;=INDEX(회차설정!$C$13:$C$27,$S$169))*(자동계산!$A$4:$A$48&lt;=INDEX(회차설정!$D$13:$D$27,$S$169))*자동계산!$E$4:$E$48),SUMPRODUCT((자동계산!$A$4:$A$48&gt;=INDEX(회차설정!$C$13:$C$27,$S$169))*(자동계산!$A$4:$A$48&lt;=INDEX(회차설정!$D$13:$D$27,$S$169))*자동계산!$C$4:$C$48)))</f>
        <v/>
      </c>
      <c r="E179" s="14">
        <f>IF(OR($S$169="",$R$167=""),"",SUM(OFFSET(전체채점!$AW$2,$R$167,INDEX(회차설정!$C$13:$C$27,$S$169),1,INDEX(회차설정!$D$13:$D$27,$S$169)-INDEX(회차설정!$C$13:$C$27,$S$169)+1)))</f>
        <v/>
      </c>
      <c r="F179" s="46">
        <f>IF(OR($S$169="",$D179=0,$D179="",$E179=""),"",$E179/$D179*100)</f>
        <v/>
      </c>
      <c r="G179" s="8" t="n"/>
      <c r="H179" s="47">
        <f>IF($F179="","",REPT("■",ROUND($F179/5,0)))</f>
        <v/>
      </c>
      <c r="I179" s="7" t="n"/>
      <c r="J179" s="7" t="n"/>
      <c r="K179" s="7" t="n"/>
      <c r="L179" s="7" t="n"/>
      <c r="M179" s="7" t="n"/>
      <c r="N179" s="7" t="n"/>
      <c r="O179" s="7" t="n"/>
      <c r="P179" s="8" t="n"/>
    </row>
    <row r="180">
      <c r="A180" s="14">
        <f>IF($S$170="","",INDEX(회차설정!$A$13:$A$27,$S$170))</f>
        <v/>
      </c>
      <c r="B180" s="14">
        <f>IF($S$170="","",INDEX(회차설정!$B$13:$B$27,$S$170))</f>
        <v/>
      </c>
      <c r="C180" s="8" t="n"/>
      <c r="D180" s="14">
        <f>IF($S$170="","",IF($R$168="언어와 매체",SUMPRODUCT((자동계산!$A$4:$A$48&gt;=INDEX(회차설정!$C$13:$C$27,$S$170))*(자동계산!$A$4:$A$48&lt;=INDEX(회차설정!$D$13:$D$27,$S$170))*자동계산!$E$4:$E$48),SUMPRODUCT((자동계산!$A$4:$A$48&gt;=INDEX(회차설정!$C$13:$C$27,$S$170))*(자동계산!$A$4:$A$48&lt;=INDEX(회차설정!$D$13:$D$27,$S$170))*자동계산!$C$4:$C$48)))</f>
        <v/>
      </c>
      <c r="E180" s="14">
        <f>IF(OR($S$170="",$R$167=""),"",SUM(OFFSET(전체채점!$AW$2,$R$167,INDEX(회차설정!$C$13:$C$27,$S$170),1,INDEX(회차설정!$D$13:$D$27,$S$170)-INDEX(회차설정!$C$13:$C$27,$S$170)+1)))</f>
        <v/>
      </c>
      <c r="F180" s="46">
        <f>IF(OR($S$170="",$D180=0,$D180="",$E180=""),"",$E180/$D180*100)</f>
        <v/>
      </c>
      <c r="G180" s="8" t="n"/>
      <c r="H180" s="47">
        <f>IF($F180="","",REPT("■",ROUND($F180/5,0)))</f>
        <v/>
      </c>
      <c r="I180" s="7" t="n"/>
      <c r="J180" s="7" t="n"/>
      <c r="K180" s="7" t="n"/>
      <c r="L180" s="7" t="n"/>
      <c r="M180" s="7" t="n"/>
      <c r="N180" s="7" t="n"/>
      <c r="O180" s="7" t="n"/>
      <c r="P180" s="8" t="n"/>
    </row>
    <row r="181">
      <c r="A181" s="14">
        <f>IF($S$171="","",INDEX(회차설정!$A$13:$A$27,$S$171))</f>
        <v/>
      </c>
      <c r="B181" s="14">
        <f>IF($S$171="","",INDEX(회차설정!$B$13:$B$27,$S$171))</f>
        <v/>
      </c>
      <c r="C181" s="8" t="n"/>
      <c r="D181" s="14">
        <f>IF($S$171="","",IF($R$168="언어와 매체",SUMPRODUCT((자동계산!$A$4:$A$48&gt;=INDEX(회차설정!$C$13:$C$27,$S$171))*(자동계산!$A$4:$A$48&lt;=INDEX(회차설정!$D$13:$D$27,$S$171))*자동계산!$E$4:$E$48),SUMPRODUCT((자동계산!$A$4:$A$48&gt;=INDEX(회차설정!$C$13:$C$27,$S$171))*(자동계산!$A$4:$A$48&lt;=INDEX(회차설정!$D$13:$D$27,$S$171))*자동계산!$C$4:$C$48)))</f>
        <v/>
      </c>
      <c r="E181" s="14">
        <f>IF(OR($S$171="",$R$167=""),"",SUM(OFFSET(전체채점!$AW$2,$R$167,INDEX(회차설정!$C$13:$C$27,$S$171),1,INDEX(회차설정!$D$13:$D$27,$S$171)-INDEX(회차설정!$C$13:$C$27,$S$171)+1)))</f>
        <v/>
      </c>
      <c r="F181" s="46">
        <f>IF(OR($S$171="",$D181=0,$D181="",$E181=""),"",$E181/$D181*100)</f>
        <v/>
      </c>
      <c r="G181" s="8" t="n"/>
      <c r="H181" s="47">
        <f>IF($F181="","",REPT("■",ROUND($F181/5,0)))</f>
        <v/>
      </c>
      <c r="I181" s="7" t="n"/>
      <c r="J181" s="7" t="n"/>
      <c r="K181" s="7" t="n"/>
      <c r="L181" s="7" t="n"/>
      <c r="M181" s="7" t="n"/>
      <c r="N181" s="7" t="n"/>
      <c r="O181" s="7" t="n"/>
      <c r="P181" s="8" t="n"/>
    </row>
    <row r="182">
      <c r="A182" s="14">
        <f>IF($S$172="","",INDEX(회차설정!$A$13:$A$27,$S$172))</f>
        <v/>
      </c>
      <c r="B182" s="14">
        <f>IF($S$172="","",INDEX(회차설정!$B$13:$B$27,$S$172))</f>
        <v/>
      </c>
      <c r="C182" s="8" t="n"/>
      <c r="D182" s="14">
        <f>IF($S$172="","",IF($R$168="언어와 매체",SUMPRODUCT((자동계산!$A$4:$A$48&gt;=INDEX(회차설정!$C$13:$C$27,$S$172))*(자동계산!$A$4:$A$48&lt;=INDEX(회차설정!$D$13:$D$27,$S$172))*자동계산!$E$4:$E$48),SUMPRODUCT((자동계산!$A$4:$A$48&gt;=INDEX(회차설정!$C$13:$C$27,$S$172))*(자동계산!$A$4:$A$48&lt;=INDEX(회차설정!$D$13:$D$27,$S$172))*자동계산!$C$4:$C$48)))</f>
        <v/>
      </c>
      <c r="E182" s="14">
        <f>IF(OR($S$172="",$R$167=""),"",SUM(OFFSET(전체채점!$AW$2,$R$167,INDEX(회차설정!$C$13:$C$27,$S$172),1,INDEX(회차설정!$D$13:$D$27,$S$172)-INDEX(회차설정!$C$13:$C$27,$S$172)+1)))</f>
        <v/>
      </c>
      <c r="F182" s="46">
        <f>IF(OR($S$172="",$D182=0,$D182="",$E182=""),"",$E182/$D182*100)</f>
        <v/>
      </c>
      <c r="G182" s="8" t="n"/>
      <c r="H182" s="47">
        <f>IF($F182="","",REPT("■",ROUND($F182/5,0)))</f>
        <v/>
      </c>
      <c r="I182" s="7" t="n"/>
      <c r="J182" s="7" t="n"/>
      <c r="K182" s="7" t="n"/>
      <c r="L182" s="7" t="n"/>
      <c r="M182" s="7" t="n"/>
      <c r="N182" s="7" t="n"/>
      <c r="O182" s="7" t="n"/>
      <c r="P182" s="8" t="n"/>
    </row>
    <row r="183">
      <c r="A183" s="14">
        <f>IF($S$173="","",INDEX(회차설정!$A$13:$A$27,$S$173))</f>
        <v/>
      </c>
      <c r="B183" s="14">
        <f>IF($S$173="","",INDEX(회차설정!$B$13:$B$27,$S$173))</f>
        <v/>
      </c>
      <c r="C183" s="8" t="n"/>
      <c r="D183" s="14">
        <f>IF($S$173="","",IF($R$168="언어와 매체",SUMPRODUCT((자동계산!$A$4:$A$48&gt;=INDEX(회차설정!$C$13:$C$27,$S$173))*(자동계산!$A$4:$A$48&lt;=INDEX(회차설정!$D$13:$D$27,$S$173))*자동계산!$E$4:$E$48),SUMPRODUCT((자동계산!$A$4:$A$48&gt;=INDEX(회차설정!$C$13:$C$27,$S$173))*(자동계산!$A$4:$A$48&lt;=INDEX(회차설정!$D$13:$D$27,$S$173))*자동계산!$C$4:$C$48)))</f>
        <v/>
      </c>
      <c r="E183" s="14">
        <f>IF(OR($S$173="",$R$167=""),"",SUM(OFFSET(전체채점!$AW$2,$R$167,INDEX(회차설정!$C$13:$C$27,$S$173),1,INDEX(회차설정!$D$13:$D$27,$S$173)-INDEX(회차설정!$C$13:$C$27,$S$173)+1)))</f>
        <v/>
      </c>
      <c r="F183" s="46">
        <f>IF(OR($S$173="",$D183=0,$D183="",$E183=""),"",$E183/$D183*100)</f>
        <v/>
      </c>
      <c r="G183" s="8" t="n"/>
      <c r="H183" s="47">
        <f>IF($F183="","",REPT("■",ROUND($F183/5,0)))</f>
        <v/>
      </c>
      <c r="I183" s="7" t="n"/>
      <c r="J183" s="7" t="n"/>
      <c r="K183" s="7" t="n"/>
      <c r="L183" s="7" t="n"/>
      <c r="M183" s="7" t="n"/>
      <c r="N183" s="7" t="n"/>
      <c r="O183" s="7" t="n"/>
      <c r="P183" s="8" t="n"/>
    </row>
    <row r="184">
      <c r="A184" s="14">
        <f>IF($S$174="","",INDEX(회차설정!$A$13:$A$27,$S$174))</f>
        <v/>
      </c>
      <c r="B184" s="14">
        <f>IF($S$174="","",INDEX(회차설정!$B$13:$B$27,$S$174))</f>
        <v/>
      </c>
      <c r="C184" s="8" t="n"/>
      <c r="D184" s="14">
        <f>IF($S$174="","",IF($R$168="언어와 매체",SUMPRODUCT((자동계산!$A$4:$A$48&gt;=INDEX(회차설정!$C$13:$C$27,$S$174))*(자동계산!$A$4:$A$48&lt;=INDEX(회차설정!$D$13:$D$27,$S$174))*자동계산!$E$4:$E$48),SUMPRODUCT((자동계산!$A$4:$A$48&gt;=INDEX(회차설정!$C$13:$C$27,$S$174))*(자동계산!$A$4:$A$48&lt;=INDEX(회차설정!$D$13:$D$27,$S$174))*자동계산!$C$4:$C$48)))</f>
        <v/>
      </c>
      <c r="E184" s="14">
        <f>IF(OR($S$174="",$R$167=""),"",SUM(OFFSET(전체채점!$AW$2,$R$167,INDEX(회차설정!$C$13:$C$27,$S$174),1,INDEX(회차설정!$D$13:$D$27,$S$174)-INDEX(회차설정!$C$13:$C$27,$S$174)+1)))</f>
        <v/>
      </c>
      <c r="F184" s="46">
        <f>IF(OR($S$174="",$D184=0,$D184="",$E184=""),"",$E184/$D184*100)</f>
        <v/>
      </c>
      <c r="G184" s="8" t="n"/>
      <c r="H184" s="47">
        <f>IF($F184="","",REPT("■",ROUND($F184/5,0)))</f>
        <v/>
      </c>
      <c r="I184" s="7" t="n"/>
      <c r="J184" s="7" t="n"/>
      <c r="K184" s="7" t="n"/>
      <c r="L184" s="7" t="n"/>
      <c r="M184" s="7" t="n"/>
      <c r="N184" s="7" t="n"/>
      <c r="O184" s="7" t="n"/>
      <c r="P184" s="8" t="n"/>
    </row>
    <row r="185">
      <c r="A185" s="14">
        <f>IF($S$175="","",INDEX(회차설정!$A$13:$A$27,$S$175))</f>
        <v/>
      </c>
      <c r="B185" s="14">
        <f>IF($S$175="","",INDEX(회차설정!$B$13:$B$27,$S$175))</f>
        <v/>
      </c>
      <c r="C185" s="8" t="n"/>
      <c r="D185" s="14">
        <f>IF($S$175="","",IF($R$168="언어와 매체",SUMPRODUCT((자동계산!$A$4:$A$48&gt;=INDEX(회차설정!$C$13:$C$27,$S$175))*(자동계산!$A$4:$A$48&lt;=INDEX(회차설정!$D$13:$D$27,$S$175))*자동계산!$E$4:$E$48),SUMPRODUCT((자동계산!$A$4:$A$48&gt;=INDEX(회차설정!$C$13:$C$27,$S$175))*(자동계산!$A$4:$A$48&lt;=INDEX(회차설정!$D$13:$D$27,$S$175))*자동계산!$C$4:$C$48)))</f>
        <v/>
      </c>
      <c r="E185" s="14">
        <f>IF(OR($S$175="",$R$167=""),"",SUM(OFFSET(전체채점!$AW$2,$R$167,INDEX(회차설정!$C$13:$C$27,$S$175),1,INDEX(회차설정!$D$13:$D$27,$S$175)-INDEX(회차설정!$C$13:$C$27,$S$175)+1)))</f>
        <v/>
      </c>
      <c r="F185" s="46">
        <f>IF(OR($S$175="",$D185=0,$D185="",$E185=""),"",$E185/$D185*100)</f>
        <v/>
      </c>
      <c r="G185" s="8" t="n"/>
      <c r="H185" s="47">
        <f>IF($F185="","",REPT("■",ROUND($F185/5,0)))</f>
        <v/>
      </c>
      <c r="I185" s="7" t="n"/>
      <c r="J185" s="7" t="n"/>
      <c r="K185" s="7" t="n"/>
      <c r="L185" s="7" t="n"/>
      <c r="M185" s="7" t="n"/>
      <c r="N185" s="7" t="n"/>
      <c r="O185" s="7" t="n"/>
      <c r="P185" s="8" t="n"/>
    </row>
    <row r="186">
      <c r="A186" s="14">
        <f>IF($S$176="","",INDEX(회차설정!$A$13:$A$27,$S$176))</f>
        <v/>
      </c>
      <c r="B186" s="14">
        <f>IF($S$176="","",INDEX(회차설정!$B$13:$B$27,$S$176))</f>
        <v/>
      </c>
      <c r="C186" s="8" t="n"/>
      <c r="D186" s="14">
        <f>IF($S$176="","",IF($R$168="언어와 매체",SUMPRODUCT((자동계산!$A$4:$A$48&gt;=INDEX(회차설정!$C$13:$C$27,$S$176))*(자동계산!$A$4:$A$48&lt;=INDEX(회차설정!$D$13:$D$27,$S$176))*자동계산!$E$4:$E$48),SUMPRODUCT((자동계산!$A$4:$A$48&gt;=INDEX(회차설정!$C$13:$C$27,$S$176))*(자동계산!$A$4:$A$48&lt;=INDEX(회차설정!$D$13:$D$27,$S$176))*자동계산!$C$4:$C$48)))</f>
        <v/>
      </c>
      <c r="E186" s="14">
        <f>IF(OR($S$176="",$R$167=""),"",SUM(OFFSET(전체채점!$AW$2,$R$167,INDEX(회차설정!$C$13:$C$27,$S$176),1,INDEX(회차설정!$D$13:$D$27,$S$176)-INDEX(회차설정!$C$13:$C$27,$S$176)+1)))</f>
        <v/>
      </c>
      <c r="F186" s="46">
        <f>IF(OR($S$176="",$D186=0,$D186="",$E186=""),"",$E186/$D186*100)</f>
        <v/>
      </c>
      <c r="G186" s="8" t="n"/>
      <c r="H186" s="47">
        <f>IF($F186="","",REPT("■",ROUND($F186/5,0)))</f>
        <v/>
      </c>
      <c r="I186" s="7" t="n"/>
      <c r="J186" s="7" t="n"/>
      <c r="K186" s="7" t="n"/>
      <c r="L186" s="7" t="n"/>
      <c r="M186" s="7" t="n"/>
      <c r="N186" s="7" t="n"/>
      <c r="O186" s="7" t="n"/>
      <c r="P186" s="8" t="n"/>
    </row>
    <row r="187">
      <c r="A187" s="14">
        <f>IF($S$177="","",INDEX(회차설정!$A$13:$A$27,$S$177))</f>
        <v/>
      </c>
      <c r="B187" s="14">
        <f>IF($S$177="","",INDEX(회차설정!$B$13:$B$27,$S$177))</f>
        <v/>
      </c>
      <c r="C187" s="8" t="n"/>
      <c r="D187" s="14">
        <f>IF($S$177="","",IF($R$168="언어와 매체",SUMPRODUCT((자동계산!$A$4:$A$48&gt;=INDEX(회차설정!$C$13:$C$27,$S$177))*(자동계산!$A$4:$A$48&lt;=INDEX(회차설정!$D$13:$D$27,$S$177))*자동계산!$E$4:$E$48),SUMPRODUCT((자동계산!$A$4:$A$48&gt;=INDEX(회차설정!$C$13:$C$27,$S$177))*(자동계산!$A$4:$A$48&lt;=INDEX(회차설정!$D$13:$D$27,$S$177))*자동계산!$C$4:$C$48)))</f>
        <v/>
      </c>
      <c r="E187" s="14">
        <f>IF(OR($S$177="",$R$167=""),"",SUM(OFFSET(전체채점!$AW$2,$R$167,INDEX(회차설정!$C$13:$C$27,$S$177),1,INDEX(회차설정!$D$13:$D$27,$S$177)-INDEX(회차설정!$C$13:$C$27,$S$177)+1)))</f>
        <v/>
      </c>
      <c r="F187" s="46">
        <f>IF(OR($S$177="",$D187=0,$D187="",$E187=""),"",$E187/$D187*100)</f>
        <v/>
      </c>
      <c r="G187" s="8" t="n"/>
      <c r="H187" s="47">
        <f>IF($F187="","",REPT("■",ROUND($F187/5,0)))</f>
        <v/>
      </c>
      <c r="I187" s="7" t="n"/>
      <c r="J187" s="7" t="n"/>
      <c r="K187" s="7" t="n"/>
      <c r="L187" s="7" t="n"/>
      <c r="M187" s="7" t="n"/>
      <c r="N187" s="7" t="n"/>
      <c r="O187" s="7" t="n"/>
      <c r="P187" s="8" t="n"/>
    </row>
    <row r="188">
      <c r="A188" s="14">
        <f>IF($S$178="","",INDEX(회차설정!$A$13:$A$27,$S$178))</f>
        <v/>
      </c>
      <c r="B188" s="14">
        <f>IF($S$178="","",INDEX(회차설정!$B$13:$B$27,$S$178))</f>
        <v/>
      </c>
      <c r="C188" s="8" t="n"/>
      <c r="D188" s="14">
        <f>IF($S$178="","",IF($R$168="언어와 매체",SUMPRODUCT((자동계산!$A$4:$A$48&gt;=INDEX(회차설정!$C$13:$C$27,$S$178))*(자동계산!$A$4:$A$48&lt;=INDEX(회차설정!$D$13:$D$27,$S$178))*자동계산!$E$4:$E$48),SUMPRODUCT((자동계산!$A$4:$A$48&gt;=INDEX(회차설정!$C$13:$C$27,$S$178))*(자동계산!$A$4:$A$48&lt;=INDEX(회차설정!$D$13:$D$27,$S$178))*자동계산!$C$4:$C$48)))</f>
        <v/>
      </c>
      <c r="E188" s="14">
        <f>IF(OR($S$178="",$R$167=""),"",SUM(OFFSET(전체채점!$AW$2,$R$167,INDEX(회차설정!$C$13:$C$27,$S$178),1,INDEX(회차설정!$D$13:$D$27,$S$178)-INDEX(회차설정!$C$13:$C$27,$S$178)+1)))</f>
        <v/>
      </c>
      <c r="F188" s="46">
        <f>IF(OR($S$178="",$D188=0,$D188="",$E188=""),"",$E188/$D188*100)</f>
        <v/>
      </c>
      <c r="G188" s="8" t="n"/>
      <c r="H188" s="47">
        <f>IF($F188="","",REPT("■",ROUND($F188/5,0)))</f>
        <v/>
      </c>
      <c r="I188" s="7" t="n"/>
      <c r="J188" s="7" t="n"/>
      <c r="K188" s="7" t="n"/>
      <c r="L188" s="7" t="n"/>
      <c r="M188" s="7" t="n"/>
      <c r="N188" s="7" t="n"/>
      <c r="O188" s="7" t="n"/>
      <c r="P188" s="8" t="n"/>
    </row>
    <row r="189">
      <c r="A189" s="5">
        <f>IF($R$167="","","합계")</f>
        <v/>
      </c>
      <c r="B189" s="7" t="n"/>
      <c r="C189" s="8" t="n"/>
      <c r="D189" s="5">
        <f>IF($R$167="","",SUM(D177:D188))</f>
        <v/>
      </c>
      <c r="E189" s="5">
        <f>IF($R$167="","",SUM(E177:E188))</f>
        <v/>
      </c>
      <c r="F189" s="48">
        <f>IF(OR($D189=0,$D189=""),"",$E189/$D189*100)</f>
        <v/>
      </c>
      <c r="G189" s="8" t="n"/>
      <c r="H189" s="49">
        <f>IF($F189="","",REPT("■",ROUND($F189/5,0)))</f>
        <v/>
      </c>
      <c r="I189" s="7" t="n"/>
      <c r="J189" s="7" t="n"/>
      <c r="K189" s="7" t="n"/>
      <c r="L189" s="7" t="n"/>
      <c r="M189" s="7" t="n"/>
      <c r="N189" s="7" t="n"/>
      <c r="O189" s="7" t="n"/>
      <c r="P189" s="8" t="n"/>
    </row>
    <row r="191">
      <c r="A191" s="12" t="inlineStr">
        <is>
          <t>4. 문항 채점표</t>
        </is>
      </c>
    </row>
    <row r="192">
      <c r="A192" s="50" t="inlineStr">
        <is>
          <t>문항 번호</t>
        </is>
      </c>
      <c r="B192" s="51" t="n">
        <v>1</v>
      </c>
      <c r="C192" s="51" t="n">
        <v>2</v>
      </c>
      <c r="D192" s="51" t="n">
        <v>3</v>
      </c>
      <c r="E192" s="51" t="n">
        <v>4</v>
      </c>
      <c r="F192" s="51" t="n">
        <v>5</v>
      </c>
      <c r="G192" s="51" t="n">
        <v>6</v>
      </c>
      <c r="H192" s="51" t="n">
        <v>7</v>
      </c>
      <c r="I192" s="51" t="n">
        <v>8</v>
      </c>
      <c r="J192" s="51" t="n">
        <v>9</v>
      </c>
      <c r="K192" s="51" t="n">
        <v>10</v>
      </c>
      <c r="L192" s="51" t="n">
        <v>11</v>
      </c>
      <c r="M192" s="51" t="n">
        <v>12</v>
      </c>
      <c r="N192" s="51" t="n">
        <v>13</v>
      </c>
      <c r="O192" s="51" t="n">
        <v>14</v>
      </c>
      <c r="P192" s="51" t="n">
        <v>15</v>
      </c>
    </row>
    <row r="193">
      <c r="A193" s="52" t="inlineStr">
        <is>
          <t>정답</t>
        </is>
      </c>
      <c r="B193" s="33">
        <f>IF($R$168="","",IF($R$168="언어와 매체",자동계산!$D$4,자동계산!$B$4))</f>
        <v/>
      </c>
      <c r="C193" s="33">
        <f>IF($R$168="","",IF($R$168="언어와 매체",자동계산!$D$5,자동계산!$B$5))</f>
        <v/>
      </c>
      <c r="D193" s="33">
        <f>IF($R$168="","",IF($R$168="언어와 매체",자동계산!$D$6,자동계산!$B$6))</f>
        <v/>
      </c>
      <c r="E193" s="33">
        <f>IF($R$168="","",IF($R$168="언어와 매체",자동계산!$D$7,자동계산!$B$7))</f>
        <v/>
      </c>
      <c r="F193" s="33">
        <f>IF($R$168="","",IF($R$168="언어와 매체",자동계산!$D$8,자동계산!$B$8))</f>
        <v/>
      </c>
      <c r="G193" s="33">
        <f>IF($R$168="","",IF($R$168="언어와 매체",자동계산!$D$9,자동계산!$B$9))</f>
        <v/>
      </c>
      <c r="H193" s="33">
        <f>IF($R$168="","",IF($R$168="언어와 매체",자동계산!$D$10,자동계산!$B$10))</f>
        <v/>
      </c>
      <c r="I193" s="33">
        <f>IF($R$168="","",IF($R$168="언어와 매체",자동계산!$D$11,자동계산!$B$11))</f>
        <v/>
      </c>
      <c r="J193" s="33">
        <f>IF($R$168="","",IF($R$168="언어와 매체",자동계산!$D$12,자동계산!$B$12))</f>
        <v/>
      </c>
      <c r="K193" s="33">
        <f>IF($R$168="","",IF($R$168="언어와 매체",자동계산!$D$13,자동계산!$B$13))</f>
        <v/>
      </c>
      <c r="L193" s="33">
        <f>IF($R$168="","",IF($R$168="언어와 매체",자동계산!$D$14,자동계산!$B$14))</f>
        <v/>
      </c>
      <c r="M193" s="33">
        <f>IF($R$168="","",IF($R$168="언어와 매체",자동계산!$D$15,자동계산!$B$15))</f>
        <v/>
      </c>
      <c r="N193" s="33">
        <f>IF($R$168="","",IF($R$168="언어와 매체",자동계산!$D$16,자동계산!$B$16))</f>
        <v/>
      </c>
      <c r="O193" s="33">
        <f>IF($R$168="","",IF($R$168="언어와 매체",자동계산!$D$17,자동계산!$B$17))</f>
        <v/>
      </c>
      <c r="P193" s="33">
        <f>IF($R$168="","",IF($R$168="언어와 매체",자동계산!$D$18,자동계산!$B$18))</f>
        <v/>
      </c>
    </row>
    <row r="194">
      <c r="A194" s="52" t="inlineStr">
        <is>
          <t>학생답안</t>
        </is>
      </c>
      <c r="B194" s="33">
        <f>IF($R$167="","",INDEX(전체채점!E$3:E$62,$R$167))</f>
        <v/>
      </c>
      <c r="C194" s="33">
        <f>IF($R$167="","",INDEX(전체채점!F$3:F$62,$R$167))</f>
        <v/>
      </c>
      <c r="D194" s="33">
        <f>IF($R$167="","",INDEX(전체채점!G$3:G$62,$R$167))</f>
        <v/>
      </c>
      <c r="E194" s="33">
        <f>IF($R$167="","",INDEX(전체채점!H$3:H$62,$R$167))</f>
        <v/>
      </c>
      <c r="F194" s="33">
        <f>IF($R$167="","",INDEX(전체채점!I$3:I$62,$R$167))</f>
        <v/>
      </c>
      <c r="G194" s="33">
        <f>IF($R$167="","",INDEX(전체채점!J$3:J$62,$R$167))</f>
        <v/>
      </c>
      <c r="H194" s="33">
        <f>IF($R$167="","",INDEX(전체채점!K$3:K$62,$R$167))</f>
        <v/>
      </c>
      <c r="I194" s="33">
        <f>IF($R$167="","",INDEX(전체채점!L$3:L$62,$R$167))</f>
        <v/>
      </c>
      <c r="J194" s="33">
        <f>IF($R$167="","",INDEX(전체채점!M$3:M$62,$R$167))</f>
        <v/>
      </c>
      <c r="K194" s="33">
        <f>IF($R$167="","",INDEX(전체채점!N$3:N$62,$R$167))</f>
        <v/>
      </c>
      <c r="L194" s="33">
        <f>IF($R$167="","",INDEX(전체채점!O$3:O$62,$R$167))</f>
        <v/>
      </c>
      <c r="M194" s="33">
        <f>IF($R$167="","",INDEX(전체채점!P$3:P$62,$R$167))</f>
        <v/>
      </c>
      <c r="N194" s="33">
        <f>IF($R$167="","",INDEX(전체채점!Q$3:Q$62,$R$167))</f>
        <v/>
      </c>
      <c r="O194" s="33">
        <f>IF($R$167="","",INDEX(전체채점!R$3:R$62,$R$167))</f>
        <v/>
      </c>
      <c r="P194" s="33">
        <f>IF($R$167="","",INDEX(전체채점!S$3:S$62,$R$167))</f>
        <v/>
      </c>
    </row>
    <row r="195">
      <c r="A195" s="52" t="inlineStr">
        <is>
          <t>정오</t>
        </is>
      </c>
      <c r="B195" s="33">
        <f>IF($R$167="","",INDEX(전체채점!AX$3:AX$62,$R$167))</f>
        <v/>
      </c>
      <c r="C195" s="33">
        <f>IF($R$167="","",INDEX(전체채점!AY$3:AY$62,$R$167))</f>
        <v/>
      </c>
      <c r="D195" s="33">
        <f>IF($R$167="","",INDEX(전체채점!AZ$3:AZ$62,$R$167))</f>
        <v/>
      </c>
      <c r="E195" s="33">
        <f>IF($R$167="","",INDEX(전체채점!BA$3:BA$62,$R$167))</f>
        <v/>
      </c>
      <c r="F195" s="33">
        <f>IF($R$167="","",INDEX(전체채점!BB$3:BB$62,$R$167))</f>
        <v/>
      </c>
      <c r="G195" s="33">
        <f>IF($R$167="","",INDEX(전체채점!BC$3:BC$62,$R$167))</f>
        <v/>
      </c>
      <c r="H195" s="33">
        <f>IF($R$167="","",INDEX(전체채점!BD$3:BD$62,$R$167))</f>
        <v/>
      </c>
      <c r="I195" s="33">
        <f>IF($R$167="","",INDEX(전체채점!BE$3:BE$62,$R$167))</f>
        <v/>
      </c>
      <c r="J195" s="33">
        <f>IF($R$167="","",INDEX(전체채점!BF$3:BF$62,$R$167))</f>
        <v/>
      </c>
      <c r="K195" s="33">
        <f>IF($R$167="","",INDEX(전체채점!BG$3:BG$62,$R$167))</f>
        <v/>
      </c>
      <c r="L195" s="33">
        <f>IF($R$167="","",INDEX(전체채점!BH$3:BH$62,$R$167))</f>
        <v/>
      </c>
      <c r="M195" s="33">
        <f>IF($R$167="","",INDEX(전체채점!BI$3:BI$62,$R$167))</f>
        <v/>
      </c>
      <c r="N195" s="33">
        <f>IF($R$167="","",INDEX(전체채점!BJ$3:BJ$62,$R$167))</f>
        <v/>
      </c>
      <c r="O195" s="33">
        <f>IF($R$167="","",INDEX(전체채점!BK$3:BK$62,$R$167))</f>
        <v/>
      </c>
      <c r="P195" s="33">
        <f>IF($R$167="","",INDEX(전체채점!BL$3:BL$62,$R$167))</f>
        <v/>
      </c>
    </row>
    <row r="196">
      <c r="A196" s="50" t="inlineStr">
        <is>
          <t>문항 번호</t>
        </is>
      </c>
      <c r="B196" s="51" t="n">
        <v>16</v>
      </c>
      <c r="C196" s="51" t="n">
        <v>17</v>
      </c>
      <c r="D196" s="51" t="n">
        <v>18</v>
      </c>
      <c r="E196" s="51" t="n">
        <v>19</v>
      </c>
      <c r="F196" s="51" t="n">
        <v>20</v>
      </c>
      <c r="G196" s="51" t="n">
        <v>21</v>
      </c>
      <c r="H196" s="51" t="n">
        <v>22</v>
      </c>
      <c r="I196" s="51" t="n">
        <v>23</v>
      </c>
      <c r="J196" s="51" t="n">
        <v>24</v>
      </c>
      <c r="K196" s="51" t="n">
        <v>25</v>
      </c>
      <c r="L196" s="51" t="n">
        <v>26</v>
      </c>
      <c r="M196" s="51" t="n">
        <v>27</v>
      </c>
      <c r="N196" s="51" t="n">
        <v>28</v>
      </c>
      <c r="O196" s="51" t="n">
        <v>29</v>
      </c>
      <c r="P196" s="51" t="n">
        <v>30</v>
      </c>
    </row>
    <row r="197">
      <c r="A197" s="52" t="inlineStr">
        <is>
          <t>정답</t>
        </is>
      </c>
      <c r="B197" s="33">
        <f>IF($R$168="","",IF($R$168="언어와 매체",자동계산!$D$19,자동계산!$B$19))</f>
        <v/>
      </c>
      <c r="C197" s="33">
        <f>IF($R$168="","",IF($R$168="언어와 매체",자동계산!$D$20,자동계산!$B$20))</f>
        <v/>
      </c>
      <c r="D197" s="33">
        <f>IF($R$168="","",IF($R$168="언어와 매체",자동계산!$D$21,자동계산!$B$21))</f>
        <v/>
      </c>
      <c r="E197" s="33">
        <f>IF($R$168="","",IF($R$168="언어와 매체",자동계산!$D$22,자동계산!$B$22))</f>
        <v/>
      </c>
      <c r="F197" s="33">
        <f>IF($R$168="","",IF($R$168="언어와 매체",자동계산!$D$23,자동계산!$B$23))</f>
        <v/>
      </c>
      <c r="G197" s="33">
        <f>IF($R$168="","",IF($R$168="언어와 매체",자동계산!$D$24,자동계산!$B$24))</f>
        <v/>
      </c>
      <c r="H197" s="33">
        <f>IF($R$168="","",IF($R$168="언어와 매체",자동계산!$D$25,자동계산!$B$25))</f>
        <v/>
      </c>
      <c r="I197" s="33">
        <f>IF($R$168="","",IF($R$168="언어와 매체",자동계산!$D$26,자동계산!$B$26))</f>
        <v/>
      </c>
      <c r="J197" s="33">
        <f>IF($R$168="","",IF($R$168="언어와 매체",자동계산!$D$27,자동계산!$B$27))</f>
        <v/>
      </c>
      <c r="K197" s="33">
        <f>IF($R$168="","",IF($R$168="언어와 매체",자동계산!$D$28,자동계산!$B$28))</f>
        <v/>
      </c>
      <c r="L197" s="33">
        <f>IF($R$168="","",IF($R$168="언어와 매체",자동계산!$D$29,자동계산!$B$29))</f>
        <v/>
      </c>
      <c r="M197" s="33">
        <f>IF($R$168="","",IF($R$168="언어와 매체",자동계산!$D$30,자동계산!$B$30))</f>
        <v/>
      </c>
      <c r="N197" s="33">
        <f>IF($R$168="","",IF($R$168="언어와 매체",자동계산!$D$31,자동계산!$B$31))</f>
        <v/>
      </c>
      <c r="O197" s="33">
        <f>IF($R$168="","",IF($R$168="언어와 매체",자동계산!$D$32,자동계산!$B$32))</f>
        <v/>
      </c>
      <c r="P197" s="33">
        <f>IF($R$168="","",IF($R$168="언어와 매체",자동계산!$D$33,자동계산!$B$33))</f>
        <v/>
      </c>
    </row>
    <row r="198">
      <c r="A198" s="52" t="inlineStr">
        <is>
          <t>학생답안</t>
        </is>
      </c>
      <c r="B198" s="33">
        <f>IF($R$167="","",INDEX(전체채점!T$3:T$62,$R$167))</f>
        <v/>
      </c>
      <c r="C198" s="33">
        <f>IF($R$167="","",INDEX(전체채점!U$3:U$62,$R$167))</f>
        <v/>
      </c>
      <c r="D198" s="33">
        <f>IF($R$167="","",INDEX(전체채점!V$3:V$62,$R$167))</f>
        <v/>
      </c>
      <c r="E198" s="33">
        <f>IF($R$167="","",INDEX(전체채점!W$3:W$62,$R$167))</f>
        <v/>
      </c>
      <c r="F198" s="33">
        <f>IF($R$167="","",INDEX(전체채점!X$3:X$62,$R$167))</f>
        <v/>
      </c>
      <c r="G198" s="33">
        <f>IF($R$167="","",INDEX(전체채점!Y$3:Y$62,$R$167))</f>
        <v/>
      </c>
      <c r="H198" s="33">
        <f>IF($R$167="","",INDEX(전체채점!Z$3:Z$62,$R$167))</f>
        <v/>
      </c>
      <c r="I198" s="33">
        <f>IF($R$167="","",INDEX(전체채점!AA$3:AA$62,$R$167))</f>
        <v/>
      </c>
      <c r="J198" s="33">
        <f>IF($R$167="","",INDEX(전체채점!AB$3:AB$62,$R$167))</f>
        <v/>
      </c>
      <c r="K198" s="33">
        <f>IF($R$167="","",INDEX(전체채점!AC$3:AC$62,$R$167))</f>
        <v/>
      </c>
      <c r="L198" s="33">
        <f>IF($R$167="","",INDEX(전체채점!AD$3:AD$62,$R$167))</f>
        <v/>
      </c>
      <c r="M198" s="33">
        <f>IF($R$167="","",INDEX(전체채점!AE$3:AE$62,$R$167))</f>
        <v/>
      </c>
      <c r="N198" s="33">
        <f>IF($R$167="","",INDEX(전체채점!AF$3:AF$62,$R$167))</f>
        <v/>
      </c>
      <c r="O198" s="33">
        <f>IF($R$167="","",INDEX(전체채점!AG$3:AG$62,$R$167))</f>
        <v/>
      </c>
      <c r="P198" s="33">
        <f>IF($R$167="","",INDEX(전체채점!AH$3:AH$62,$R$167))</f>
        <v/>
      </c>
    </row>
    <row r="199">
      <c r="A199" s="52" t="inlineStr">
        <is>
          <t>정오</t>
        </is>
      </c>
      <c r="B199" s="33">
        <f>IF($R$167="","",INDEX(전체채점!BM$3:BM$62,$R$167))</f>
        <v/>
      </c>
      <c r="C199" s="33">
        <f>IF($R$167="","",INDEX(전체채점!BN$3:BN$62,$R$167))</f>
        <v/>
      </c>
      <c r="D199" s="33">
        <f>IF($R$167="","",INDEX(전체채점!BO$3:BO$62,$R$167))</f>
        <v/>
      </c>
      <c r="E199" s="33">
        <f>IF($R$167="","",INDEX(전체채점!BP$3:BP$62,$R$167))</f>
        <v/>
      </c>
      <c r="F199" s="33">
        <f>IF($R$167="","",INDEX(전체채점!BQ$3:BQ$62,$R$167))</f>
        <v/>
      </c>
      <c r="G199" s="33">
        <f>IF($R$167="","",INDEX(전체채점!BR$3:BR$62,$R$167))</f>
        <v/>
      </c>
      <c r="H199" s="33">
        <f>IF($R$167="","",INDEX(전체채점!BS$3:BS$62,$R$167))</f>
        <v/>
      </c>
      <c r="I199" s="33">
        <f>IF($R$167="","",INDEX(전체채점!BT$3:BT$62,$R$167))</f>
        <v/>
      </c>
      <c r="J199" s="33">
        <f>IF($R$167="","",INDEX(전체채점!BU$3:BU$62,$R$167))</f>
        <v/>
      </c>
      <c r="K199" s="33">
        <f>IF($R$167="","",INDEX(전체채점!BV$3:BV$62,$R$167))</f>
        <v/>
      </c>
      <c r="L199" s="33">
        <f>IF($R$167="","",INDEX(전체채점!BW$3:BW$62,$R$167))</f>
        <v/>
      </c>
      <c r="M199" s="33">
        <f>IF($R$167="","",INDEX(전체채점!BX$3:BX$62,$R$167))</f>
        <v/>
      </c>
      <c r="N199" s="33">
        <f>IF($R$167="","",INDEX(전체채점!BY$3:BY$62,$R$167))</f>
        <v/>
      </c>
      <c r="O199" s="33">
        <f>IF($R$167="","",INDEX(전체채점!BZ$3:BZ$62,$R$167))</f>
        <v/>
      </c>
      <c r="P199" s="33">
        <f>IF($R$167="","",INDEX(전체채점!CA$3:CA$62,$R$167))</f>
        <v/>
      </c>
    </row>
    <row r="200">
      <c r="A200" s="50" t="inlineStr">
        <is>
          <t>문항 번호</t>
        </is>
      </c>
      <c r="B200" s="51" t="n">
        <v>31</v>
      </c>
      <c r="C200" s="51" t="n">
        <v>32</v>
      </c>
      <c r="D200" s="51" t="n">
        <v>33</v>
      </c>
      <c r="E200" s="51" t="n">
        <v>34</v>
      </c>
      <c r="F200" s="51" t="n">
        <v>35</v>
      </c>
      <c r="G200" s="51" t="n">
        <v>36</v>
      </c>
      <c r="H200" s="51" t="n">
        <v>37</v>
      </c>
      <c r="I200" s="51" t="n">
        <v>38</v>
      </c>
      <c r="J200" s="51" t="n">
        <v>39</v>
      </c>
      <c r="K200" s="51" t="n">
        <v>40</v>
      </c>
      <c r="L200" s="51" t="n">
        <v>41</v>
      </c>
      <c r="M200" s="51" t="n">
        <v>42</v>
      </c>
      <c r="N200" s="51" t="n">
        <v>43</v>
      </c>
      <c r="O200" s="51" t="n">
        <v>44</v>
      </c>
      <c r="P200" s="51" t="n">
        <v>45</v>
      </c>
    </row>
    <row r="201">
      <c r="A201" s="52" t="inlineStr">
        <is>
          <t>정답</t>
        </is>
      </c>
      <c r="B201" s="33">
        <f>IF($R$168="","",IF($R$168="언어와 매체",자동계산!$D$34,자동계산!$B$34))</f>
        <v/>
      </c>
      <c r="C201" s="33">
        <f>IF($R$168="","",IF($R$168="언어와 매체",자동계산!$D$35,자동계산!$B$35))</f>
        <v/>
      </c>
      <c r="D201" s="33">
        <f>IF($R$168="","",IF($R$168="언어와 매체",자동계산!$D$36,자동계산!$B$36))</f>
        <v/>
      </c>
      <c r="E201" s="33">
        <f>IF($R$168="","",IF($R$168="언어와 매체",자동계산!$D$37,자동계산!$B$37))</f>
        <v/>
      </c>
      <c r="F201" s="33">
        <f>IF($R$168="","",IF($R$168="언어와 매체",자동계산!$D$38,자동계산!$B$38))</f>
        <v/>
      </c>
      <c r="G201" s="33">
        <f>IF($R$168="","",IF($R$168="언어와 매체",자동계산!$D$39,자동계산!$B$39))</f>
        <v/>
      </c>
      <c r="H201" s="33">
        <f>IF($R$168="","",IF($R$168="언어와 매체",자동계산!$D$40,자동계산!$B$40))</f>
        <v/>
      </c>
      <c r="I201" s="33">
        <f>IF($R$168="","",IF($R$168="언어와 매체",자동계산!$D$41,자동계산!$B$41))</f>
        <v/>
      </c>
      <c r="J201" s="33">
        <f>IF($R$168="","",IF($R$168="언어와 매체",자동계산!$D$42,자동계산!$B$42))</f>
        <v/>
      </c>
      <c r="K201" s="33">
        <f>IF($R$168="","",IF($R$168="언어와 매체",자동계산!$D$43,자동계산!$B$43))</f>
        <v/>
      </c>
      <c r="L201" s="33">
        <f>IF($R$168="","",IF($R$168="언어와 매체",자동계산!$D$44,자동계산!$B$44))</f>
        <v/>
      </c>
      <c r="M201" s="33">
        <f>IF($R$168="","",IF($R$168="언어와 매체",자동계산!$D$45,자동계산!$B$45))</f>
        <v/>
      </c>
      <c r="N201" s="33">
        <f>IF($R$168="","",IF($R$168="언어와 매체",자동계산!$D$46,자동계산!$B$46))</f>
        <v/>
      </c>
      <c r="O201" s="33">
        <f>IF($R$168="","",IF($R$168="언어와 매체",자동계산!$D$47,자동계산!$B$47))</f>
        <v/>
      </c>
      <c r="P201" s="33">
        <f>IF($R$168="","",IF($R$168="언어와 매체",자동계산!$D$48,자동계산!$B$48))</f>
        <v/>
      </c>
    </row>
    <row r="202">
      <c r="A202" s="52" t="inlineStr">
        <is>
          <t>학생답안</t>
        </is>
      </c>
      <c r="B202" s="33">
        <f>IF($R$167="","",INDEX(전체채점!AI$3:AI$62,$R$167))</f>
        <v/>
      </c>
      <c r="C202" s="33">
        <f>IF($R$167="","",INDEX(전체채점!AJ$3:AJ$62,$R$167))</f>
        <v/>
      </c>
      <c r="D202" s="33">
        <f>IF($R$167="","",INDEX(전체채점!AK$3:AK$62,$R$167))</f>
        <v/>
      </c>
      <c r="E202" s="33">
        <f>IF($R$167="","",INDEX(전체채점!AL$3:AL$62,$R$167))</f>
        <v/>
      </c>
      <c r="F202" s="33">
        <f>IF($R$167="","",INDEX(전체채점!AM$3:AM$62,$R$167))</f>
        <v/>
      </c>
      <c r="G202" s="33">
        <f>IF($R$167="","",INDEX(전체채점!AN$3:AN$62,$R$167))</f>
        <v/>
      </c>
      <c r="H202" s="33">
        <f>IF($R$167="","",INDEX(전체채점!AO$3:AO$62,$R$167))</f>
        <v/>
      </c>
      <c r="I202" s="33">
        <f>IF($R$167="","",INDEX(전체채점!AP$3:AP$62,$R$167))</f>
        <v/>
      </c>
      <c r="J202" s="33">
        <f>IF($R$167="","",INDEX(전체채점!AQ$3:AQ$62,$R$167))</f>
        <v/>
      </c>
      <c r="K202" s="33">
        <f>IF($R$167="","",INDEX(전체채점!AR$3:AR$62,$R$167))</f>
        <v/>
      </c>
      <c r="L202" s="33">
        <f>IF($R$167="","",INDEX(전체채점!AS$3:AS$62,$R$167))</f>
        <v/>
      </c>
      <c r="M202" s="33">
        <f>IF($R$167="","",INDEX(전체채점!AT$3:AT$62,$R$167))</f>
        <v/>
      </c>
      <c r="N202" s="33">
        <f>IF($R$167="","",INDEX(전체채점!AU$3:AU$62,$R$167))</f>
        <v/>
      </c>
      <c r="O202" s="33">
        <f>IF($R$167="","",INDEX(전체채점!AV$3:AV$62,$R$167))</f>
        <v/>
      </c>
      <c r="P202" s="33">
        <f>IF($R$167="","",INDEX(전체채점!AW$3:AW$62,$R$167))</f>
        <v/>
      </c>
    </row>
    <row r="203">
      <c r="A203" s="52" t="inlineStr">
        <is>
          <t>정오</t>
        </is>
      </c>
      <c r="B203" s="33">
        <f>IF($R$167="","",INDEX(전체채점!CB$3:CB$62,$R$167))</f>
        <v/>
      </c>
      <c r="C203" s="33">
        <f>IF($R$167="","",INDEX(전체채점!CC$3:CC$62,$R$167))</f>
        <v/>
      </c>
      <c r="D203" s="33">
        <f>IF($R$167="","",INDEX(전체채점!CD$3:CD$62,$R$167))</f>
        <v/>
      </c>
      <c r="E203" s="33">
        <f>IF($R$167="","",INDEX(전체채점!CE$3:CE$62,$R$167))</f>
        <v/>
      </c>
      <c r="F203" s="33">
        <f>IF($R$167="","",INDEX(전체채점!CF$3:CF$62,$R$167))</f>
        <v/>
      </c>
      <c r="G203" s="33">
        <f>IF($R$167="","",INDEX(전체채점!CG$3:CG$62,$R$167))</f>
        <v/>
      </c>
      <c r="H203" s="33">
        <f>IF($R$167="","",INDEX(전체채점!CH$3:CH$62,$R$167))</f>
        <v/>
      </c>
      <c r="I203" s="33">
        <f>IF($R$167="","",INDEX(전체채점!CI$3:CI$62,$R$167))</f>
        <v/>
      </c>
      <c r="J203" s="33">
        <f>IF($R$167="","",INDEX(전체채점!CJ$3:CJ$62,$R$167))</f>
        <v/>
      </c>
      <c r="K203" s="33">
        <f>IF($R$167="","",INDEX(전체채점!CK$3:CK$62,$R$167))</f>
        <v/>
      </c>
      <c r="L203" s="33">
        <f>IF($R$167="","",INDEX(전체채점!CL$3:CL$62,$R$167))</f>
        <v/>
      </c>
      <c r="M203" s="33">
        <f>IF($R$167="","",INDEX(전체채점!CM$3:CM$62,$R$167))</f>
        <v/>
      </c>
      <c r="N203" s="33">
        <f>IF($R$167="","",INDEX(전체채점!CN$3:CN$62,$R$167))</f>
        <v/>
      </c>
      <c r="O203" s="33">
        <f>IF($R$167="","",INDEX(전체채점!CO$3:CO$62,$R$167))</f>
        <v/>
      </c>
      <c r="P203" s="33">
        <f>IF($R$167="","",INDEX(전체채점!CP$3:CP$62,$R$167))</f>
        <v/>
      </c>
    </row>
    <row r="206" ht="34" customHeight="1">
      <c r="A206" s="36">
        <f>IF($R$208="","",회차설정!$B$2&amp;" 성적표")</f>
        <v/>
      </c>
    </row>
    <row r="208">
      <c r="A208" s="12" t="inlineStr">
        <is>
          <t>1. 학생정보</t>
        </is>
      </c>
      <c r="R208" s="37">
        <f>IF(답안입력!$A$8="","",6)</f>
        <v/>
      </c>
      <c r="S208" s="37">
        <f>IF($R$209="","",IFERROR(IF($R$209="언어와 매체",MATCH(1,회차설정!$G$13:$G$27,0),MATCH(1,회차설정!$F$13:$F$27,0)),""))</f>
        <v/>
      </c>
    </row>
    <row r="209">
      <c r="A209" s="13" t="inlineStr">
        <is>
          <t>성명</t>
        </is>
      </c>
      <c r="B209" s="7" t="n"/>
      <c r="C209" s="8" t="n"/>
      <c r="D209" s="13" t="inlineStr">
        <is>
          <t>선택과목</t>
        </is>
      </c>
      <c r="E209" s="7" t="n"/>
      <c r="F209" s="7" t="n"/>
      <c r="G209" s="8" t="n"/>
      <c r="H209" s="13" t="inlineStr">
        <is>
          <t>학년</t>
        </is>
      </c>
      <c r="I209" s="7" t="n"/>
      <c r="J209" s="7" t="n"/>
      <c r="K209" s="8" t="n"/>
      <c r="L209" s="13" t="inlineStr">
        <is>
          <t>시행일</t>
        </is>
      </c>
      <c r="M209" s="7" t="n"/>
      <c r="N209" s="7" t="n"/>
      <c r="O209" s="7" t="n"/>
      <c r="P209" s="8" t="n"/>
      <c r="R209" s="37">
        <f>IF($R$208="","",INDEX(전체채점!$B$3:$B$62,$R$208))</f>
        <v/>
      </c>
      <c r="S209" s="37">
        <f>IF($R$209="","",IFERROR(IF($R$209="언어와 매체",MATCH(2,회차설정!$G$13:$G$27,0),MATCH(2,회차설정!$F$13:$F$27,0)),""))</f>
        <v/>
      </c>
    </row>
    <row r="210" ht="26" customHeight="1">
      <c r="A210" s="39">
        <f>IF($R$208="","",INDEX(답안입력!$A$3:$A$62,$R$208))</f>
        <v/>
      </c>
      <c r="B210" s="7" t="n"/>
      <c r="C210" s="8" t="n"/>
      <c r="D210" s="39">
        <f>IF($R$208="","",INDEX(답안입력!$C$3:$C$62,$R$208))</f>
        <v/>
      </c>
      <c r="E210" s="7" t="n"/>
      <c r="F210" s="7" t="n"/>
      <c r="G210" s="8" t="n"/>
      <c r="H210" s="39">
        <f>IF($R$208="","",INDEX(답안입력!$B$3:$B$62,$R$208))</f>
        <v/>
      </c>
      <c r="I210" s="7" t="n"/>
      <c r="J210" s="7" t="n"/>
      <c r="K210" s="8" t="n"/>
      <c r="L210" s="40">
        <f>회차설정!$B$3</f>
        <v/>
      </c>
      <c r="M210" s="7" t="n"/>
      <c r="N210" s="7" t="n"/>
      <c r="O210" s="7" t="n"/>
      <c r="P210" s="8" t="n"/>
      <c r="R210" s="37">
        <f>IF($R$209="언어와 매체",회차설정!$B$9,회차설정!$B$8)</f>
        <v/>
      </c>
      <c r="S210" s="37">
        <f>IF($R$209="","",IFERROR(IF($R$209="언어와 매체",MATCH(3,회차설정!$G$13:$G$27,0),MATCH(3,회차설정!$F$13:$F$27,0)),""))</f>
        <v/>
      </c>
    </row>
    <row r="211">
      <c r="R211" s="37">
        <f>IF($R$209="언어와 매체",회차설정!$C$9,회차설정!$C$8)</f>
        <v/>
      </c>
      <c r="S211" s="37">
        <f>IF($R$209="","",IFERROR(IF($R$209="언어와 매체",MATCH(4,회차설정!$G$13:$G$27,0),MATCH(4,회차설정!$F$13:$F$27,0)),""))</f>
        <v/>
      </c>
    </row>
    <row r="212">
      <c r="A212" s="12" t="inlineStr">
        <is>
          <t>2. 성적</t>
        </is>
      </c>
      <c r="R212" s="37">
        <f>IF($R$209="언어와 매체",회차설정!$D$9,회차설정!$D$8)</f>
        <v/>
      </c>
      <c r="S212" s="37">
        <f>IF($R$209="","",IFERROR(IF($R$209="언어와 매체",MATCH(5,회차설정!$G$13:$G$27,0),MATCH(5,회차설정!$F$13:$F$27,0)),""))</f>
        <v/>
      </c>
    </row>
    <row r="213">
      <c r="A213" s="13" t="inlineStr">
        <is>
          <t>점수 (100점 만점)</t>
        </is>
      </c>
      <c r="B213" s="7" t="n"/>
      <c r="C213" s="7" t="n"/>
      <c r="D213" s="7" t="n"/>
      <c r="E213" s="8" t="n"/>
      <c r="F213" s="13" t="inlineStr">
        <is>
          <t>등급</t>
        </is>
      </c>
      <c r="G213" s="7" t="n"/>
      <c r="H213" s="8" t="n"/>
      <c r="I213" s="13" t="inlineStr">
        <is>
          <t>등급컷</t>
        </is>
      </c>
      <c r="J213" s="7" t="n"/>
      <c r="K213" s="7" t="n"/>
      <c r="L213" s="8" t="n"/>
      <c r="M213" s="13" t="inlineStr">
        <is>
          <t>같은 선택과목 평균</t>
        </is>
      </c>
      <c r="N213" s="7" t="n"/>
      <c r="O213" s="7" t="n"/>
      <c r="P213" s="8" t="n"/>
      <c r="R213" s="37">
        <f>IF($R$209="언어와 매체",회차설정!$E$9,회차설정!$E$8)</f>
        <v/>
      </c>
      <c r="S213" s="37">
        <f>IF($R$209="","",IFERROR(IF($R$209="언어와 매체",MATCH(6,회차설정!$G$13:$G$27,0),MATCH(6,회차설정!$F$13:$F$27,0)),""))</f>
        <v/>
      </c>
    </row>
    <row r="214" ht="34" customHeight="1">
      <c r="A214" s="41">
        <f>IF($R$208="","",INDEX(전체채점!$C$3:$C$62,$R$208))</f>
        <v/>
      </c>
      <c r="B214" s="7" t="n"/>
      <c r="C214" s="7" t="n"/>
      <c r="D214" s="7" t="n"/>
      <c r="E214" s="8" t="n"/>
      <c r="F214" s="42">
        <f>IF($R$208="","",INDEX(전체채점!$D$3:$D$62,$R$208))</f>
        <v/>
      </c>
      <c r="G214" s="7" t="n"/>
      <c r="H214" s="8" t="n"/>
      <c r="I214" s="43">
        <f>IF($R$208="","",$R$210&amp;"-"&amp;$R$211&amp;"-"&amp;$R$212&amp;"-"&amp;$R$213)</f>
        <v/>
      </c>
      <c r="J214" s="7" t="n"/>
      <c r="K214" s="7" t="n"/>
      <c r="L214" s="8" t="n"/>
      <c r="M214" s="44">
        <f>IFERROR(AVERAGEIF(전체채점!$B$3:$B$62,$R$209,전체채점!$C$3:$C$62),"")</f>
        <v/>
      </c>
      <c r="N214" s="7" t="n"/>
      <c r="O214" s="7" t="n"/>
      <c r="P214" s="8" t="n"/>
      <c r="S214" s="37">
        <f>IF($R$209="","",IFERROR(IF($R$209="언어와 매체",MATCH(7,회차설정!$G$13:$G$27,0),MATCH(7,회차설정!$F$13:$F$27,0)),""))</f>
        <v/>
      </c>
    </row>
    <row r="215">
      <c r="S215" s="37">
        <f>IF($R$209="","",IFERROR(IF($R$209="언어와 매체",MATCH(8,회차설정!$G$13:$G$27,0),MATCH(8,회차설정!$F$13:$F$27,0)),""))</f>
        <v/>
      </c>
    </row>
    <row r="216">
      <c r="A216" s="12" t="inlineStr">
        <is>
          <t>3. 영역분류별 성취도 분석</t>
        </is>
      </c>
      <c r="F216" s="45">
        <f>IF(OR($R$208="",$E230=""),"",IF($E230=INDEX(전체채점!$C$3:$C$62,$R$208),"","※ 회차설정의 영역 표를 확인하세요 — 영역 합계와 점수가 다릅니다"))</f>
        <v/>
      </c>
      <c r="S216" s="37">
        <f>IF($R$209="","",IFERROR(IF($R$209="언어와 매체",MATCH(9,회차설정!$G$13:$G$27,0),MATCH(9,회차설정!$F$13:$F$27,0)),""))</f>
        <v/>
      </c>
    </row>
    <row r="217">
      <c r="A217" s="13" t="inlineStr">
        <is>
          <t>분류</t>
        </is>
      </c>
      <c r="B217" s="13" t="inlineStr">
        <is>
          <t>영역</t>
        </is>
      </c>
      <c r="C217" s="8" t="n"/>
      <c r="D217" s="13" t="inlineStr">
        <is>
          <t>배점</t>
        </is>
      </c>
      <c r="E217" s="13" t="inlineStr">
        <is>
          <t>득점</t>
        </is>
      </c>
      <c r="F217" s="13" t="inlineStr">
        <is>
          <t>성취도(%)</t>
        </is>
      </c>
      <c r="G217" s="8" t="n"/>
      <c r="H217" s="13" t="inlineStr"/>
      <c r="I217" s="7" t="n"/>
      <c r="J217" s="7" t="n"/>
      <c r="K217" s="7" t="n"/>
      <c r="L217" s="7" t="n"/>
      <c r="M217" s="7" t="n"/>
      <c r="N217" s="7" t="n"/>
      <c r="O217" s="7" t="n"/>
      <c r="P217" s="8" t="n"/>
      <c r="S217" s="37">
        <f>IF($R$209="","",IFERROR(IF($R$209="언어와 매체",MATCH(10,회차설정!$G$13:$G$27,0),MATCH(10,회차설정!$F$13:$F$27,0)),""))</f>
        <v/>
      </c>
    </row>
    <row r="218">
      <c r="A218" s="14">
        <f>IF($S$208="","",INDEX(회차설정!$A$13:$A$27,$S$208))</f>
        <v/>
      </c>
      <c r="B218" s="14">
        <f>IF($S$208="","",INDEX(회차설정!$B$13:$B$27,$S$208))</f>
        <v/>
      </c>
      <c r="C218" s="8" t="n"/>
      <c r="D218" s="14">
        <f>IF($S$208="","",IF($R$209="언어와 매체",SUMPRODUCT((자동계산!$A$4:$A$48&gt;=INDEX(회차설정!$C$13:$C$27,$S$208))*(자동계산!$A$4:$A$48&lt;=INDEX(회차설정!$D$13:$D$27,$S$208))*자동계산!$E$4:$E$48),SUMPRODUCT((자동계산!$A$4:$A$48&gt;=INDEX(회차설정!$C$13:$C$27,$S$208))*(자동계산!$A$4:$A$48&lt;=INDEX(회차설정!$D$13:$D$27,$S$208))*자동계산!$C$4:$C$48)))</f>
        <v/>
      </c>
      <c r="E218" s="14">
        <f>IF(OR($S$208="",$R$208=""),"",SUM(OFFSET(전체채점!$AW$2,$R$208,INDEX(회차설정!$C$13:$C$27,$S$208),1,INDEX(회차설정!$D$13:$D$27,$S$208)-INDEX(회차설정!$C$13:$C$27,$S$208)+1)))</f>
        <v/>
      </c>
      <c r="F218" s="46">
        <f>IF(OR($S$208="",$D218=0,$D218="",$E218=""),"",$E218/$D218*100)</f>
        <v/>
      </c>
      <c r="G218" s="8" t="n"/>
      <c r="H218" s="47">
        <f>IF($F218="","",REPT("■",ROUND($F218/5,0)))</f>
        <v/>
      </c>
      <c r="I218" s="7" t="n"/>
      <c r="J218" s="7" t="n"/>
      <c r="K218" s="7" t="n"/>
      <c r="L218" s="7" t="n"/>
      <c r="M218" s="7" t="n"/>
      <c r="N218" s="7" t="n"/>
      <c r="O218" s="7" t="n"/>
      <c r="P218" s="8" t="n"/>
      <c r="S218" s="37">
        <f>IF($R$209="","",IFERROR(IF($R$209="언어와 매체",MATCH(11,회차설정!$G$13:$G$27,0),MATCH(11,회차설정!$F$13:$F$27,0)),""))</f>
        <v/>
      </c>
    </row>
    <row r="219">
      <c r="A219" s="14">
        <f>IF($S$209="","",INDEX(회차설정!$A$13:$A$27,$S$209))</f>
        <v/>
      </c>
      <c r="B219" s="14">
        <f>IF($S$209="","",INDEX(회차설정!$B$13:$B$27,$S$209))</f>
        <v/>
      </c>
      <c r="C219" s="8" t="n"/>
      <c r="D219" s="14">
        <f>IF($S$209="","",IF($R$209="언어와 매체",SUMPRODUCT((자동계산!$A$4:$A$48&gt;=INDEX(회차설정!$C$13:$C$27,$S$209))*(자동계산!$A$4:$A$48&lt;=INDEX(회차설정!$D$13:$D$27,$S$209))*자동계산!$E$4:$E$48),SUMPRODUCT((자동계산!$A$4:$A$48&gt;=INDEX(회차설정!$C$13:$C$27,$S$209))*(자동계산!$A$4:$A$48&lt;=INDEX(회차설정!$D$13:$D$27,$S$209))*자동계산!$C$4:$C$48)))</f>
        <v/>
      </c>
      <c r="E219" s="14">
        <f>IF(OR($S$209="",$R$208=""),"",SUM(OFFSET(전체채점!$AW$2,$R$208,INDEX(회차설정!$C$13:$C$27,$S$209),1,INDEX(회차설정!$D$13:$D$27,$S$209)-INDEX(회차설정!$C$13:$C$27,$S$209)+1)))</f>
        <v/>
      </c>
      <c r="F219" s="46">
        <f>IF(OR($S$209="",$D219=0,$D219="",$E219=""),"",$E219/$D219*100)</f>
        <v/>
      </c>
      <c r="G219" s="8" t="n"/>
      <c r="H219" s="47">
        <f>IF($F219="","",REPT("■",ROUND($F219/5,0)))</f>
        <v/>
      </c>
      <c r="I219" s="7" t="n"/>
      <c r="J219" s="7" t="n"/>
      <c r="K219" s="7" t="n"/>
      <c r="L219" s="7" t="n"/>
      <c r="M219" s="7" t="n"/>
      <c r="N219" s="7" t="n"/>
      <c r="O219" s="7" t="n"/>
      <c r="P219" s="8" t="n"/>
      <c r="S219" s="37">
        <f>IF($R$209="","",IFERROR(IF($R$209="언어와 매체",MATCH(12,회차설정!$G$13:$G$27,0),MATCH(12,회차설정!$F$13:$F$27,0)),""))</f>
        <v/>
      </c>
    </row>
    <row r="220">
      <c r="A220" s="14">
        <f>IF($S$210="","",INDEX(회차설정!$A$13:$A$27,$S$210))</f>
        <v/>
      </c>
      <c r="B220" s="14">
        <f>IF($S$210="","",INDEX(회차설정!$B$13:$B$27,$S$210))</f>
        <v/>
      </c>
      <c r="C220" s="8" t="n"/>
      <c r="D220" s="14">
        <f>IF($S$210="","",IF($R$209="언어와 매체",SUMPRODUCT((자동계산!$A$4:$A$48&gt;=INDEX(회차설정!$C$13:$C$27,$S$210))*(자동계산!$A$4:$A$48&lt;=INDEX(회차설정!$D$13:$D$27,$S$210))*자동계산!$E$4:$E$48),SUMPRODUCT((자동계산!$A$4:$A$48&gt;=INDEX(회차설정!$C$13:$C$27,$S$210))*(자동계산!$A$4:$A$48&lt;=INDEX(회차설정!$D$13:$D$27,$S$210))*자동계산!$C$4:$C$48)))</f>
        <v/>
      </c>
      <c r="E220" s="14">
        <f>IF(OR($S$210="",$R$208=""),"",SUM(OFFSET(전체채점!$AW$2,$R$208,INDEX(회차설정!$C$13:$C$27,$S$210),1,INDEX(회차설정!$D$13:$D$27,$S$210)-INDEX(회차설정!$C$13:$C$27,$S$210)+1)))</f>
        <v/>
      </c>
      <c r="F220" s="46">
        <f>IF(OR($S$210="",$D220=0,$D220="",$E220=""),"",$E220/$D220*100)</f>
        <v/>
      </c>
      <c r="G220" s="8" t="n"/>
      <c r="H220" s="47">
        <f>IF($F220="","",REPT("■",ROUND($F220/5,0)))</f>
        <v/>
      </c>
      <c r="I220" s="7" t="n"/>
      <c r="J220" s="7" t="n"/>
      <c r="K220" s="7" t="n"/>
      <c r="L220" s="7" t="n"/>
      <c r="M220" s="7" t="n"/>
      <c r="N220" s="7" t="n"/>
      <c r="O220" s="7" t="n"/>
      <c r="P220" s="8" t="n"/>
    </row>
    <row r="221">
      <c r="A221" s="14">
        <f>IF($S$211="","",INDEX(회차설정!$A$13:$A$27,$S$211))</f>
        <v/>
      </c>
      <c r="B221" s="14">
        <f>IF($S$211="","",INDEX(회차설정!$B$13:$B$27,$S$211))</f>
        <v/>
      </c>
      <c r="C221" s="8" t="n"/>
      <c r="D221" s="14">
        <f>IF($S$211="","",IF($R$209="언어와 매체",SUMPRODUCT((자동계산!$A$4:$A$48&gt;=INDEX(회차설정!$C$13:$C$27,$S$211))*(자동계산!$A$4:$A$48&lt;=INDEX(회차설정!$D$13:$D$27,$S$211))*자동계산!$E$4:$E$48),SUMPRODUCT((자동계산!$A$4:$A$48&gt;=INDEX(회차설정!$C$13:$C$27,$S$211))*(자동계산!$A$4:$A$48&lt;=INDEX(회차설정!$D$13:$D$27,$S$211))*자동계산!$C$4:$C$48)))</f>
        <v/>
      </c>
      <c r="E221" s="14">
        <f>IF(OR($S$211="",$R$208=""),"",SUM(OFFSET(전체채점!$AW$2,$R$208,INDEX(회차설정!$C$13:$C$27,$S$211),1,INDEX(회차설정!$D$13:$D$27,$S$211)-INDEX(회차설정!$C$13:$C$27,$S$211)+1)))</f>
        <v/>
      </c>
      <c r="F221" s="46">
        <f>IF(OR($S$211="",$D221=0,$D221="",$E221=""),"",$E221/$D221*100)</f>
        <v/>
      </c>
      <c r="G221" s="8" t="n"/>
      <c r="H221" s="47">
        <f>IF($F221="","",REPT("■",ROUND($F221/5,0)))</f>
        <v/>
      </c>
      <c r="I221" s="7" t="n"/>
      <c r="J221" s="7" t="n"/>
      <c r="K221" s="7" t="n"/>
      <c r="L221" s="7" t="n"/>
      <c r="M221" s="7" t="n"/>
      <c r="N221" s="7" t="n"/>
      <c r="O221" s="7" t="n"/>
      <c r="P221" s="8" t="n"/>
    </row>
    <row r="222">
      <c r="A222" s="14">
        <f>IF($S$212="","",INDEX(회차설정!$A$13:$A$27,$S$212))</f>
        <v/>
      </c>
      <c r="B222" s="14">
        <f>IF($S$212="","",INDEX(회차설정!$B$13:$B$27,$S$212))</f>
        <v/>
      </c>
      <c r="C222" s="8" t="n"/>
      <c r="D222" s="14">
        <f>IF($S$212="","",IF($R$209="언어와 매체",SUMPRODUCT((자동계산!$A$4:$A$48&gt;=INDEX(회차설정!$C$13:$C$27,$S$212))*(자동계산!$A$4:$A$48&lt;=INDEX(회차설정!$D$13:$D$27,$S$212))*자동계산!$E$4:$E$48),SUMPRODUCT((자동계산!$A$4:$A$48&gt;=INDEX(회차설정!$C$13:$C$27,$S$212))*(자동계산!$A$4:$A$48&lt;=INDEX(회차설정!$D$13:$D$27,$S$212))*자동계산!$C$4:$C$48)))</f>
        <v/>
      </c>
      <c r="E222" s="14">
        <f>IF(OR($S$212="",$R$208=""),"",SUM(OFFSET(전체채점!$AW$2,$R$208,INDEX(회차설정!$C$13:$C$27,$S$212),1,INDEX(회차설정!$D$13:$D$27,$S$212)-INDEX(회차설정!$C$13:$C$27,$S$212)+1)))</f>
        <v/>
      </c>
      <c r="F222" s="46">
        <f>IF(OR($S$212="",$D222=0,$D222="",$E222=""),"",$E222/$D222*100)</f>
        <v/>
      </c>
      <c r="G222" s="8" t="n"/>
      <c r="H222" s="47">
        <f>IF($F222="","",REPT("■",ROUND($F222/5,0)))</f>
        <v/>
      </c>
      <c r="I222" s="7" t="n"/>
      <c r="J222" s="7" t="n"/>
      <c r="K222" s="7" t="n"/>
      <c r="L222" s="7" t="n"/>
      <c r="M222" s="7" t="n"/>
      <c r="N222" s="7" t="n"/>
      <c r="O222" s="7" t="n"/>
      <c r="P222" s="8" t="n"/>
    </row>
    <row r="223">
      <c r="A223" s="14">
        <f>IF($S$213="","",INDEX(회차설정!$A$13:$A$27,$S$213))</f>
        <v/>
      </c>
      <c r="B223" s="14">
        <f>IF($S$213="","",INDEX(회차설정!$B$13:$B$27,$S$213))</f>
        <v/>
      </c>
      <c r="C223" s="8" t="n"/>
      <c r="D223" s="14">
        <f>IF($S$213="","",IF($R$209="언어와 매체",SUMPRODUCT((자동계산!$A$4:$A$48&gt;=INDEX(회차설정!$C$13:$C$27,$S$213))*(자동계산!$A$4:$A$48&lt;=INDEX(회차설정!$D$13:$D$27,$S$213))*자동계산!$E$4:$E$48),SUMPRODUCT((자동계산!$A$4:$A$48&gt;=INDEX(회차설정!$C$13:$C$27,$S$213))*(자동계산!$A$4:$A$48&lt;=INDEX(회차설정!$D$13:$D$27,$S$213))*자동계산!$C$4:$C$48)))</f>
        <v/>
      </c>
      <c r="E223" s="14">
        <f>IF(OR($S$213="",$R$208=""),"",SUM(OFFSET(전체채점!$AW$2,$R$208,INDEX(회차설정!$C$13:$C$27,$S$213),1,INDEX(회차설정!$D$13:$D$27,$S$213)-INDEX(회차설정!$C$13:$C$27,$S$213)+1)))</f>
        <v/>
      </c>
      <c r="F223" s="46">
        <f>IF(OR($S$213="",$D223=0,$D223="",$E223=""),"",$E223/$D223*100)</f>
        <v/>
      </c>
      <c r="G223" s="8" t="n"/>
      <c r="H223" s="47">
        <f>IF($F223="","",REPT("■",ROUND($F223/5,0)))</f>
        <v/>
      </c>
      <c r="I223" s="7" t="n"/>
      <c r="J223" s="7" t="n"/>
      <c r="K223" s="7" t="n"/>
      <c r="L223" s="7" t="n"/>
      <c r="M223" s="7" t="n"/>
      <c r="N223" s="7" t="n"/>
      <c r="O223" s="7" t="n"/>
      <c r="P223" s="8" t="n"/>
    </row>
    <row r="224">
      <c r="A224" s="14">
        <f>IF($S$214="","",INDEX(회차설정!$A$13:$A$27,$S$214))</f>
        <v/>
      </c>
      <c r="B224" s="14">
        <f>IF($S$214="","",INDEX(회차설정!$B$13:$B$27,$S$214))</f>
        <v/>
      </c>
      <c r="C224" s="8" t="n"/>
      <c r="D224" s="14">
        <f>IF($S$214="","",IF($R$209="언어와 매체",SUMPRODUCT((자동계산!$A$4:$A$48&gt;=INDEX(회차설정!$C$13:$C$27,$S$214))*(자동계산!$A$4:$A$48&lt;=INDEX(회차설정!$D$13:$D$27,$S$214))*자동계산!$E$4:$E$48),SUMPRODUCT((자동계산!$A$4:$A$48&gt;=INDEX(회차설정!$C$13:$C$27,$S$214))*(자동계산!$A$4:$A$48&lt;=INDEX(회차설정!$D$13:$D$27,$S$214))*자동계산!$C$4:$C$48)))</f>
        <v/>
      </c>
      <c r="E224" s="14">
        <f>IF(OR($S$214="",$R$208=""),"",SUM(OFFSET(전체채점!$AW$2,$R$208,INDEX(회차설정!$C$13:$C$27,$S$214),1,INDEX(회차설정!$D$13:$D$27,$S$214)-INDEX(회차설정!$C$13:$C$27,$S$214)+1)))</f>
        <v/>
      </c>
      <c r="F224" s="46">
        <f>IF(OR($S$214="",$D224=0,$D224="",$E224=""),"",$E224/$D224*100)</f>
        <v/>
      </c>
      <c r="G224" s="8" t="n"/>
      <c r="H224" s="47">
        <f>IF($F224="","",REPT("■",ROUND($F224/5,0)))</f>
        <v/>
      </c>
      <c r="I224" s="7" t="n"/>
      <c r="J224" s="7" t="n"/>
      <c r="K224" s="7" t="n"/>
      <c r="L224" s="7" t="n"/>
      <c r="M224" s="7" t="n"/>
      <c r="N224" s="7" t="n"/>
      <c r="O224" s="7" t="n"/>
      <c r="P224" s="8" t="n"/>
    </row>
    <row r="225">
      <c r="A225" s="14">
        <f>IF($S$215="","",INDEX(회차설정!$A$13:$A$27,$S$215))</f>
        <v/>
      </c>
      <c r="B225" s="14">
        <f>IF($S$215="","",INDEX(회차설정!$B$13:$B$27,$S$215))</f>
        <v/>
      </c>
      <c r="C225" s="8" t="n"/>
      <c r="D225" s="14">
        <f>IF($S$215="","",IF($R$209="언어와 매체",SUMPRODUCT((자동계산!$A$4:$A$48&gt;=INDEX(회차설정!$C$13:$C$27,$S$215))*(자동계산!$A$4:$A$48&lt;=INDEX(회차설정!$D$13:$D$27,$S$215))*자동계산!$E$4:$E$48),SUMPRODUCT((자동계산!$A$4:$A$48&gt;=INDEX(회차설정!$C$13:$C$27,$S$215))*(자동계산!$A$4:$A$48&lt;=INDEX(회차설정!$D$13:$D$27,$S$215))*자동계산!$C$4:$C$48)))</f>
        <v/>
      </c>
      <c r="E225" s="14">
        <f>IF(OR($S$215="",$R$208=""),"",SUM(OFFSET(전체채점!$AW$2,$R$208,INDEX(회차설정!$C$13:$C$27,$S$215),1,INDEX(회차설정!$D$13:$D$27,$S$215)-INDEX(회차설정!$C$13:$C$27,$S$215)+1)))</f>
        <v/>
      </c>
      <c r="F225" s="46">
        <f>IF(OR($S$215="",$D225=0,$D225="",$E225=""),"",$E225/$D225*100)</f>
        <v/>
      </c>
      <c r="G225" s="8" t="n"/>
      <c r="H225" s="47">
        <f>IF($F225="","",REPT("■",ROUND($F225/5,0)))</f>
        <v/>
      </c>
      <c r="I225" s="7" t="n"/>
      <c r="J225" s="7" t="n"/>
      <c r="K225" s="7" t="n"/>
      <c r="L225" s="7" t="n"/>
      <c r="M225" s="7" t="n"/>
      <c r="N225" s="7" t="n"/>
      <c r="O225" s="7" t="n"/>
      <c r="P225" s="8" t="n"/>
    </row>
    <row r="226">
      <c r="A226" s="14">
        <f>IF($S$216="","",INDEX(회차설정!$A$13:$A$27,$S$216))</f>
        <v/>
      </c>
      <c r="B226" s="14">
        <f>IF($S$216="","",INDEX(회차설정!$B$13:$B$27,$S$216))</f>
        <v/>
      </c>
      <c r="C226" s="8" t="n"/>
      <c r="D226" s="14">
        <f>IF($S$216="","",IF($R$209="언어와 매체",SUMPRODUCT((자동계산!$A$4:$A$48&gt;=INDEX(회차설정!$C$13:$C$27,$S$216))*(자동계산!$A$4:$A$48&lt;=INDEX(회차설정!$D$13:$D$27,$S$216))*자동계산!$E$4:$E$48),SUMPRODUCT((자동계산!$A$4:$A$48&gt;=INDEX(회차설정!$C$13:$C$27,$S$216))*(자동계산!$A$4:$A$48&lt;=INDEX(회차설정!$D$13:$D$27,$S$216))*자동계산!$C$4:$C$48)))</f>
        <v/>
      </c>
      <c r="E226" s="14">
        <f>IF(OR($S$216="",$R$208=""),"",SUM(OFFSET(전체채점!$AW$2,$R$208,INDEX(회차설정!$C$13:$C$27,$S$216),1,INDEX(회차설정!$D$13:$D$27,$S$216)-INDEX(회차설정!$C$13:$C$27,$S$216)+1)))</f>
        <v/>
      </c>
      <c r="F226" s="46">
        <f>IF(OR($S$216="",$D226=0,$D226="",$E226=""),"",$E226/$D226*100)</f>
        <v/>
      </c>
      <c r="G226" s="8" t="n"/>
      <c r="H226" s="47">
        <f>IF($F226="","",REPT("■",ROUND($F226/5,0)))</f>
        <v/>
      </c>
      <c r="I226" s="7" t="n"/>
      <c r="J226" s="7" t="n"/>
      <c r="K226" s="7" t="n"/>
      <c r="L226" s="7" t="n"/>
      <c r="M226" s="7" t="n"/>
      <c r="N226" s="7" t="n"/>
      <c r="O226" s="7" t="n"/>
      <c r="P226" s="8" t="n"/>
    </row>
    <row r="227">
      <c r="A227" s="14">
        <f>IF($S$217="","",INDEX(회차설정!$A$13:$A$27,$S$217))</f>
        <v/>
      </c>
      <c r="B227" s="14">
        <f>IF($S$217="","",INDEX(회차설정!$B$13:$B$27,$S$217))</f>
        <v/>
      </c>
      <c r="C227" s="8" t="n"/>
      <c r="D227" s="14">
        <f>IF($S$217="","",IF($R$209="언어와 매체",SUMPRODUCT((자동계산!$A$4:$A$48&gt;=INDEX(회차설정!$C$13:$C$27,$S$217))*(자동계산!$A$4:$A$48&lt;=INDEX(회차설정!$D$13:$D$27,$S$217))*자동계산!$E$4:$E$48),SUMPRODUCT((자동계산!$A$4:$A$48&gt;=INDEX(회차설정!$C$13:$C$27,$S$217))*(자동계산!$A$4:$A$48&lt;=INDEX(회차설정!$D$13:$D$27,$S$217))*자동계산!$C$4:$C$48)))</f>
        <v/>
      </c>
      <c r="E227" s="14">
        <f>IF(OR($S$217="",$R$208=""),"",SUM(OFFSET(전체채점!$AW$2,$R$208,INDEX(회차설정!$C$13:$C$27,$S$217),1,INDEX(회차설정!$D$13:$D$27,$S$217)-INDEX(회차설정!$C$13:$C$27,$S$217)+1)))</f>
        <v/>
      </c>
      <c r="F227" s="46">
        <f>IF(OR($S$217="",$D227=0,$D227="",$E227=""),"",$E227/$D227*100)</f>
        <v/>
      </c>
      <c r="G227" s="8" t="n"/>
      <c r="H227" s="47">
        <f>IF($F227="","",REPT("■",ROUND($F227/5,0)))</f>
        <v/>
      </c>
      <c r="I227" s="7" t="n"/>
      <c r="J227" s="7" t="n"/>
      <c r="K227" s="7" t="n"/>
      <c r="L227" s="7" t="n"/>
      <c r="M227" s="7" t="n"/>
      <c r="N227" s="7" t="n"/>
      <c r="O227" s="7" t="n"/>
      <c r="P227" s="8" t="n"/>
    </row>
    <row r="228">
      <c r="A228" s="14">
        <f>IF($S$218="","",INDEX(회차설정!$A$13:$A$27,$S$218))</f>
        <v/>
      </c>
      <c r="B228" s="14">
        <f>IF($S$218="","",INDEX(회차설정!$B$13:$B$27,$S$218))</f>
        <v/>
      </c>
      <c r="C228" s="8" t="n"/>
      <c r="D228" s="14">
        <f>IF($S$218="","",IF($R$209="언어와 매체",SUMPRODUCT((자동계산!$A$4:$A$48&gt;=INDEX(회차설정!$C$13:$C$27,$S$218))*(자동계산!$A$4:$A$48&lt;=INDEX(회차설정!$D$13:$D$27,$S$218))*자동계산!$E$4:$E$48),SUMPRODUCT((자동계산!$A$4:$A$48&gt;=INDEX(회차설정!$C$13:$C$27,$S$218))*(자동계산!$A$4:$A$48&lt;=INDEX(회차설정!$D$13:$D$27,$S$218))*자동계산!$C$4:$C$48)))</f>
        <v/>
      </c>
      <c r="E228" s="14">
        <f>IF(OR($S$218="",$R$208=""),"",SUM(OFFSET(전체채점!$AW$2,$R$208,INDEX(회차설정!$C$13:$C$27,$S$218),1,INDEX(회차설정!$D$13:$D$27,$S$218)-INDEX(회차설정!$C$13:$C$27,$S$218)+1)))</f>
        <v/>
      </c>
      <c r="F228" s="46">
        <f>IF(OR($S$218="",$D228=0,$D228="",$E228=""),"",$E228/$D228*100)</f>
        <v/>
      </c>
      <c r="G228" s="8" t="n"/>
      <c r="H228" s="47">
        <f>IF($F228="","",REPT("■",ROUND($F228/5,0)))</f>
        <v/>
      </c>
      <c r="I228" s="7" t="n"/>
      <c r="J228" s="7" t="n"/>
      <c r="K228" s="7" t="n"/>
      <c r="L228" s="7" t="n"/>
      <c r="M228" s="7" t="n"/>
      <c r="N228" s="7" t="n"/>
      <c r="O228" s="7" t="n"/>
      <c r="P228" s="8" t="n"/>
    </row>
    <row r="229">
      <c r="A229" s="14">
        <f>IF($S$219="","",INDEX(회차설정!$A$13:$A$27,$S$219))</f>
        <v/>
      </c>
      <c r="B229" s="14">
        <f>IF($S$219="","",INDEX(회차설정!$B$13:$B$27,$S$219))</f>
        <v/>
      </c>
      <c r="C229" s="8" t="n"/>
      <c r="D229" s="14">
        <f>IF($S$219="","",IF($R$209="언어와 매체",SUMPRODUCT((자동계산!$A$4:$A$48&gt;=INDEX(회차설정!$C$13:$C$27,$S$219))*(자동계산!$A$4:$A$48&lt;=INDEX(회차설정!$D$13:$D$27,$S$219))*자동계산!$E$4:$E$48),SUMPRODUCT((자동계산!$A$4:$A$48&gt;=INDEX(회차설정!$C$13:$C$27,$S$219))*(자동계산!$A$4:$A$48&lt;=INDEX(회차설정!$D$13:$D$27,$S$219))*자동계산!$C$4:$C$48)))</f>
        <v/>
      </c>
      <c r="E229" s="14">
        <f>IF(OR($S$219="",$R$208=""),"",SUM(OFFSET(전체채점!$AW$2,$R$208,INDEX(회차설정!$C$13:$C$27,$S$219),1,INDEX(회차설정!$D$13:$D$27,$S$219)-INDEX(회차설정!$C$13:$C$27,$S$219)+1)))</f>
        <v/>
      </c>
      <c r="F229" s="46">
        <f>IF(OR($S$219="",$D229=0,$D229="",$E229=""),"",$E229/$D229*100)</f>
        <v/>
      </c>
      <c r="G229" s="8" t="n"/>
      <c r="H229" s="47">
        <f>IF($F229="","",REPT("■",ROUND($F229/5,0)))</f>
        <v/>
      </c>
      <c r="I229" s="7" t="n"/>
      <c r="J229" s="7" t="n"/>
      <c r="K229" s="7" t="n"/>
      <c r="L229" s="7" t="n"/>
      <c r="M229" s="7" t="n"/>
      <c r="N229" s="7" t="n"/>
      <c r="O229" s="7" t="n"/>
      <c r="P229" s="8" t="n"/>
    </row>
    <row r="230">
      <c r="A230" s="5">
        <f>IF($R$208="","","합계")</f>
        <v/>
      </c>
      <c r="B230" s="7" t="n"/>
      <c r="C230" s="8" t="n"/>
      <c r="D230" s="5">
        <f>IF($R$208="","",SUM(D218:D229))</f>
        <v/>
      </c>
      <c r="E230" s="5">
        <f>IF($R$208="","",SUM(E218:E229))</f>
        <v/>
      </c>
      <c r="F230" s="48">
        <f>IF(OR($D230=0,$D230=""),"",$E230/$D230*100)</f>
        <v/>
      </c>
      <c r="G230" s="8" t="n"/>
      <c r="H230" s="49">
        <f>IF($F230="","",REPT("■",ROUND($F230/5,0)))</f>
        <v/>
      </c>
      <c r="I230" s="7" t="n"/>
      <c r="J230" s="7" t="n"/>
      <c r="K230" s="7" t="n"/>
      <c r="L230" s="7" t="n"/>
      <c r="M230" s="7" t="n"/>
      <c r="N230" s="7" t="n"/>
      <c r="O230" s="7" t="n"/>
      <c r="P230" s="8" t="n"/>
    </row>
    <row r="232">
      <c r="A232" s="12" t="inlineStr">
        <is>
          <t>4. 문항 채점표</t>
        </is>
      </c>
    </row>
    <row r="233">
      <c r="A233" s="50" t="inlineStr">
        <is>
          <t>문항 번호</t>
        </is>
      </c>
      <c r="B233" s="51" t="n">
        <v>1</v>
      </c>
      <c r="C233" s="51" t="n">
        <v>2</v>
      </c>
      <c r="D233" s="51" t="n">
        <v>3</v>
      </c>
      <c r="E233" s="51" t="n">
        <v>4</v>
      </c>
      <c r="F233" s="51" t="n">
        <v>5</v>
      </c>
      <c r="G233" s="51" t="n">
        <v>6</v>
      </c>
      <c r="H233" s="51" t="n">
        <v>7</v>
      </c>
      <c r="I233" s="51" t="n">
        <v>8</v>
      </c>
      <c r="J233" s="51" t="n">
        <v>9</v>
      </c>
      <c r="K233" s="51" t="n">
        <v>10</v>
      </c>
      <c r="L233" s="51" t="n">
        <v>11</v>
      </c>
      <c r="M233" s="51" t="n">
        <v>12</v>
      </c>
      <c r="N233" s="51" t="n">
        <v>13</v>
      </c>
      <c r="O233" s="51" t="n">
        <v>14</v>
      </c>
      <c r="P233" s="51" t="n">
        <v>15</v>
      </c>
    </row>
    <row r="234">
      <c r="A234" s="52" t="inlineStr">
        <is>
          <t>정답</t>
        </is>
      </c>
      <c r="B234" s="33">
        <f>IF($R$209="","",IF($R$209="언어와 매체",자동계산!$D$4,자동계산!$B$4))</f>
        <v/>
      </c>
      <c r="C234" s="33">
        <f>IF($R$209="","",IF($R$209="언어와 매체",자동계산!$D$5,자동계산!$B$5))</f>
        <v/>
      </c>
      <c r="D234" s="33">
        <f>IF($R$209="","",IF($R$209="언어와 매체",자동계산!$D$6,자동계산!$B$6))</f>
        <v/>
      </c>
      <c r="E234" s="33">
        <f>IF($R$209="","",IF($R$209="언어와 매체",자동계산!$D$7,자동계산!$B$7))</f>
        <v/>
      </c>
      <c r="F234" s="33">
        <f>IF($R$209="","",IF($R$209="언어와 매체",자동계산!$D$8,자동계산!$B$8))</f>
        <v/>
      </c>
      <c r="G234" s="33">
        <f>IF($R$209="","",IF($R$209="언어와 매체",자동계산!$D$9,자동계산!$B$9))</f>
        <v/>
      </c>
      <c r="H234" s="33">
        <f>IF($R$209="","",IF($R$209="언어와 매체",자동계산!$D$10,자동계산!$B$10))</f>
        <v/>
      </c>
      <c r="I234" s="33">
        <f>IF($R$209="","",IF($R$209="언어와 매체",자동계산!$D$11,자동계산!$B$11))</f>
        <v/>
      </c>
      <c r="J234" s="33">
        <f>IF($R$209="","",IF($R$209="언어와 매체",자동계산!$D$12,자동계산!$B$12))</f>
        <v/>
      </c>
      <c r="K234" s="33">
        <f>IF($R$209="","",IF($R$209="언어와 매체",자동계산!$D$13,자동계산!$B$13))</f>
        <v/>
      </c>
      <c r="L234" s="33">
        <f>IF($R$209="","",IF($R$209="언어와 매체",자동계산!$D$14,자동계산!$B$14))</f>
        <v/>
      </c>
      <c r="M234" s="33">
        <f>IF($R$209="","",IF($R$209="언어와 매체",자동계산!$D$15,자동계산!$B$15))</f>
        <v/>
      </c>
      <c r="N234" s="33">
        <f>IF($R$209="","",IF($R$209="언어와 매체",자동계산!$D$16,자동계산!$B$16))</f>
        <v/>
      </c>
      <c r="O234" s="33">
        <f>IF($R$209="","",IF($R$209="언어와 매체",자동계산!$D$17,자동계산!$B$17))</f>
        <v/>
      </c>
      <c r="P234" s="33">
        <f>IF($R$209="","",IF($R$209="언어와 매체",자동계산!$D$18,자동계산!$B$18))</f>
        <v/>
      </c>
    </row>
    <row r="235">
      <c r="A235" s="52" t="inlineStr">
        <is>
          <t>학생답안</t>
        </is>
      </c>
      <c r="B235" s="33">
        <f>IF($R$208="","",INDEX(전체채점!E$3:E$62,$R$208))</f>
        <v/>
      </c>
      <c r="C235" s="33">
        <f>IF($R$208="","",INDEX(전체채점!F$3:F$62,$R$208))</f>
        <v/>
      </c>
      <c r="D235" s="33">
        <f>IF($R$208="","",INDEX(전체채점!G$3:G$62,$R$208))</f>
        <v/>
      </c>
      <c r="E235" s="33">
        <f>IF($R$208="","",INDEX(전체채점!H$3:H$62,$R$208))</f>
        <v/>
      </c>
      <c r="F235" s="33">
        <f>IF($R$208="","",INDEX(전체채점!I$3:I$62,$R$208))</f>
        <v/>
      </c>
      <c r="G235" s="33">
        <f>IF($R$208="","",INDEX(전체채점!J$3:J$62,$R$208))</f>
        <v/>
      </c>
      <c r="H235" s="33">
        <f>IF($R$208="","",INDEX(전체채점!K$3:K$62,$R$208))</f>
        <v/>
      </c>
      <c r="I235" s="33">
        <f>IF($R$208="","",INDEX(전체채점!L$3:L$62,$R$208))</f>
        <v/>
      </c>
      <c r="J235" s="33">
        <f>IF($R$208="","",INDEX(전체채점!M$3:M$62,$R$208))</f>
        <v/>
      </c>
      <c r="K235" s="33">
        <f>IF($R$208="","",INDEX(전체채점!N$3:N$62,$R$208))</f>
        <v/>
      </c>
      <c r="L235" s="33">
        <f>IF($R$208="","",INDEX(전체채점!O$3:O$62,$R$208))</f>
        <v/>
      </c>
      <c r="M235" s="33">
        <f>IF($R$208="","",INDEX(전체채점!P$3:P$62,$R$208))</f>
        <v/>
      </c>
      <c r="N235" s="33">
        <f>IF($R$208="","",INDEX(전체채점!Q$3:Q$62,$R$208))</f>
        <v/>
      </c>
      <c r="O235" s="33">
        <f>IF($R$208="","",INDEX(전체채점!R$3:R$62,$R$208))</f>
        <v/>
      </c>
      <c r="P235" s="33">
        <f>IF($R$208="","",INDEX(전체채점!S$3:S$62,$R$208))</f>
        <v/>
      </c>
    </row>
    <row r="236">
      <c r="A236" s="52" t="inlineStr">
        <is>
          <t>정오</t>
        </is>
      </c>
      <c r="B236" s="33">
        <f>IF($R$208="","",INDEX(전체채점!AX$3:AX$62,$R$208))</f>
        <v/>
      </c>
      <c r="C236" s="33">
        <f>IF($R$208="","",INDEX(전체채점!AY$3:AY$62,$R$208))</f>
        <v/>
      </c>
      <c r="D236" s="33">
        <f>IF($R$208="","",INDEX(전체채점!AZ$3:AZ$62,$R$208))</f>
        <v/>
      </c>
      <c r="E236" s="33">
        <f>IF($R$208="","",INDEX(전체채점!BA$3:BA$62,$R$208))</f>
        <v/>
      </c>
      <c r="F236" s="33">
        <f>IF($R$208="","",INDEX(전체채점!BB$3:BB$62,$R$208))</f>
        <v/>
      </c>
      <c r="G236" s="33">
        <f>IF($R$208="","",INDEX(전체채점!BC$3:BC$62,$R$208))</f>
        <v/>
      </c>
      <c r="H236" s="33">
        <f>IF($R$208="","",INDEX(전체채점!BD$3:BD$62,$R$208))</f>
        <v/>
      </c>
      <c r="I236" s="33">
        <f>IF($R$208="","",INDEX(전체채점!BE$3:BE$62,$R$208))</f>
        <v/>
      </c>
      <c r="J236" s="33">
        <f>IF($R$208="","",INDEX(전체채점!BF$3:BF$62,$R$208))</f>
        <v/>
      </c>
      <c r="K236" s="33">
        <f>IF($R$208="","",INDEX(전체채점!BG$3:BG$62,$R$208))</f>
        <v/>
      </c>
      <c r="L236" s="33">
        <f>IF($R$208="","",INDEX(전체채점!BH$3:BH$62,$R$208))</f>
        <v/>
      </c>
      <c r="M236" s="33">
        <f>IF($R$208="","",INDEX(전체채점!BI$3:BI$62,$R$208))</f>
        <v/>
      </c>
      <c r="N236" s="33">
        <f>IF($R$208="","",INDEX(전체채점!BJ$3:BJ$62,$R$208))</f>
        <v/>
      </c>
      <c r="O236" s="33">
        <f>IF($R$208="","",INDEX(전체채점!BK$3:BK$62,$R$208))</f>
        <v/>
      </c>
      <c r="P236" s="33">
        <f>IF($R$208="","",INDEX(전체채점!BL$3:BL$62,$R$208))</f>
        <v/>
      </c>
    </row>
    <row r="237">
      <c r="A237" s="50" t="inlineStr">
        <is>
          <t>문항 번호</t>
        </is>
      </c>
      <c r="B237" s="51" t="n">
        <v>16</v>
      </c>
      <c r="C237" s="51" t="n">
        <v>17</v>
      </c>
      <c r="D237" s="51" t="n">
        <v>18</v>
      </c>
      <c r="E237" s="51" t="n">
        <v>19</v>
      </c>
      <c r="F237" s="51" t="n">
        <v>20</v>
      </c>
      <c r="G237" s="51" t="n">
        <v>21</v>
      </c>
      <c r="H237" s="51" t="n">
        <v>22</v>
      </c>
      <c r="I237" s="51" t="n">
        <v>23</v>
      </c>
      <c r="J237" s="51" t="n">
        <v>24</v>
      </c>
      <c r="K237" s="51" t="n">
        <v>25</v>
      </c>
      <c r="L237" s="51" t="n">
        <v>26</v>
      </c>
      <c r="M237" s="51" t="n">
        <v>27</v>
      </c>
      <c r="N237" s="51" t="n">
        <v>28</v>
      </c>
      <c r="O237" s="51" t="n">
        <v>29</v>
      </c>
      <c r="P237" s="51" t="n">
        <v>30</v>
      </c>
    </row>
    <row r="238">
      <c r="A238" s="52" t="inlineStr">
        <is>
          <t>정답</t>
        </is>
      </c>
      <c r="B238" s="33">
        <f>IF($R$209="","",IF($R$209="언어와 매체",자동계산!$D$19,자동계산!$B$19))</f>
        <v/>
      </c>
      <c r="C238" s="33">
        <f>IF($R$209="","",IF($R$209="언어와 매체",자동계산!$D$20,자동계산!$B$20))</f>
        <v/>
      </c>
      <c r="D238" s="33">
        <f>IF($R$209="","",IF($R$209="언어와 매체",자동계산!$D$21,자동계산!$B$21))</f>
        <v/>
      </c>
      <c r="E238" s="33">
        <f>IF($R$209="","",IF($R$209="언어와 매체",자동계산!$D$22,자동계산!$B$22))</f>
        <v/>
      </c>
      <c r="F238" s="33">
        <f>IF($R$209="","",IF($R$209="언어와 매체",자동계산!$D$23,자동계산!$B$23))</f>
        <v/>
      </c>
      <c r="G238" s="33">
        <f>IF($R$209="","",IF($R$209="언어와 매체",자동계산!$D$24,자동계산!$B$24))</f>
        <v/>
      </c>
      <c r="H238" s="33">
        <f>IF($R$209="","",IF($R$209="언어와 매체",자동계산!$D$25,자동계산!$B$25))</f>
        <v/>
      </c>
      <c r="I238" s="33">
        <f>IF($R$209="","",IF($R$209="언어와 매체",자동계산!$D$26,자동계산!$B$26))</f>
        <v/>
      </c>
      <c r="J238" s="33">
        <f>IF($R$209="","",IF($R$209="언어와 매체",자동계산!$D$27,자동계산!$B$27))</f>
        <v/>
      </c>
      <c r="K238" s="33">
        <f>IF($R$209="","",IF($R$209="언어와 매체",자동계산!$D$28,자동계산!$B$28))</f>
        <v/>
      </c>
      <c r="L238" s="33">
        <f>IF($R$209="","",IF($R$209="언어와 매체",자동계산!$D$29,자동계산!$B$29))</f>
        <v/>
      </c>
      <c r="M238" s="33">
        <f>IF($R$209="","",IF($R$209="언어와 매체",자동계산!$D$30,자동계산!$B$30))</f>
        <v/>
      </c>
      <c r="N238" s="33">
        <f>IF($R$209="","",IF($R$209="언어와 매체",자동계산!$D$31,자동계산!$B$31))</f>
        <v/>
      </c>
      <c r="O238" s="33">
        <f>IF($R$209="","",IF($R$209="언어와 매체",자동계산!$D$32,자동계산!$B$32))</f>
        <v/>
      </c>
      <c r="P238" s="33">
        <f>IF($R$209="","",IF($R$209="언어와 매체",자동계산!$D$33,자동계산!$B$33))</f>
        <v/>
      </c>
    </row>
    <row r="239">
      <c r="A239" s="52" t="inlineStr">
        <is>
          <t>학생답안</t>
        </is>
      </c>
      <c r="B239" s="33">
        <f>IF($R$208="","",INDEX(전체채점!T$3:T$62,$R$208))</f>
        <v/>
      </c>
      <c r="C239" s="33">
        <f>IF($R$208="","",INDEX(전체채점!U$3:U$62,$R$208))</f>
        <v/>
      </c>
      <c r="D239" s="33">
        <f>IF($R$208="","",INDEX(전체채점!V$3:V$62,$R$208))</f>
        <v/>
      </c>
      <c r="E239" s="33">
        <f>IF($R$208="","",INDEX(전체채점!W$3:W$62,$R$208))</f>
        <v/>
      </c>
      <c r="F239" s="33">
        <f>IF($R$208="","",INDEX(전체채점!X$3:X$62,$R$208))</f>
        <v/>
      </c>
      <c r="G239" s="33">
        <f>IF($R$208="","",INDEX(전체채점!Y$3:Y$62,$R$208))</f>
        <v/>
      </c>
      <c r="H239" s="33">
        <f>IF($R$208="","",INDEX(전체채점!Z$3:Z$62,$R$208))</f>
        <v/>
      </c>
      <c r="I239" s="33">
        <f>IF($R$208="","",INDEX(전체채점!AA$3:AA$62,$R$208))</f>
        <v/>
      </c>
      <c r="J239" s="33">
        <f>IF($R$208="","",INDEX(전체채점!AB$3:AB$62,$R$208))</f>
        <v/>
      </c>
      <c r="K239" s="33">
        <f>IF($R$208="","",INDEX(전체채점!AC$3:AC$62,$R$208))</f>
        <v/>
      </c>
      <c r="L239" s="33">
        <f>IF($R$208="","",INDEX(전체채점!AD$3:AD$62,$R$208))</f>
        <v/>
      </c>
      <c r="M239" s="33">
        <f>IF($R$208="","",INDEX(전체채점!AE$3:AE$62,$R$208))</f>
        <v/>
      </c>
      <c r="N239" s="33">
        <f>IF($R$208="","",INDEX(전체채점!AF$3:AF$62,$R$208))</f>
        <v/>
      </c>
      <c r="O239" s="33">
        <f>IF($R$208="","",INDEX(전체채점!AG$3:AG$62,$R$208))</f>
        <v/>
      </c>
      <c r="P239" s="33">
        <f>IF($R$208="","",INDEX(전체채점!AH$3:AH$62,$R$208))</f>
        <v/>
      </c>
    </row>
    <row r="240">
      <c r="A240" s="52" t="inlineStr">
        <is>
          <t>정오</t>
        </is>
      </c>
      <c r="B240" s="33">
        <f>IF($R$208="","",INDEX(전체채점!BM$3:BM$62,$R$208))</f>
        <v/>
      </c>
      <c r="C240" s="33">
        <f>IF($R$208="","",INDEX(전체채점!BN$3:BN$62,$R$208))</f>
        <v/>
      </c>
      <c r="D240" s="33">
        <f>IF($R$208="","",INDEX(전체채점!BO$3:BO$62,$R$208))</f>
        <v/>
      </c>
      <c r="E240" s="33">
        <f>IF($R$208="","",INDEX(전체채점!BP$3:BP$62,$R$208))</f>
        <v/>
      </c>
      <c r="F240" s="33">
        <f>IF($R$208="","",INDEX(전체채점!BQ$3:BQ$62,$R$208))</f>
        <v/>
      </c>
      <c r="G240" s="33">
        <f>IF($R$208="","",INDEX(전체채점!BR$3:BR$62,$R$208))</f>
        <v/>
      </c>
      <c r="H240" s="33">
        <f>IF($R$208="","",INDEX(전체채점!BS$3:BS$62,$R$208))</f>
        <v/>
      </c>
      <c r="I240" s="33">
        <f>IF($R$208="","",INDEX(전체채점!BT$3:BT$62,$R$208))</f>
        <v/>
      </c>
      <c r="J240" s="33">
        <f>IF($R$208="","",INDEX(전체채점!BU$3:BU$62,$R$208))</f>
        <v/>
      </c>
      <c r="K240" s="33">
        <f>IF($R$208="","",INDEX(전체채점!BV$3:BV$62,$R$208))</f>
        <v/>
      </c>
      <c r="L240" s="33">
        <f>IF($R$208="","",INDEX(전체채점!BW$3:BW$62,$R$208))</f>
        <v/>
      </c>
      <c r="M240" s="33">
        <f>IF($R$208="","",INDEX(전체채점!BX$3:BX$62,$R$208))</f>
        <v/>
      </c>
      <c r="N240" s="33">
        <f>IF($R$208="","",INDEX(전체채점!BY$3:BY$62,$R$208))</f>
        <v/>
      </c>
      <c r="O240" s="33">
        <f>IF($R$208="","",INDEX(전체채점!BZ$3:BZ$62,$R$208))</f>
        <v/>
      </c>
      <c r="P240" s="33">
        <f>IF($R$208="","",INDEX(전체채점!CA$3:CA$62,$R$208))</f>
        <v/>
      </c>
    </row>
    <row r="241">
      <c r="A241" s="50" t="inlineStr">
        <is>
          <t>문항 번호</t>
        </is>
      </c>
      <c r="B241" s="51" t="n">
        <v>31</v>
      </c>
      <c r="C241" s="51" t="n">
        <v>32</v>
      </c>
      <c r="D241" s="51" t="n">
        <v>33</v>
      </c>
      <c r="E241" s="51" t="n">
        <v>34</v>
      </c>
      <c r="F241" s="51" t="n">
        <v>35</v>
      </c>
      <c r="G241" s="51" t="n">
        <v>36</v>
      </c>
      <c r="H241" s="51" t="n">
        <v>37</v>
      </c>
      <c r="I241" s="51" t="n">
        <v>38</v>
      </c>
      <c r="J241" s="51" t="n">
        <v>39</v>
      </c>
      <c r="K241" s="51" t="n">
        <v>40</v>
      </c>
      <c r="L241" s="51" t="n">
        <v>41</v>
      </c>
      <c r="M241" s="51" t="n">
        <v>42</v>
      </c>
      <c r="N241" s="51" t="n">
        <v>43</v>
      </c>
      <c r="O241" s="51" t="n">
        <v>44</v>
      </c>
      <c r="P241" s="51" t="n">
        <v>45</v>
      </c>
    </row>
    <row r="242">
      <c r="A242" s="52" t="inlineStr">
        <is>
          <t>정답</t>
        </is>
      </c>
      <c r="B242" s="33">
        <f>IF($R$209="","",IF($R$209="언어와 매체",자동계산!$D$34,자동계산!$B$34))</f>
        <v/>
      </c>
      <c r="C242" s="33">
        <f>IF($R$209="","",IF($R$209="언어와 매체",자동계산!$D$35,자동계산!$B$35))</f>
        <v/>
      </c>
      <c r="D242" s="33">
        <f>IF($R$209="","",IF($R$209="언어와 매체",자동계산!$D$36,자동계산!$B$36))</f>
        <v/>
      </c>
      <c r="E242" s="33">
        <f>IF($R$209="","",IF($R$209="언어와 매체",자동계산!$D$37,자동계산!$B$37))</f>
        <v/>
      </c>
      <c r="F242" s="33">
        <f>IF($R$209="","",IF($R$209="언어와 매체",자동계산!$D$38,자동계산!$B$38))</f>
        <v/>
      </c>
      <c r="G242" s="33">
        <f>IF($R$209="","",IF($R$209="언어와 매체",자동계산!$D$39,자동계산!$B$39))</f>
        <v/>
      </c>
      <c r="H242" s="33">
        <f>IF($R$209="","",IF($R$209="언어와 매체",자동계산!$D$40,자동계산!$B$40))</f>
        <v/>
      </c>
      <c r="I242" s="33">
        <f>IF($R$209="","",IF($R$209="언어와 매체",자동계산!$D$41,자동계산!$B$41))</f>
        <v/>
      </c>
      <c r="J242" s="33">
        <f>IF($R$209="","",IF($R$209="언어와 매체",자동계산!$D$42,자동계산!$B$42))</f>
        <v/>
      </c>
      <c r="K242" s="33">
        <f>IF($R$209="","",IF($R$209="언어와 매체",자동계산!$D$43,자동계산!$B$43))</f>
        <v/>
      </c>
      <c r="L242" s="33">
        <f>IF($R$209="","",IF($R$209="언어와 매체",자동계산!$D$44,자동계산!$B$44))</f>
        <v/>
      </c>
      <c r="M242" s="33">
        <f>IF($R$209="","",IF($R$209="언어와 매체",자동계산!$D$45,자동계산!$B$45))</f>
        <v/>
      </c>
      <c r="N242" s="33">
        <f>IF($R$209="","",IF($R$209="언어와 매체",자동계산!$D$46,자동계산!$B$46))</f>
        <v/>
      </c>
      <c r="O242" s="33">
        <f>IF($R$209="","",IF($R$209="언어와 매체",자동계산!$D$47,자동계산!$B$47))</f>
        <v/>
      </c>
      <c r="P242" s="33">
        <f>IF($R$209="","",IF($R$209="언어와 매체",자동계산!$D$48,자동계산!$B$48))</f>
        <v/>
      </c>
    </row>
    <row r="243">
      <c r="A243" s="52" t="inlineStr">
        <is>
          <t>학생답안</t>
        </is>
      </c>
      <c r="B243" s="33">
        <f>IF($R$208="","",INDEX(전체채점!AI$3:AI$62,$R$208))</f>
        <v/>
      </c>
      <c r="C243" s="33">
        <f>IF($R$208="","",INDEX(전체채점!AJ$3:AJ$62,$R$208))</f>
        <v/>
      </c>
      <c r="D243" s="33">
        <f>IF($R$208="","",INDEX(전체채점!AK$3:AK$62,$R$208))</f>
        <v/>
      </c>
      <c r="E243" s="33">
        <f>IF($R$208="","",INDEX(전체채점!AL$3:AL$62,$R$208))</f>
        <v/>
      </c>
      <c r="F243" s="33">
        <f>IF($R$208="","",INDEX(전체채점!AM$3:AM$62,$R$208))</f>
        <v/>
      </c>
      <c r="G243" s="33">
        <f>IF($R$208="","",INDEX(전체채점!AN$3:AN$62,$R$208))</f>
        <v/>
      </c>
      <c r="H243" s="33">
        <f>IF($R$208="","",INDEX(전체채점!AO$3:AO$62,$R$208))</f>
        <v/>
      </c>
      <c r="I243" s="33">
        <f>IF($R$208="","",INDEX(전체채점!AP$3:AP$62,$R$208))</f>
        <v/>
      </c>
      <c r="J243" s="33">
        <f>IF($R$208="","",INDEX(전체채점!AQ$3:AQ$62,$R$208))</f>
        <v/>
      </c>
      <c r="K243" s="33">
        <f>IF($R$208="","",INDEX(전체채점!AR$3:AR$62,$R$208))</f>
        <v/>
      </c>
      <c r="L243" s="33">
        <f>IF($R$208="","",INDEX(전체채점!AS$3:AS$62,$R$208))</f>
        <v/>
      </c>
      <c r="M243" s="33">
        <f>IF($R$208="","",INDEX(전체채점!AT$3:AT$62,$R$208))</f>
        <v/>
      </c>
      <c r="N243" s="33">
        <f>IF($R$208="","",INDEX(전체채점!AU$3:AU$62,$R$208))</f>
        <v/>
      </c>
      <c r="O243" s="33">
        <f>IF($R$208="","",INDEX(전체채점!AV$3:AV$62,$R$208))</f>
        <v/>
      </c>
      <c r="P243" s="33">
        <f>IF($R$208="","",INDEX(전체채점!AW$3:AW$62,$R$208))</f>
        <v/>
      </c>
    </row>
    <row r="244">
      <c r="A244" s="52" t="inlineStr">
        <is>
          <t>정오</t>
        </is>
      </c>
      <c r="B244" s="33">
        <f>IF($R$208="","",INDEX(전체채점!CB$3:CB$62,$R$208))</f>
        <v/>
      </c>
      <c r="C244" s="33">
        <f>IF($R$208="","",INDEX(전체채점!CC$3:CC$62,$R$208))</f>
        <v/>
      </c>
      <c r="D244" s="33">
        <f>IF($R$208="","",INDEX(전체채점!CD$3:CD$62,$R$208))</f>
        <v/>
      </c>
      <c r="E244" s="33">
        <f>IF($R$208="","",INDEX(전체채점!CE$3:CE$62,$R$208))</f>
        <v/>
      </c>
      <c r="F244" s="33">
        <f>IF($R$208="","",INDEX(전체채점!CF$3:CF$62,$R$208))</f>
        <v/>
      </c>
      <c r="G244" s="33">
        <f>IF($R$208="","",INDEX(전체채점!CG$3:CG$62,$R$208))</f>
        <v/>
      </c>
      <c r="H244" s="33">
        <f>IF($R$208="","",INDEX(전체채점!CH$3:CH$62,$R$208))</f>
        <v/>
      </c>
      <c r="I244" s="33">
        <f>IF($R$208="","",INDEX(전체채점!CI$3:CI$62,$R$208))</f>
        <v/>
      </c>
      <c r="J244" s="33">
        <f>IF($R$208="","",INDEX(전체채점!CJ$3:CJ$62,$R$208))</f>
        <v/>
      </c>
      <c r="K244" s="33">
        <f>IF($R$208="","",INDEX(전체채점!CK$3:CK$62,$R$208))</f>
        <v/>
      </c>
      <c r="L244" s="33">
        <f>IF($R$208="","",INDEX(전체채점!CL$3:CL$62,$R$208))</f>
        <v/>
      </c>
      <c r="M244" s="33">
        <f>IF($R$208="","",INDEX(전체채점!CM$3:CM$62,$R$208))</f>
        <v/>
      </c>
      <c r="N244" s="33">
        <f>IF($R$208="","",INDEX(전체채점!CN$3:CN$62,$R$208))</f>
        <v/>
      </c>
      <c r="O244" s="33">
        <f>IF($R$208="","",INDEX(전체채점!CO$3:CO$62,$R$208))</f>
        <v/>
      </c>
      <c r="P244" s="33">
        <f>IF($R$208="","",INDEX(전체채점!CP$3:CP$62,$R$208))</f>
        <v/>
      </c>
    </row>
    <row r="247" ht="34" customHeight="1">
      <c r="A247" s="36">
        <f>IF($R$249="","",회차설정!$B$2&amp;" 성적표")</f>
        <v/>
      </c>
    </row>
    <row r="249">
      <c r="A249" s="12" t="inlineStr">
        <is>
          <t>1. 학생정보</t>
        </is>
      </c>
      <c r="R249" s="37">
        <f>IF(답안입력!$A$9="","",7)</f>
        <v/>
      </c>
      <c r="S249" s="37">
        <f>IF($R$250="","",IFERROR(IF($R$250="언어와 매체",MATCH(1,회차설정!$G$13:$G$27,0),MATCH(1,회차설정!$F$13:$F$27,0)),""))</f>
        <v/>
      </c>
    </row>
    <row r="250">
      <c r="A250" s="13" t="inlineStr">
        <is>
          <t>성명</t>
        </is>
      </c>
      <c r="B250" s="7" t="n"/>
      <c r="C250" s="8" t="n"/>
      <c r="D250" s="13" t="inlineStr">
        <is>
          <t>선택과목</t>
        </is>
      </c>
      <c r="E250" s="7" t="n"/>
      <c r="F250" s="7" t="n"/>
      <c r="G250" s="8" t="n"/>
      <c r="H250" s="13" t="inlineStr">
        <is>
          <t>학년</t>
        </is>
      </c>
      <c r="I250" s="7" t="n"/>
      <c r="J250" s="7" t="n"/>
      <c r="K250" s="8" t="n"/>
      <c r="L250" s="13" t="inlineStr">
        <is>
          <t>시행일</t>
        </is>
      </c>
      <c r="M250" s="7" t="n"/>
      <c r="N250" s="7" t="n"/>
      <c r="O250" s="7" t="n"/>
      <c r="P250" s="8" t="n"/>
      <c r="R250" s="37">
        <f>IF($R$249="","",INDEX(전체채점!$B$3:$B$62,$R$249))</f>
        <v/>
      </c>
      <c r="S250" s="37">
        <f>IF($R$250="","",IFERROR(IF($R$250="언어와 매체",MATCH(2,회차설정!$G$13:$G$27,0),MATCH(2,회차설정!$F$13:$F$27,0)),""))</f>
        <v/>
      </c>
    </row>
    <row r="251" ht="26" customHeight="1">
      <c r="A251" s="39">
        <f>IF($R$249="","",INDEX(답안입력!$A$3:$A$62,$R$249))</f>
        <v/>
      </c>
      <c r="B251" s="7" t="n"/>
      <c r="C251" s="8" t="n"/>
      <c r="D251" s="39">
        <f>IF($R$249="","",INDEX(답안입력!$C$3:$C$62,$R$249))</f>
        <v/>
      </c>
      <c r="E251" s="7" t="n"/>
      <c r="F251" s="7" t="n"/>
      <c r="G251" s="8" t="n"/>
      <c r="H251" s="39">
        <f>IF($R$249="","",INDEX(답안입력!$B$3:$B$62,$R$249))</f>
        <v/>
      </c>
      <c r="I251" s="7" t="n"/>
      <c r="J251" s="7" t="n"/>
      <c r="K251" s="8" t="n"/>
      <c r="L251" s="40">
        <f>회차설정!$B$3</f>
        <v/>
      </c>
      <c r="M251" s="7" t="n"/>
      <c r="N251" s="7" t="n"/>
      <c r="O251" s="7" t="n"/>
      <c r="P251" s="8" t="n"/>
      <c r="R251" s="37">
        <f>IF($R$250="언어와 매체",회차설정!$B$9,회차설정!$B$8)</f>
        <v/>
      </c>
      <c r="S251" s="37">
        <f>IF($R$250="","",IFERROR(IF($R$250="언어와 매체",MATCH(3,회차설정!$G$13:$G$27,0),MATCH(3,회차설정!$F$13:$F$27,0)),""))</f>
        <v/>
      </c>
    </row>
    <row r="252">
      <c r="R252" s="37">
        <f>IF($R$250="언어와 매체",회차설정!$C$9,회차설정!$C$8)</f>
        <v/>
      </c>
      <c r="S252" s="37">
        <f>IF($R$250="","",IFERROR(IF($R$250="언어와 매체",MATCH(4,회차설정!$G$13:$G$27,0),MATCH(4,회차설정!$F$13:$F$27,0)),""))</f>
        <v/>
      </c>
    </row>
    <row r="253">
      <c r="A253" s="12" t="inlineStr">
        <is>
          <t>2. 성적</t>
        </is>
      </c>
      <c r="R253" s="37">
        <f>IF($R$250="언어와 매체",회차설정!$D$9,회차설정!$D$8)</f>
        <v/>
      </c>
      <c r="S253" s="37">
        <f>IF($R$250="","",IFERROR(IF($R$250="언어와 매체",MATCH(5,회차설정!$G$13:$G$27,0),MATCH(5,회차설정!$F$13:$F$27,0)),""))</f>
        <v/>
      </c>
    </row>
    <row r="254">
      <c r="A254" s="13" t="inlineStr">
        <is>
          <t>점수 (100점 만점)</t>
        </is>
      </c>
      <c r="B254" s="7" t="n"/>
      <c r="C254" s="7" t="n"/>
      <c r="D254" s="7" t="n"/>
      <c r="E254" s="8" t="n"/>
      <c r="F254" s="13" t="inlineStr">
        <is>
          <t>등급</t>
        </is>
      </c>
      <c r="G254" s="7" t="n"/>
      <c r="H254" s="8" t="n"/>
      <c r="I254" s="13" t="inlineStr">
        <is>
          <t>등급컷</t>
        </is>
      </c>
      <c r="J254" s="7" t="n"/>
      <c r="K254" s="7" t="n"/>
      <c r="L254" s="8" t="n"/>
      <c r="M254" s="13" t="inlineStr">
        <is>
          <t>같은 선택과목 평균</t>
        </is>
      </c>
      <c r="N254" s="7" t="n"/>
      <c r="O254" s="7" t="n"/>
      <c r="P254" s="8" t="n"/>
      <c r="R254" s="37">
        <f>IF($R$250="언어와 매체",회차설정!$E$9,회차설정!$E$8)</f>
        <v/>
      </c>
      <c r="S254" s="37">
        <f>IF($R$250="","",IFERROR(IF($R$250="언어와 매체",MATCH(6,회차설정!$G$13:$G$27,0),MATCH(6,회차설정!$F$13:$F$27,0)),""))</f>
        <v/>
      </c>
    </row>
    <row r="255" ht="34" customHeight="1">
      <c r="A255" s="41">
        <f>IF($R$249="","",INDEX(전체채점!$C$3:$C$62,$R$249))</f>
        <v/>
      </c>
      <c r="B255" s="7" t="n"/>
      <c r="C255" s="7" t="n"/>
      <c r="D255" s="7" t="n"/>
      <c r="E255" s="8" t="n"/>
      <c r="F255" s="42">
        <f>IF($R$249="","",INDEX(전체채점!$D$3:$D$62,$R$249))</f>
        <v/>
      </c>
      <c r="G255" s="7" t="n"/>
      <c r="H255" s="8" t="n"/>
      <c r="I255" s="43">
        <f>IF($R$249="","",$R$251&amp;"-"&amp;$R$252&amp;"-"&amp;$R$253&amp;"-"&amp;$R$254)</f>
        <v/>
      </c>
      <c r="J255" s="7" t="n"/>
      <c r="K255" s="7" t="n"/>
      <c r="L255" s="8" t="n"/>
      <c r="M255" s="44">
        <f>IFERROR(AVERAGEIF(전체채점!$B$3:$B$62,$R$250,전체채점!$C$3:$C$62),"")</f>
        <v/>
      </c>
      <c r="N255" s="7" t="n"/>
      <c r="O255" s="7" t="n"/>
      <c r="P255" s="8" t="n"/>
      <c r="S255" s="37">
        <f>IF($R$250="","",IFERROR(IF($R$250="언어와 매체",MATCH(7,회차설정!$G$13:$G$27,0),MATCH(7,회차설정!$F$13:$F$27,0)),""))</f>
        <v/>
      </c>
    </row>
    <row r="256">
      <c r="S256" s="37">
        <f>IF($R$250="","",IFERROR(IF($R$250="언어와 매체",MATCH(8,회차설정!$G$13:$G$27,0),MATCH(8,회차설정!$F$13:$F$27,0)),""))</f>
        <v/>
      </c>
    </row>
    <row r="257">
      <c r="A257" s="12" t="inlineStr">
        <is>
          <t>3. 영역분류별 성취도 분석</t>
        </is>
      </c>
      <c r="F257" s="45">
        <f>IF(OR($R$249="",$E271=""),"",IF($E271=INDEX(전체채점!$C$3:$C$62,$R$249),"","※ 회차설정의 영역 표를 확인하세요 — 영역 합계와 점수가 다릅니다"))</f>
        <v/>
      </c>
      <c r="S257" s="37">
        <f>IF($R$250="","",IFERROR(IF($R$250="언어와 매체",MATCH(9,회차설정!$G$13:$G$27,0),MATCH(9,회차설정!$F$13:$F$27,0)),""))</f>
        <v/>
      </c>
    </row>
    <row r="258">
      <c r="A258" s="13" t="inlineStr">
        <is>
          <t>분류</t>
        </is>
      </c>
      <c r="B258" s="13" t="inlineStr">
        <is>
          <t>영역</t>
        </is>
      </c>
      <c r="C258" s="8" t="n"/>
      <c r="D258" s="13" t="inlineStr">
        <is>
          <t>배점</t>
        </is>
      </c>
      <c r="E258" s="13" t="inlineStr">
        <is>
          <t>득점</t>
        </is>
      </c>
      <c r="F258" s="13" t="inlineStr">
        <is>
          <t>성취도(%)</t>
        </is>
      </c>
      <c r="G258" s="8" t="n"/>
      <c r="H258" s="13" t="inlineStr"/>
      <c r="I258" s="7" t="n"/>
      <c r="J258" s="7" t="n"/>
      <c r="K258" s="7" t="n"/>
      <c r="L258" s="7" t="n"/>
      <c r="M258" s="7" t="n"/>
      <c r="N258" s="7" t="n"/>
      <c r="O258" s="7" t="n"/>
      <c r="P258" s="8" t="n"/>
      <c r="S258" s="37">
        <f>IF($R$250="","",IFERROR(IF($R$250="언어와 매체",MATCH(10,회차설정!$G$13:$G$27,0),MATCH(10,회차설정!$F$13:$F$27,0)),""))</f>
        <v/>
      </c>
    </row>
    <row r="259">
      <c r="A259" s="14">
        <f>IF($S$249="","",INDEX(회차설정!$A$13:$A$27,$S$249))</f>
        <v/>
      </c>
      <c r="B259" s="14">
        <f>IF($S$249="","",INDEX(회차설정!$B$13:$B$27,$S$249))</f>
        <v/>
      </c>
      <c r="C259" s="8" t="n"/>
      <c r="D259" s="14">
        <f>IF($S$249="","",IF($R$250="언어와 매체",SUMPRODUCT((자동계산!$A$4:$A$48&gt;=INDEX(회차설정!$C$13:$C$27,$S$249))*(자동계산!$A$4:$A$48&lt;=INDEX(회차설정!$D$13:$D$27,$S$249))*자동계산!$E$4:$E$48),SUMPRODUCT((자동계산!$A$4:$A$48&gt;=INDEX(회차설정!$C$13:$C$27,$S$249))*(자동계산!$A$4:$A$48&lt;=INDEX(회차설정!$D$13:$D$27,$S$249))*자동계산!$C$4:$C$48)))</f>
        <v/>
      </c>
      <c r="E259" s="14">
        <f>IF(OR($S$249="",$R$249=""),"",SUM(OFFSET(전체채점!$AW$2,$R$249,INDEX(회차설정!$C$13:$C$27,$S$249),1,INDEX(회차설정!$D$13:$D$27,$S$249)-INDEX(회차설정!$C$13:$C$27,$S$249)+1)))</f>
        <v/>
      </c>
      <c r="F259" s="46">
        <f>IF(OR($S$249="",$D259=0,$D259="",$E259=""),"",$E259/$D259*100)</f>
        <v/>
      </c>
      <c r="G259" s="8" t="n"/>
      <c r="H259" s="47">
        <f>IF($F259="","",REPT("■",ROUND($F259/5,0)))</f>
        <v/>
      </c>
      <c r="I259" s="7" t="n"/>
      <c r="J259" s="7" t="n"/>
      <c r="K259" s="7" t="n"/>
      <c r="L259" s="7" t="n"/>
      <c r="M259" s="7" t="n"/>
      <c r="N259" s="7" t="n"/>
      <c r="O259" s="7" t="n"/>
      <c r="P259" s="8" t="n"/>
      <c r="S259" s="37">
        <f>IF($R$250="","",IFERROR(IF($R$250="언어와 매체",MATCH(11,회차설정!$G$13:$G$27,0),MATCH(11,회차설정!$F$13:$F$27,0)),""))</f>
        <v/>
      </c>
    </row>
    <row r="260">
      <c r="A260" s="14">
        <f>IF($S$250="","",INDEX(회차설정!$A$13:$A$27,$S$250))</f>
        <v/>
      </c>
      <c r="B260" s="14">
        <f>IF($S$250="","",INDEX(회차설정!$B$13:$B$27,$S$250))</f>
        <v/>
      </c>
      <c r="C260" s="8" t="n"/>
      <c r="D260" s="14">
        <f>IF($S$250="","",IF($R$250="언어와 매체",SUMPRODUCT((자동계산!$A$4:$A$48&gt;=INDEX(회차설정!$C$13:$C$27,$S$250))*(자동계산!$A$4:$A$48&lt;=INDEX(회차설정!$D$13:$D$27,$S$250))*자동계산!$E$4:$E$48),SUMPRODUCT((자동계산!$A$4:$A$48&gt;=INDEX(회차설정!$C$13:$C$27,$S$250))*(자동계산!$A$4:$A$48&lt;=INDEX(회차설정!$D$13:$D$27,$S$250))*자동계산!$C$4:$C$48)))</f>
        <v/>
      </c>
      <c r="E260" s="14">
        <f>IF(OR($S$250="",$R$249=""),"",SUM(OFFSET(전체채점!$AW$2,$R$249,INDEX(회차설정!$C$13:$C$27,$S$250),1,INDEX(회차설정!$D$13:$D$27,$S$250)-INDEX(회차설정!$C$13:$C$27,$S$250)+1)))</f>
        <v/>
      </c>
      <c r="F260" s="46">
        <f>IF(OR($S$250="",$D260=0,$D260="",$E260=""),"",$E260/$D260*100)</f>
        <v/>
      </c>
      <c r="G260" s="8" t="n"/>
      <c r="H260" s="47">
        <f>IF($F260="","",REPT("■",ROUND($F260/5,0)))</f>
        <v/>
      </c>
      <c r="I260" s="7" t="n"/>
      <c r="J260" s="7" t="n"/>
      <c r="K260" s="7" t="n"/>
      <c r="L260" s="7" t="n"/>
      <c r="M260" s="7" t="n"/>
      <c r="N260" s="7" t="n"/>
      <c r="O260" s="7" t="n"/>
      <c r="P260" s="8" t="n"/>
      <c r="S260" s="37">
        <f>IF($R$250="","",IFERROR(IF($R$250="언어와 매체",MATCH(12,회차설정!$G$13:$G$27,0),MATCH(12,회차설정!$F$13:$F$27,0)),""))</f>
        <v/>
      </c>
    </row>
    <row r="261">
      <c r="A261" s="14">
        <f>IF($S$251="","",INDEX(회차설정!$A$13:$A$27,$S$251))</f>
        <v/>
      </c>
      <c r="B261" s="14">
        <f>IF($S$251="","",INDEX(회차설정!$B$13:$B$27,$S$251))</f>
        <v/>
      </c>
      <c r="C261" s="8" t="n"/>
      <c r="D261" s="14">
        <f>IF($S$251="","",IF($R$250="언어와 매체",SUMPRODUCT((자동계산!$A$4:$A$48&gt;=INDEX(회차설정!$C$13:$C$27,$S$251))*(자동계산!$A$4:$A$48&lt;=INDEX(회차설정!$D$13:$D$27,$S$251))*자동계산!$E$4:$E$48),SUMPRODUCT((자동계산!$A$4:$A$48&gt;=INDEX(회차설정!$C$13:$C$27,$S$251))*(자동계산!$A$4:$A$48&lt;=INDEX(회차설정!$D$13:$D$27,$S$251))*자동계산!$C$4:$C$48)))</f>
        <v/>
      </c>
      <c r="E261" s="14">
        <f>IF(OR($S$251="",$R$249=""),"",SUM(OFFSET(전체채점!$AW$2,$R$249,INDEX(회차설정!$C$13:$C$27,$S$251),1,INDEX(회차설정!$D$13:$D$27,$S$251)-INDEX(회차설정!$C$13:$C$27,$S$251)+1)))</f>
        <v/>
      </c>
      <c r="F261" s="46">
        <f>IF(OR($S$251="",$D261=0,$D261="",$E261=""),"",$E261/$D261*100)</f>
        <v/>
      </c>
      <c r="G261" s="8" t="n"/>
      <c r="H261" s="47">
        <f>IF($F261="","",REPT("■",ROUND($F261/5,0)))</f>
        <v/>
      </c>
      <c r="I261" s="7" t="n"/>
      <c r="J261" s="7" t="n"/>
      <c r="K261" s="7" t="n"/>
      <c r="L261" s="7" t="n"/>
      <c r="M261" s="7" t="n"/>
      <c r="N261" s="7" t="n"/>
      <c r="O261" s="7" t="n"/>
      <c r="P261" s="8" t="n"/>
    </row>
    <row r="262">
      <c r="A262" s="14">
        <f>IF($S$252="","",INDEX(회차설정!$A$13:$A$27,$S$252))</f>
        <v/>
      </c>
      <c r="B262" s="14">
        <f>IF($S$252="","",INDEX(회차설정!$B$13:$B$27,$S$252))</f>
        <v/>
      </c>
      <c r="C262" s="8" t="n"/>
      <c r="D262" s="14">
        <f>IF($S$252="","",IF($R$250="언어와 매체",SUMPRODUCT((자동계산!$A$4:$A$48&gt;=INDEX(회차설정!$C$13:$C$27,$S$252))*(자동계산!$A$4:$A$48&lt;=INDEX(회차설정!$D$13:$D$27,$S$252))*자동계산!$E$4:$E$48),SUMPRODUCT((자동계산!$A$4:$A$48&gt;=INDEX(회차설정!$C$13:$C$27,$S$252))*(자동계산!$A$4:$A$48&lt;=INDEX(회차설정!$D$13:$D$27,$S$252))*자동계산!$C$4:$C$48)))</f>
        <v/>
      </c>
      <c r="E262" s="14">
        <f>IF(OR($S$252="",$R$249=""),"",SUM(OFFSET(전체채점!$AW$2,$R$249,INDEX(회차설정!$C$13:$C$27,$S$252),1,INDEX(회차설정!$D$13:$D$27,$S$252)-INDEX(회차설정!$C$13:$C$27,$S$252)+1)))</f>
        <v/>
      </c>
      <c r="F262" s="46">
        <f>IF(OR($S$252="",$D262=0,$D262="",$E262=""),"",$E262/$D262*100)</f>
        <v/>
      </c>
      <c r="G262" s="8" t="n"/>
      <c r="H262" s="47">
        <f>IF($F262="","",REPT("■",ROUND($F262/5,0)))</f>
        <v/>
      </c>
      <c r="I262" s="7" t="n"/>
      <c r="J262" s="7" t="n"/>
      <c r="K262" s="7" t="n"/>
      <c r="L262" s="7" t="n"/>
      <c r="M262" s="7" t="n"/>
      <c r="N262" s="7" t="n"/>
      <c r="O262" s="7" t="n"/>
      <c r="P262" s="8" t="n"/>
    </row>
    <row r="263">
      <c r="A263" s="14">
        <f>IF($S$253="","",INDEX(회차설정!$A$13:$A$27,$S$253))</f>
        <v/>
      </c>
      <c r="B263" s="14">
        <f>IF($S$253="","",INDEX(회차설정!$B$13:$B$27,$S$253))</f>
        <v/>
      </c>
      <c r="C263" s="8" t="n"/>
      <c r="D263" s="14">
        <f>IF($S$253="","",IF($R$250="언어와 매체",SUMPRODUCT((자동계산!$A$4:$A$48&gt;=INDEX(회차설정!$C$13:$C$27,$S$253))*(자동계산!$A$4:$A$48&lt;=INDEX(회차설정!$D$13:$D$27,$S$253))*자동계산!$E$4:$E$48),SUMPRODUCT((자동계산!$A$4:$A$48&gt;=INDEX(회차설정!$C$13:$C$27,$S$253))*(자동계산!$A$4:$A$48&lt;=INDEX(회차설정!$D$13:$D$27,$S$253))*자동계산!$C$4:$C$48)))</f>
        <v/>
      </c>
      <c r="E263" s="14">
        <f>IF(OR($S$253="",$R$249=""),"",SUM(OFFSET(전체채점!$AW$2,$R$249,INDEX(회차설정!$C$13:$C$27,$S$253),1,INDEX(회차설정!$D$13:$D$27,$S$253)-INDEX(회차설정!$C$13:$C$27,$S$253)+1)))</f>
        <v/>
      </c>
      <c r="F263" s="46">
        <f>IF(OR($S$253="",$D263=0,$D263="",$E263=""),"",$E263/$D263*100)</f>
        <v/>
      </c>
      <c r="G263" s="8" t="n"/>
      <c r="H263" s="47">
        <f>IF($F263="","",REPT("■",ROUND($F263/5,0)))</f>
        <v/>
      </c>
      <c r="I263" s="7" t="n"/>
      <c r="J263" s="7" t="n"/>
      <c r="K263" s="7" t="n"/>
      <c r="L263" s="7" t="n"/>
      <c r="M263" s="7" t="n"/>
      <c r="N263" s="7" t="n"/>
      <c r="O263" s="7" t="n"/>
      <c r="P263" s="8" t="n"/>
    </row>
    <row r="264">
      <c r="A264" s="14">
        <f>IF($S$254="","",INDEX(회차설정!$A$13:$A$27,$S$254))</f>
        <v/>
      </c>
      <c r="B264" s="14">
        <f>IF($S$254="","",INDEX(회차설정!$B$13:$B$27,$S$254))</f>
        <v/>
      </c>
      <c r="C264" s="8" t="n"/>
      <c r="D264" s="14">
        <f>IF($S$254="","",IF($R$250="언어와 매체",SUMPRODUCT((자동계산!$A$4:$A$48&gt;=INDEX(회차설정!$C$13:$C$27,$S$254))*(자동계산!$A$4:$A$48&lt;=INDEX(회차설정!$D$13:$D$27,$S$254))*자동계산!$E$4:$E$48),SUMPRODUCT((자동계산!$A$4:$A$48&gt;=INDEX(회차설정!$C$13:$C$27,$S$254))*(자동계산!$A$4:$A$48&lt;=INDEX(회차설정!$D$13:$D$27,$S$254))*자동계산!$C$4:$C$48)))</f>
        <v/>
      </c>
      <c r="E264" s="14">
        <f>IF(OR($S$254="",$R$249=""),"",SUM(OFFSET(전체채점!$AW$2,$R$249,INDEX(회차설정!$C$13:$C$27,$S$254),1,INDEX(회차설정!$D$13:$D$27,$S$254)-INDEX(회차설정!$C$13:$C$27,$S$254)+1)))</f>
        <v/>
      </c>
      <c r="F264" s="46">
        <f>IF(OR($S$254="",$D264=0,$D264="",$E264=""),"",$E264/$D264*100)</f>
        <v/>
      </c>
      <c r="G264" s="8" t="n"/>
      <c r="H264" s="47">
        <f>IF($F264="","",REPT("■",ROUND($F264/5,0)))</f>
        <v/>
      </c>
      <c r="I264" s="7" t="n"/>
      <c r="J264" s="7" t="n"/>
      <c r="K264" s="7" t="n"/>
      <c r="L264" s="7" t="n"/>
      <c r="M264" s="7" t="n"/>
      <c r="N264" s="7" t="n"/>
      <c r="O264" s="7" t="n"/>
      <c r="P264" s="8" t="n"/>
    </row>
    <row r="265">
      <c r="A265" s="14">
        <f>IF($S$255="","",INDEX(회차설정!$A$13:$A$27,$S$255))</f>
        <v/>
      </c>
      <c r="B265" s="14">
        <f>IF($S$255="","",INDEX(회차설정!$B$13:$B$27,$S$255))</f>
        <v/>
      </c>
      <c r="C265" s="8" t="n"/>
      <c r="D265" s="14">
        <f>IF($S$255="","",IF($R$250="언어와 매체",SUMPRODUCT((자동계산!$A$4:$A$48&gt;=INDEX(회차설정!$C$13:$C$27,$S$255))*(자동계산!$A$4:$A$48&lt;=INDEX(회차설정!$D$13:$D$27,$S$255))*자동계산!$E$4:$E$48),SUMPRODUCT((자동계산!$A$4:$A$48&gt;=INDEX(회차설정!$C$13:$C$27,$S$255))*(자동계산!$A$4:$A$48&lt;=INDEX(회차설정!$D$13:$D$27,$S$255))*자동계산!$C$4:$C$48)))</f>
        <v/>
      </c>
      <c r="E265" s="14">
        <f>IF(OR($S$255="",$R$249=""),"",SUM(OFFSET(전체채점!$AW$2,$R$249,INDEX(회차설정!$C$13:$C$27,$S$255),1,INDEX(회차설정!$D$13:$D$27,$S$255)-INDEX(회차설정!$C$13:$C$27,$S$255)+1)))</f>
        <v/>
      </c>
      <c r="F265" s="46">
        <f>IF(OR($S$255="",$D265=0,$D265="",$E265=""),"",$E265/$D265*100)</f>
        <v/>
      </c>
      <c r="G265" s="8" t="n"/>
      <c r="H265" s="47">
        <f>IF($F265="","",REPT("■",ROUND($F265/5,0)))</f>
        <v/>
      </c>
      <c r="I265" s="7" t="n"/>
      <c r="J265" s="7" t="n"/>
      <c r="K265" s="7" t="n"/>
      <c r="L265" s="7" t="n"/>
      <c r="M265" s="7" t="n"/>
      <c r="N265" s="7" t="n"/>
      <c r="O265" s="7" t="n"/>
      <c r="P265" s="8" t="n"/>
    </row>
    <row r="266">
      <c r="A266" s="14">
        <f>IF($S$256="","",INDEX(회차설정!$A$13:$A$27,$S$256))</f>
        <v/>
      </c>
      <c r="B266" s="14">
        <f>IF($S$256="","",INDEX(회차설정!$B$13:$B$27,$S$256))</f>
        <v/>
      </c>
      <c r="C266" s="8" t="n"/>
      <c r="D266" s="14">
        <f>IF($S$256="","",IF($R$250="언어와 매체",SUMPRODUCT((자동계산!$A$4:$A$48&gt;=INDEX(회차설정!$C$13:$C$27,$S$256))*(자동계산!$A$4:$A$48&lt;=INDEX(회차설정!$D$13:$D$27,$S$256))*자동계산!$E$4:$E$48),SUMPRODUCT((자동계산!$A$4:$A$48&gt;=INDEX(회차설정!$C$13:$C$27,$S$256))*(자동계산!$A$4:$A$48&lt;=INDEX(회차설정!$D$13:$D$27,$S$256))*자동계산!$C$4:$C$48)))</f>
        <v/>
      </c>
      <c r="E266" s="14">
        <f>IF(OR($S$256="",$R$249=""),"",SUM(OFFSET(전체채점!$AW$2,$R$249,INDEX(회차설정!$C$13:$C$27,$S$256),1,INDEX(회차설정!$D$13:$D$27,$S$256)-INDEX(회차설정!$C$13:$C$27,$S$256)+1)))</f>
        <v/>
      </c>
      <c r="F266" s="46">
        <f>IF(OR($S$256="",$D266=0,$D266="",$E266=""),"",$E266/$D266*100)</f>
        <v/>
      </c>
      <c r="G266" s="8" t="n"/>
      <c r="H266" s="47">
        <f>IF($F266="","",REPT("■",ROUND($F266/5,0)))</f>
        <v/>
      </c>
      <c r="I266" s="7" t="n"/>
      <c r="J266" s="7" t="n"/>
      <c r="K266" s="7" t="n"/>
      <c r="L266" s="7" t="n"/>
      <c r="M266" s="7" t="n"/>
      <c r="N266" s="7" t="n"/>
      <c r="O266" s="7" t="n"/>
      <c r="P266" s="8" t="n"/>
    </row>
    <row r="267">
      <c r="A267" s="14">
        <f>IF($S$257="","",INDEX(회차설정!$A$13:$A$27,$S$257))</f>
        <v/>
      </c>
      <c r="B267" s="14">
        <f>IF($S$257="","",INDEX(회차설정!$B$13:$B$27,$S$257))</f>
        <v/>
      </c>
      <c r="C267" s="8" t="n"/>
      <c r="D267" s="14">
        <f>IF($S$257="","",IF($R$250="언어와 매체",SUMPRODUCT((자동계산!$A$4:$A$48&gt;=INDEX(회차설정!$C$13:$C$27,$S$257))*(자동계산!$A$4:$A$48&lt;=INDEX(회차설정!$D$13:$D$27,$S$257))*자동계산!$E$4:$E$48),SUMPRODUCT((자동계산!$A$4:$A$48&gt;=INDEX(회차설정!$C$13:$C$27,$S$257))*(자동계산!$A$4:$A$48&lt;=INDEX(회차설정!$D$13:$D$27,$S$257))*자동계산!$C$4:$C$48)))</f>
        <v/>
      </c>
      <c r="E267" s="14">
        <f>IF(OR($S$257="",$R$249=""),"",SUM(OFFSET(전체채점!$AW$2,$R$249,INDEX(회차설정!$C$13:$C$27,$S$257),1,INDEX(회차설정!$D$13:$D$27,$S$257)-INDEX(회차설정!$C$13:$C$27,$S$257)+1)))</f>
        <v/>
      </c>
      <c r="F267" s="46">
        <f>IF(OR($S$257="",$D267=0,$D267="",$E267=""),"",$E267/$D267*100)</f>
        <v/>
      </c>
      <c r="G267" s="8" t="n"/>
      <c r="H267" s="47">
        <f>IF($F267="","",REPT("■",ROUND($F267/5,0)))</f>
        <v/>
      </c>
      <c r="I267" s="7" t="n"/>
      <c r="J267" s="7" t="n"/>
      <c r="K267" s="7" t="n"/>
      <c r="L267" s="7" t="n"/>
      <c r="M267" s="7" t="n"/>
      <c r="N267" s="7" t="n"/>
      <c r="O267" s="7" t="n"/>
      <c r="P267" s="8" t="n"/>
    </row>
    <row r="268">
      <c r="A268" s="14">
        <f>IF($S$258="","",INDEX(회차설정!$A$13:$A$27,$S$258))</f>
        <v/>
      </c>
      <c r="B268" s="14">
        <f>IF($S$258="","",INDEX(회차설정!$B$13:$B$27,$S$258))</f>
        <v/>
      </c>
      <c r="C268" s="8" t="n"/>
      <c r="D268" s="14">
        <f>IF($S$258="","",IF($R$250="언어와 매체",SUMPRODUCT((자동계산!$A$4:$A$48&gt;=INDEX(회차설정!$C$13:$C$27,$S$258))*(자동계산!$A$4:$A$48&lt;=INDEX(회차설정!$D$13:$D$27,$S$258))*자동계산!$E$4:$E$48),SUMPRODUCT((자동계산!$A$4:$A$48&gt;=INDEX(회차설정!$C$13:$C$27,$S$258))*(자동계산!$A$4:$A$48&lt;=INDEX(회차설정!$D$13:$D$27,$S$258))*자동계산!$C$4:$C$48)))</f>
        <v/>
      </c>
      <c r="E268" s="14">
        <f>IF(OR($S$258="",$R$249=""),"",SUM(OFFSET(전체채점!$AW$2,$R$249,INDEX(회차설정!$C$13:$C$27,$S$258),1,INDEX(회차설정!$D$13:$D$27,$S$258)-INDEX(회차설정!$C$13:$C$27,$S$258)+1)))</f>
        <v/>
      </c>
      <c r="F268" s="46">
        <f>IF(OR($S$258="",$D268=0,$D268="",$E268=""),"",$E268/$D268*100)</f>
        <v/>
      </c>
      <c r="G268" s="8" t="n"/>
      <c r="H268" s="47">
        <f>IF($F268="","",REPT("■",ROUND($F268/5,0)))</f>
        <v/>
      </c>
      <c r="I268" s="7" t="n"/>
      <c r="J268" s="7" t="n"/>
      <c r="K268" s="7" t="n"/>
      <c r="L268" s="7" t="n"/>
      <c r="M268" s="7" t="n"/>
      <c r="N268" s="7" t="n"/>
      <c r="O268" s="7" t="n"/>
      <c r="P268" s="8" t="n"/>
    </row>
    <row r="269">
      <c r="A269" s="14">
        <f>IF($S$259="","",INDEX(회차설정!$A$13:$A$27,$S$259))</f>
        <v/>
      </c>
      <c r="B269" s="14">
        <f>IF($S$259="","",INDEX(회차설정!$B$13:$B$27,$S$259))</f>
        <v/>
      </c>
      <c r="C269" s="8" t="n"/>
      <c r="D269" s="14">
        <f>IF($S$259="","",IF($R$250="언어와 매체",SUMPRODUCT((자동계산!$A$4:$A$48&gt;=INDEX(회차설정!$C$13:$C$27,$S$259))*(자동계산!$A$4:$A$48&lt;=INDEX(회차설정!$D$13:$D$27,$S$259))*자동계산!$E$4:$E$48),SUMPRODUCT((자동계산!$A$4:$A$48&gt;=INDEX(회차설정!$C$13:$C$27,$S$259))*(자동계산!$A$4:$A$48&lt;=INDEX(회차설정!$D$13:$D$27,$S$259))*자동계산!$C$4:$C$48)))</f>
        <v/>
      </c>
      <c r="E269" s="14">
        <f>IF(OR($S$259="",$R$249=""),"",SUM(OFFSET(전체채점!$AW$2,$R$249,INDEX(회차설정!$C$13:$C$27,$S$259),1,INDEX(회차설정!$D$13:$D$27,$S$259)-INDEX(회차설정!$C$13:$C$27,$S$259)+1)))</f>
        <v/>
      </c>
      <c r="F269" s="46">
        <f>IF(OR($S$259="",$D269=0,$D269="",$E269=""),"",$E269/$D269*100)</f>
        <v/>
      </c>
      <c r="G269" s="8" t="n"/>
      <c r="H269" s="47">
        <f>IF($F269="","",REPT("■",ROUND($F269/5,0)))</f>
        <v/>
      </c>
      <c r="I269" s="7" t="n"/>
      <c r="J269" s="7" t="n"/>
      <c r="K269" s="7" t="n"/>
      <c r="L269" s="7" t="n"/>
      <c r="M269" s="7" t="n"/>
      <c r="N269" s="7" t="n"/>
      <c r="O269" s="7" t="n"/>
      <c r="P269" s="8" t="n"/>
    </row>
    <row r="270">
      <c r="A270" s="14">
        <f>IF($S$260="","",INDEX(회차설정!$A$13:$A$27,$S$260))</f>
        <v/>
      </c>
      <c r="B270" s="14">
        <f>IF($S$260="","",INDEX(회차설정!$B$13:$B$27,$S$260))</f>
        <v/>
      </c>
      <c r="C270" s="8" t="n"/>
      <c r="D270" s="14">
        <f>IF($S$260="","",IF($R$250="언어와 매체",SUMPRODUCT((자동계산!$A$4:$A$48&gt;=INDEX(회차설정!$C$13:$C$27,$S$260))*(자동계산!$A$4:$A$48&lt;=INDEX(회차설정!$D$13:$D$27,$S$260))*자동계산!$E$4:$E$48),SUMPRODUCT((자동계산!$A$4:$A$48&gt;=INDEX(회차설정!$C$13:$C$27,$S$260))*(자동계산!$A$4:$A$48&lt;=INDEX(회차설정!$D$13:$D$27,$S$260))*자동계산!$C$4:$C$48)))</f>
        <v/>
      </c>
      <c r="E270" s="14">
        <f>IF(OR($S$260="",$R$249=""),"",SUM(OFFSET(전체채점!$AW$2,$R$249,INDEX(회차설정!$C$13:$C$27,$S$260),1,INDEX(회차설정!$D$13:$D$27,$S$260)-INDEX(회차설정!$C$13:$C$27,$S$260)+1)))</f>
        <v/>
      </c>
      <c r="F270" s="46">
        <f>IF(OR($S$260="",$D270=0,$D270="",$E270=""),"",$E270/$D270*100)</f>
        <v/>
      </c>
      <c r="G270" s="8" t="n"/>
      <c r="H270" s="47">
        <f>IF($F270="","",REPT("■",ROUND($F270/5,0)))</f>
        <v/>
      </c>
      <c r="I270" s="7" t="n"/>
      <c r="J270" s="7" t="n"/>
      <c r="K270" s="7" t="n"/>
      <c r="L270" s="7" t="n"/>
      <c r="M270" s="7" t="n"/>
      <c r="N270" s="7" t="n"/>
      <c r="O270" s="7" t="n"/>
      <c r="P270" s="8" t="n"/>
    </row>
    <row r="271">
      <c r="A271" s="5">
        <f>IF($R$249="","","합계")</f>
        <v/>
      </c>
      <c r="B271" s="7" t="n"/>
      <c r="C271" s="8" t="n"/>
      <c r="D271" s="5">
        <f>IF($R$249="","",SUM(D259:D270))</f>
        <v/>
      </c>
      <c r="E271" s="5">
        <f>IF($R$249="","",SUM(E259:E270))</f>
        <v/>
      </c>
      <c r="F271" s="48">
        <f>IF(OR($D271=0,$D271=""),"",$E271/$D271*100)</f>
        <v/>
      </c>
      <c r="G271" s="8" t="n"/>
      <c r="H271" s="49">
        <f>IF($F271="","",REPT("■",ROUND($F271/5,0)))</f>
        <v/>
      </c>
      <c r="I271" s="7" t="n"/>
      <c r="J271" s="7" t="n"/>
      <c r="K271" s="7" t="n"/>
      <c r="L271" s="7" t="n"/>
      <c r="M271" s="7" t="n"/>
      <c r="N271" s="7" t="n"/>
      <c r="O271" s="7" t="n"/>
      <c r="P271" s="8" t="n"/>
    </row>
    <row r="273">
      <c r="A273" s="12" t="inlineStr">
        <is>
          <t>4. 문항 채점표</t>
        </is>
      </c>
    </row>
    <row r="274">
      <c r="A274" s="50" t="inlineStr">
        <is>
          <t>문항 번호</t>
        </is>
      </c>
      <c r="B274" s="51" t="n">
        <v>1</v>
      </c>
      <c r="C274" s="51" t="n">
        <v>2</v>
      </c>
      <c r="D274" s="51" t="n">
        <v>3</v>
      </c>
      <c r="E274" s="51" t="n">
        <v>4</v>
      </c>
      <c r="F274" s="51" t="n">
        <v>5</v>
      </c>
      <c r="G274" s="51" t="n">
        <v>6</v>
      </c>
      <c r="H274" s="51" t="n">
        <v>7</v>
      </c>
      <c r="I274" s="51" t="n">
        <v>8</v>
      </c>
      <c r="J274" s="51" t="n">
        <v>9</v>
      </c>
      <c r="K274" s="51" t="n">
        <v>10</v>
      </c>
      <c r="L274" s="51" t="n">
        <v>11</v>
      </c>
      <c r="M274" s="51" t="n">
        <v>12</v>
      </c>
      <c r="N274" s="51" t="n">
        <v>13</v>
      </c>
      <c r="O274" s="51" t="n">
        <v>14</v>
      </c>
      <c r="P274" s="51" t="n">
        <v>15</v>
      </c>
    </row>
    <row r="275">
      <c r="A275" s="52" t="inlineStr">
        <is>
          <t>정답</t>
        </is>
      </c>
      <c r="B275" s="33">
        <f>IF($R$250="","",IF($R$250="언어와 매체",자동계산!$D$4,자동계산!$B$4))</f>
        <v/>
      </c>
      <c r="C275" s="33">
        <f>IF($R$250="","",IF($R$250="언어와 매체",자동계산!$D$5,자동계산!$B$5))</f>
        <v/>
      </c>
      <c r="D275" s="33">
        <f>IF($R$250="","",IF($R$250="언어와 매체",자동계산!$D$6,자동계산!$B$6))</f>
        <v/>
      </c>
      <c r="E275" s="33">
        <f>IF($R$250="","",IF($R$250="언어와 매체",자동계산!$D$7,자동계산!$B$7))</f>
        <v/>
      </c>
      <c r="F275" s="33">
        <f>IF($R$250="","",IF($R$250="언어와 매체",자동계산!$D$8,자동계산!$B$8))</f>
        <v/>
      </c>
      <c r="G275" s="33">
        <f>IF($R$250="","",IF($R$250="언어와 매체",자동계산!$D$9,자동계산!$B$9))</f>
        <v/>
      </c>
      <c r="H275" s="33">
        <f>IF($R$250="","",IF($R$250="언어와 매체",자동계산!$D$10,자동계산!$B$10))</f>
        <v/>
      </c>
      <c r="I275" s="33">
        <f>IF($R$250="","",IF($R$250="언어와 매체",자동계산!$D$11,자동계산!$B$11))</f>
        <v/>
      </c>
      <c r="J275" s="33">
        <f>IF($R$250="","",IF($R$250="언어와 매체",자동계산!$D$12,자동계산!$B$12))</f>
        <v/>
      </c>
      <c r="K275" s="33">
        <f>IF($R$250="","",IF($R$250="언어와 매체",자동계산!$D$13,자동계산!$B$13))</f>
        <v/>
      </c>
      <c r="L275" s="33">
        <f>IF($R$250="","",IF($R$250="언어와 매체",자동계산!$D$14,자동계산!$B$14))</f>
        <v/>
      </c>
      <c r="M275" s="33">
        <f>IF($R$250="","",IF($R$250="언어와 매체",자동계산!$D$15,자동계산!$B$15))</f>
        <v/>
      </c>
      <c r="N275" s="33">
        <f>IF($R$250="","",IF($R$250="언어와 매체",자동계산!$D$16,자동계산!$B$16))</f>
        <v/>
      </c>
      <c r="O275" s="33">
        <f>IF($R$250="","",IF($R$250="언어와 매체",자동계산!$D$17,자동계산!$B$17))</f>
        <v/>
      </c>
      <c r="P275" s="33">
        <f>IF($R$250="","",IF($R$250="언어와 매체",자동계산!$D$18,자동계산!$B$18))</f>
        <v/>
      </c>
    </row>
    <row r="276">
      <c r="A276" s="52" t="inlineStr">
        <is>
          <t>학생답안</t>
        </is>
      </c>
      <c r="B276" s="33">
        <f>IF($R$249="","",INDEX(전체채점!E$3:E$62,$R$249))</f>
        <v/>
      </c>
      <c r="C276" s="33">
        <f>IF($R$249="","",INDEX(전체채점!F$3:F$62,$R$249))</f>
        <v/>
      </c>
      <c r="D276" s="33">
        <f>IF($R$249="","",INDEX(전체채점!G$3:G$62,$R$249))</f>
        <v/>
      </c>
      <c r="E276" s="33">
        <f>IF($R$249="","",INDEX(전체채점!H$3:H$62,$R$249))</f>
        <v/>
      </c>
      <c r="F276" s="33">
        <f>IF($R$249="","",INDEX(전체채점!I$3:I$62,$R$249))</f>
        <v/>
      </c>
      <c r="G276" s="33">
        <f>IF($R$249="","",INDEX(전체채점!J$3:J$62,$R$249))</f>
        <v/>
      </c>
      <c r="H276" s="33">
        <f>IF($R$249="","",INDEX(전체채점!K$3:K$62,$R$249))</f>
        <v/>
      </c>
      <c r="I276" s="33">
        <f>IF($R$249="","",INDEX(전체채점!L$3:L$62,$R$249))</f>
        <v/>
      </c>
      <c r="J276" s="33">
        <f>IF($R$249="","",INDEX(전체채점!M$3:M$62,$R$249))</f>
        <v/>
      </c>
      <c r="K276" s="33">
        <f>IF($R$249="","",INDEX(전체채점!N$3:N$62,$R$249))</f>
        <v/>
      </c>
      <c r="L276" s="33">
        <f>IF($R$249="","",INDEX(전체채점!O$3:O$62,$R$249))</f>
        <v/>
      </c>
      <c r="M276" s="33">
        <f>IF($R$249="","",INDEX(전체채점!P$3:P$62,$R$249))</f>
        <v/>
      </c>
      <c r="N276" s="33">
        <f>IF($R$249="","",INDEX(전체채점!Q$3:Q$62,$R$249))</f>
        <v/>
      </c>
      <c r="O276" s="33">
        <f>IF($R$249="","",INDEX(전체채점!R$3:R$62,$R$249))</f>
        <v/>
      </c>
      <c r="P276" s="33">
        <f>IF($R$249="","",INDEX(전체채점!S$3:S$62,$R$249))</f>
        <v/>
      </c>
    </row>
    <row r="277">
      <c r="A277" s="52" t="inlineStr">
        <is>
          <t>정오</t>
        </is>
      </c>
      <c r="B277" s="33">
        <f>IF($R$249="","",INDEX(전체채점!AX$3:AX$62,$R$249))</f>
        <v/>
      </c>
      <c r="C277" s="33">
        <f>IF($R$249="","",INDEX(전체채점!AY$3:AY$62,$R$249))</f>
        <v/>
      </c>
      <c r="D277" s="33">
        <f>IF($R$249="","",INDEX(전체채점!AZ$3:AZ$62,$R$249))</f>
        <v/>
      </c>
      <c r="E277" s="33">
        <f>IF($R$249="","",INDEX(전체채점!BA$3:BA$62,$R$249))</f>
        <v/>
      </c>
      <c r="F277" s="33">
        <f>IF($R$249="","",INDEX(전체채점!BB$3:BB$62,$R$249))</f>
        <v/>
      </c>
      <c r="G277" s="33">
        <f>IF($R$249="","",INDEX(전체채점!BC$3:BC$62,$R$249))</f>
        <v/>
      </c>
      <c r="H277" s="33">
        <f>IF($R$249="","",INDEX(전체채점!BD$3:BD$62,$R$249))</f>
        <v/>
      </c>
      <c r="I277" s="33">
        <f>IF($R$249="","",INDEX(전체채점!BE$3:BE$62,$R$249))</f>
        <v/>
      </c>
      <c r="J277" s="33">
        <f>IF($R$249="","",INDEX(전체채점!BF$3:BF$62,$R$249))</f>
        <v/>
      </c>
      <c r="K277" s="33">
        <f>IF($R$249="","",INDEX(전체채점!BG$3:BG$62,$R$249))</f>
        <v/>
      </c>
      <c r="L277" s="33">
        <f>IF($R$249="","",INDEX(전체채점!BH$3:BH$62,$R$249))</f>
        <v/>
      </c>
      <c r="M277" s="33">
        <f>IF($R$249="","",INDEX(전체채점!BI$3:BI$62,$R$249))</f>
        <v/>
      </c>
      <c r="N277" s="33">
        <f>IF($R$249="","",INDEX(전체채점!BJ$3:BJ$62,$R$249))</f>
        <v/>
      </c>
      <c r="O277" s="33">
        <f>IF($R$249="","",INDEX(전체채점!BK$3:BK$62,$R$249))</f>
        <v/>
      </c>
      <c r="P277" s="33">
        <f>IF($R$249="","",INDEX(전체채점!BL$3:BL$62,$R$249))</f>
        <v/>
      </c>
    </row>
    <row r="278">
      <c r="A278" s="50" t="inlineStr">
        <is>
          <t>문항 번호</t>
        </is>
      </c>
      <c r="B278" s="51" t="n">
        <v>16</v>
      </c>
      <c r="C278" s="51" t="n">
        <v>17</v>
      </c>
      <c r="D278" s="51" t="n">
        <v>18</v>
      </c>
      <c r="E278" s="51" t="n">
        <v>19</v>
      </c>
      <c r="F278" s="51" t="n">
        <v>20</v>
      </c>
      <c r="G278" s="51" t="n">
        <v>21</v>
      </c>
      <c r="H278" s="51" t="n">
        <v>22</v>
      </c>
      <c r="I278" s="51" t="n">
        <v>23</v>
      </c>
      <c r="J278" s="51" t="n">
        <v>24</v>
      </c>
      <c r="K278" s="51" t="n">
        <v>25</v>
      </c>
      <c r="L278" s="51" t="n">
        <v>26</v>
      </c>
      <c r="M278" s="51" t="n">
        <v>27</v>
      </c>
      <c r="N278" s="51" t="n">
        <v>28</v>
      </c>
      <c r="O278" s="51" t="n">
        <v>29</v>
      </c>
      <c r="P278" s="51" t="n">
        <v>30</v>
      </c>
    </row>
    <row r="279">
      <c r="A279" s="52" t="inlineStr">
        <is>
          <t>정답</t>
        </is>
      </c>
      <c r="B279" s="33">
        <f>IF($R$250="","",IF($R$250="언어와 매체",자동계산!$D$19,자동계산!$B$19))</f>
        <v/>
      </c>
      <c r="C279" s="33">
        <f>IF($R$250="","",IF($R$250="언어와 매체",자동계산!$D$20,자동계산!$B$20))</f>
        <v/>
      </c>
      <c r="D279" s="33">
        <f>IF($R$250="","",IF($R$250="언어와 매체",자동계산!$D$21,자동계산!$B$21))</f>
        <v/>
      </c>
      <c r="E279" s="33">
        <f>IF($R$250="","",IF($R$250="언어와 매체",자동계산!$D$22,자동계산!$B$22))</f>
        <v/>
      </c>
      <c r="F279" s="33">
        <f>IF($R$250="","",IF($R$250="언어와 매체",자동계산!$D$23,자동계산!$B$23))</f>
        <v/>
      </c>
      <c r="G279" s="33">
        <f>IF($R$250="","",IF($R$250="언어와 매체",자동계산!$D$24,자동계산!$B$24))</f>
        <v/>
      </c>
      <c r="H279" s="33">
        <f>IF($R$250="","",IF($R$250="언어와 매체",자동계산!$D$25,자동계산!$B$25))</f>
        <v/>
      </c>
      <c r="I279" s="33">
        <f>IF($R$250="","",IF($R$250="언어와 매체",자동계산!$D$26,자동계산!$B$26))</f>
        <v/>
      </c>
      <c r="J279" s="33">
        <f>IF($R$250="","",IF($R$250="언어와 매체",자동계산!$D$27,자동계산!$B$27))</f>
        <v/>
      </c>
      <c r="K279" s="33">
        <f>IF($R$250="","",IF($R$250="언어와 매체",자동계산!$D$28,자동계산!$B$28))</f>
        <v/>
      </c>
      <c r="L279" s="33">
        <f>IF($R$250="","",IF($R$250="언어와 매체",자동계산!$D$29,자동계산!$B$29))</f>
        <v/>
      </c>
      <c r="M279" s="33">
        <f>IF($R$250="","",IF($R$250="언어와 매체",자동계산!$D$30,자동계산!$B$30))</f>
        <v/>
      </c>
      <c r="N279" s="33">
        <f>IF($R$250="","",IF($R$250="언어와 매체",자동계산!$D$31,자동계산!$B$31))</f>
        <v/>
      </c>
      <c r="O279" s="33">
        <f>IF($R$250="","",IF($R$250="언어와 매체",자동계산!$D$32,자동계산!$B$32))</f>
        <v/>
      </c>
      <c r="P279" s="33">
        <f>IF($R$250="","",IF($R$250="언어와 매체",자동계산!$D$33,자동계산!$B$33))</f>
        <v/>
      </c>
    </row>
    <row r="280">
      <c r="A280" s="52" t="inlineStr">
        <is>
          <t>학생답안</t>
        </is>
      </c>
      <c r="B280" s="33">
        <f>IF($R$249="","",INDEX(전체채점!T$3:T$62,$R$249))</f>
        <v/>
      </c>
      <c r="C280" s="33">
        <f>IF($R$249="","",INDEX(전체채점!U$3:U$62,$R$249))</f>
        <v/>
      </c>
      <c r="D280" s="33">
        <f>IF($R$249="","",INDEX(전체채점!V$3:V$62,$R$249))</f>
        <v/>
      </c>
      <c r="E280" s="33">
        <f>IF($R$249="","",INDEX(전체채점!W$3:W$62,$R$249))</f>
        <v/>
      </c>
      <c r="F280" s="33">
        <f>IF($R$249="","",INDEX(전체채점!X$3:X$62,$R$249))</f>
        <v/>
      </c>
      <c r="G280" s="33">
        <f>IF($R$249="","",INDEX(전체채점!Y$3:Y$62,$R$249))</f>
        <v/>
      </c>
      <c r="H280" s="33">
        <f>IF($R$249="","",INDEX(전체채점!Z$3:Z$62,$R$249))</f>
        <v/>
      </c>
      <c r="I280" s="33">
        <f>IF($R$249="","",INDEX(전체채점!AA$3:AA$62,$R$249))</f>
        <v/>
      </c>
      <c r="J280" s="33">
        <f>IF($R$249="","",INDEX(전체채점!AB$3:AB$62,$R$249))</f>
        <v/>
      </c>
      <c r="K280" s="33">
        <f>IF($R$249="","",INDEX(전체채점!AC$3:AC$62,$R$249))</f>
        <v/>
      </c>
      <c r="L280" s="33">
        <f>IF($R$249="","",INDEX(전체채점!AD$3:AD$62,$R$249))</f>
        <v/>
      </c>
      <c r="M280" s="33">
        <f>IF($R$249="","",INDEX(전체채점!AE$3:AE$62,$R$249))</f>
        <v/>
      </c>
      <c r="N280" s="33">
        <f>IF($R$249="","",INDEX(전체채점!AF$3:AF$62,$R$249))</f>
        <v/>
      </c>
      <c r="O280" s="33">
        <f>IF($R$249="","",INDEX(전체채점!AG$3:AG$62,$R$249))</f>
        <v/>
      </c>
      <c r="P280" s="33">
        <f>IF($R$249="","",INDEX(전체채점!AH$3:AH$62,$R$249))</f>
        <v/>
      </c>
    </row>
    <row r="281">
      <c r="A281" s="52" t="inlineStr">
        <is>
          <t>정오</t>
        </is>
      </c>
      <c r="B281" s="33">
        <f>IF($R$249="","",INDEX(전체채점!BM$3:BM$62,$R$249))</f>
        <v/>
      </c>
      <c r="C281" s="33">
        <f>IF($R$249="","",INDEX(전체채점!BN$3:BN$62,$R$249))</f>
        <v/>
      </c>
      <c r="D281" s="33">
        <f>IF($R$249="","",INDEX(전체채점!BO$3:BO$62,$R$249))</f>
        <v/>
      </c>
      <c r="E281" s="33">
        <f>IF($R$249="","",INDEX(전체채점!BP$3:BP$62,$R$249))</f>
        <v/>
      </c>
      <c r="F281" s="33">
        <f>IF($R$249="","",INDEX(전체채점!BQ$3:BQ$62,$R$249))</f>
        <v/>
      </c>
      <c r="G281" s="33">
        <f>IF($R$249="","",INDEX(전체채점!BR$3:BR$62,$R$249))</f>
        <v/>
      </c>
      <c r="H281" s="33">
        <f>IF($R$249="","",INDEX(전체채점!BS$3:BS$62,$R$249))</f>
        <v/>
      </c>
      <c r="I281" s="33">
        <f>IF($R$249="","",INDEX(전체채점!BT$3:BT$62,$R$249))</f>
        <v/>
      </c>
      <c r="J281" s="33">
        <f>IF($R$249="","",INDEX(전체채점!BU$3:BU$62,$R$249))</f>
        <v/>
      </c>
      <c r="K281" s="33">
        <f>IF($R$249="","",INDEX(전체채점!BV$3:BV$62,$R$249))</f>
        <v/>
      </c>
      <c r="L281" s="33">
        <f>IF($R$249="","",INDEX(전체채점!BW$3:BW$62,$R$249))</f>
        <v/>
      </c>
      <c r="M281" s="33">
        <f>IF($R$249="","",INDEX(전체채점!BX$3:BX$62,$R$249))</f>
        <v/>
      </c>
      <c r="N281" s="33">
        <f>IF($R$249="","",INDEX(전체채점!BY$3:BY$62,$R$249))</f>
        <v/>
      </c>
      <c r="O281" s="33">
        <f>IF($R$249="","",INDEX(전체채점!BZ$3:BZ$62,$R$249))</f>
        <v/>
      </c>
      <c r="P281" s="33">
        <f>IF($R$249="","",INDEX(전체채점!CA$3:CA$62,$R$249))</f>
        <v/>
      </c>
    </row>
    <row r="282">
      <c r="A282" s="50" t="inlineStr">
        <is>
          <t>문항 번호</t>
        </is>
      </c>
      <c r="B282" s="51" t="n">
        <v>31</v>
      </c>
      <c r="C282" s="51" t="n">
        <v>32</v>
      </c>
      <c r="D282" s="51" t="n">
        <v>33</v>
      </c>
      <c r="E282" s="51" t="n">
        <v>34</v>
      </c>
      <c r="F282" s="51" t="n">
        <v>35</v>
      </c>
      <c r="G282" s="51" t="n">
        <v>36</v>
      </c>
      <c r="H282" s="51" t="n">
        <v>37</v>
      </c>
      <c r="I282" s="51" t="n">
        <v>38</v>
      </c>
      <c r="J282" s="51" t="n">
        <v>39</v>
      </c>
      <c r="K282" s="51" t="n">
        <v>40</v>
      </c>
      <c r="L282" s="51" t="n">
        <v>41</v>
      </c>
      <c r="M282" s="51" t="n">
        <v>42</v>
      </c>
      <c r="N282" s="51" t="n">
        <v>43</v>
      </c>
      <c r="O282" s="51" t="n">
        <v>44</v>
      </c>
      <c r="P282" s="51" t="n">
        <v>45</v>
      </c>
    </row>
    <row r="283">
      <c r="A283" s="52" t="inlineStr">
        <is>
          <t>정답</t>
        </is>
      </c>
      <c r="B283" s="33">
        <f>IF($R$250="","",IF($R$250="언어와 매체",자동계산!$D$34,자동계산!$B$34))</f>
        <v/>
      </c>
      <c r="C283" s="33">
        <f>IF($R$250="","",IF($R$250="언어와 매체",자동계산!$D$35,자동계산!$B$35))</f>
        <v/>
      </c>
      <c r="D283" s="33">
        <f>IF($R$250="","",IF($R$250="언어와 매체",자동계산!$D$36,자동계산!$B$36))</f>
        <v/>
      </c>
      <c r="E283" s="33">
        <f>IF($R$250="","",IF($R$250="언어와 매체",자동계산!$D$37,자동계산!$B$37))</f>
        <v/>
      </c>
      <c r="F283" s="33">
        <f>IF($R$250="","",IF($R$250="언어와 매체",자동계산!$D$38,자동계산!$B$38))</f>
        <v/>
      </c>
      <c r="G283" s="33">
        <f>IF($R$250="","",IF($R$250="언어와 매체",자동계산!$D$39,자동계산!$B$39))</f>
        <v/>
      </c>
      <c r="H283" s="33">
        <f>IF($R$250="","",IF($R$250="언어와 매체",자동계산!$D$40,자동계산!$B$40))</f>
        <v/>
      </c>
      <c r="I283" s="33">
        <f>IF($R$250="","",IF($R$250="언어와 매체",자동계산!$D$41,자동계산!$B$41))</f>
        <v/>
      </c>
      <c r="J283" s="33">
        <f>IF($R$250="","",IF($R$250="언어와 매체",자동계산!$D$42,자동계산!$B$42))</f>
        <v/>
      </c>
      <c r="K283" s="33">
        <f>IF($R$250="","",IF($R$250="언어와 매체",자동계산!$D$43,자동계산!$B$43))</f>
        <v/>
      </c>
      <c r="L283" s="33">
        <f>IF($R$250="","",IF($R$250="언어와 매체",자동계산!$D$44,자동계산!$B$44))</f>
        <v/>
      </c>
      <c r="M283" s="33">
        <f>IF($R$250="","",IF($R$250="언어와 매체",자동계산!$D$45,자동계산!$B$45))</f>
        <v/>
      </c>
      <c r="N283" s="33">
        <f>IF($R$250="","",IF($R$250="언어와 매체",자동계산!$D$46,자동계산!$B$46))</f>
        <v/>
      </c>
      <c r="O283" s="33">
        <f>IF($R$250="","",IF($R$250="언어와 매체",자동계산!$D$47,자동계산!$B$47))</f>
        <v/>
      </c>
      <c r="P283" s="33">
        <f>IF($R$250="","",IF($R$250="언어와 매체",자동계산!$D$48,자동계산!$B$48))</f>
        <v/>
      </c>
    </row>
    <row r="284">
      <c r="A284" s="52" t="inlineStr">
        <is>
          <t>학생답안</t>
        </is>
      </c>
      <c r="B284" s="33">
        <f>IF($R$249="","",INDEX(전체채점!AI$3:AI$62,$R$249))</f>
        <v/>
      </c>
      <c r="C284" s="33">
        <f>IF($R$249="","",INDEX(전체채점!AJ$3:AJ$62,$R$249))</f>
        <v/>
      </c>
      <c r="D284" s="33">
        <f>IF($R$249="","",INDEX(전체채점!AK$3:AK$62,$R$249))</f>
        <v/>
      </c>
      <c r="E284" s="33">
        <f>IF($R$249="","",INDEX(전체채점!AL$3:AL$62,$R$249))</f>
        <v/>
      </c>
      <c r="F284" s="33">
        <f>IF($R$249="","",INDEX(전체채점!AM$3:AM$62,$R$249))</f>
        <v/>
      </c>
      <c r="G284" s="33">
        <f>IF($R$249="","",INDEX(전체채점!AN$3:AN$62,$R$249))</f>
        <v/>
      </c>
      <c r="H284" s="33">
        <f>IF($R$249="","",INDEX(전체채점!AO$3:AO$62,$R$249))</f>
        <v/>
      </c>
      <c r="I284" s="33">
        <f>IF($R$249="","",INDEX(전체채점!AP$3:AP$62,$R$249))</f>
        <v/>
      </c>
      <c r="J284" s="33">
        <f>IF($R$249="","",INDEX(전체채점!AQ$3:AQ$62,$R$249))</f>
        <v/>
      </c>
      <c r="K284" s="33">
        <f>IF($R$249="","",INDEX(전체채점!AR$3:AR$62,$R$249))</f>
        <v/>
      </c>
      <c r="L284" s="33">
        <f>IF($R$249="","",INDEX(전체채점!AS$3:AS$62,$R$249))</f>
        <v/>
      </c>
      <c r="M284" s="33">
        <f>IF($R$249="","",INDEX(전체채점!AT$3:AT$62,$R$249))</f>
        <v/>
      </c>
      <c r="N284" s="33">
        <f>IF($R$249="","",INDEX(전체채점!AU$3:AU$62,$R$249))</f>
        <v/>
      </c>
      <c r="O284" s="33">
        <f>IF($R$249="","",INDEX(전체채점!AV$3:AV$62,$R$249))</f>
        <v/>
      </c>
      <c r="P284" s="33">
        <f>IF($R$249="","",INDEX(전체채점!AW$3:AW$62,$R$249))</f>
        <v/>
      </c>
    </row>
    <row r="285">
      <c r="A285" s="52" t="inlineStr">
        <is>
          <t>정오</t>
        </is>
      </c>
      <c r="B285" s="33">
        <f>IF($R$249="","",INDEX(전체채점!CB$3:CB$62,$R$249))</f>
        <v/>
      </c>
      <c r="C285" s="33">
        <f>IF($R$249="","",INDEX(전체채점!CC$3:CC$62,$R$249))</f>
        <v/>
      </c>
      <c r="D285" s="33">
        <f>IF($R$249="","",INDEX(전체채점!CD$3:CD$62,$R$249))</f>
        <v/>
      </c>
      <c r="E285" s="33">
        <f>IF($R$249="","",INDEX(전체채점!CE$3:CE$62,$R$249))</f>
        <v/>
      </c>
      <c r="F285" s="33">
        <f>IF($R$249="","",INDEX(전체채점!CF$3:CF$62,$R$249))</f>
        <v/>
      </c>
      <c r="G285" s="33">
        <f>IF($R$249="","",INDEX(전체채점!CG$3:CG$62,$R$249))</f>
        <v/>
      </c>
      <c r="H285" s="33">
        <f>IF($R$249="","",INDEX(전체채점!CH$3:CH$62,$R$249))</f>
        <v/>
      </c>
      <c r="I285" s="33">
        <f>IF($R$249="","",INDEX(전체채점!CI$3:CI$62,$R$249))</f>
        <v/>
      </c>
      <c r="J285" s="33">
        <f>IF($R$249="","",INDEX(전체채점!CJ$3:CJ$62,$R$249))</f>
        <v/>
      </c>
      <c r="K285" s="33">
        <f>IF($R$249="","",INDEX(전체채점!CK$3:CK$62,$R$249))</f>
        <v/>
      </c>
      <c r="L285" s="33">
        <f>IF($R$249="","",INDEX(전체채점!CL$3:CL$62,$R$249))</f>
        <v/>
      </c>
      <c r="M285" s="33">
        <f>IF($R$249="","",INDEX(전체채점!CM$3:CM$62,$R$249))</f>
        <v/>
      </c>
      <c r="N285" s="33">
        <f>IF($R$249="","",INDEX(전체채점!CN$3:CN$62,$R$249))</f>
        <v/>
      </c>
      <c r="O285" s="33">
        <f>IF($R$249="","",INDEX(전체채점!CO$3:CO$62,$R$249))</f>
        <v/>
      </c>
      <c r="P285" s="33">
        <f>IF($R$249="","",INDEX(전체채점!CP$3:CP$62,$R$249))</f>
        <v/>
      </c>
    </row>
    <row r="288" ht="34" customHeight="1">
      <c r="A288" s="36">
        <f>IF($R$290="","",회차설정!$B$2&amp;" 성적표")</f>
        <v/>
      </c>
    </row>
    <row r="290">
      <c r="A290" s="12" t="inlineStr">
        <is>
          <t>1. 학생정보</t>
        </is>
      </c>
      <c r="R290" s="37">
        <f>IF(답안입력!$A$10="","",8)</f>
        <v/>
      </c>
      <c r="S290" s="37">
        <f>IF($R$291="","",IFERROR(IF($R$291="언어와 매체",MATCH(1,회차설정!$G$13:$G$27,0),MATCH(1,회차설정!$F$13:$F$27,0)),""))</f>
        <v/>
      </c>
    </row>
    <row r="291">
      <c r="A291" s="13" t="inlineStr">
        <is>
          <t>성명</t>
        </is>
      </c>
      <c r="B291" s="7" t="n"/>
      <c r="C291" s="8" t="n"/>
      <c r="D291" s="13" t="inlineStr">
        <is>
          <t>선택과목</t>
        </is>
      </c>
      <c r="E291" s="7" t="n"/>
      <c r="F291" s="7" t="n"/>
      <c r="G291" s="8" t="n"/>
      <c r="H291" s="13" t="inlineStr">
        <is>
          <t>학년</t>
        </is>
      </c>
      <c r="I291" s="7" t="n"/>
      <c r="J291" s="7" t="n"/>
      <c r="K291" s="8" t="n"/>
      <c r="L291" s="13" t="inlineStr">
        <is>
          <t>시행일</t>
        </is>
      </c>
      <c r="M291" s="7" t="n"/>
      <c r="N291" s="7" t="n"/>
      <c r="O291" s="7" t="n"/>
      <c r="P291" s="8" t="n"/>
      <c r="R291" s="37">
        <f>IF($R$290="","",INDEX(전체채점!$B$3:$B$62,$R$290))</f>
        <v/>
      </c>
      <c r="S291" s="37">
        <f>IF($R$291="","",IFERROR(IF($R$291="언어와 매체",MATCH(2,회차설정!$G$13:$G$27,0),MATCH(2,회차설정!$F$13:$F$27,0)),""))</f>
        <v/>
      </c>
    </row>
    <row r="292" ht="26" customHeight="1">
      <c r="A292" s="39">
        <f>IF($R$290="","",INDEX(답안입력!$A$3:$A$62,$R$290))</f>
        <v/>
      </c>
      <c r="B292" s="7" t="n"/>
      <c r="C292" s="8" t="n"/>
      <c r="D292" s="39">
        <f>IF($R$290="","",INDEX(답안입력!$C$3:$C$62,$R$290))</f>
        <v/>
      </c>
      <c r="E292" s="7" t="n"/>
      <c r="F292" s="7" t="n"/>
      <c r="G292" s="8" t="n"/>
      <c r="H292" s="39">
        <f>IF($R$290="","",INDEX(답안입력!$B$3:$B$62,$R$290))</f>
        <v/>
      </c>
      <c r="I292" s="7" t="n"/>
      <c r="J292" s="7" t="n"/>
      <c r="K292" s="8" t="n"/>
      <c r="L292" s="40">
        <f>회차설정!$B$3</f>
        <v/>
      </c>
      <c r="M292" s="7" t="n"/>
      <c r="N292" s="7" t="n"/>
      <c r="O292" s="7" t="n"/>
      <c r="P292" s="8" t="n"/>
      <c r="R292" s="37">
        <f>IF($R$291="언어와 매체",회차설정!$B$9,회차설정!$B$8)</f>
        <v/>
      </c>
      <c r="S292" s="37">
        <f>IF($R$291="","",IFERROR(IF($R$291="언어와 매체",MATCH(3,회차설정!$G$13:$G$27,0),MATCH(3,회차설정!$F$13:$F$27,0)),""))</f>
        <v/>
      </c>
    </row>
    <row r="293">
      <c r="R293" s="37">
        <f>IF($R$291="언어와 매체",회차설정!$C$9,회차설정!$C$8)</f>
        <v/>
      </c>
      <c r="S293" s="37">
        <f>IF($R$291="","",IFERROR(IF($R$291="언어와 매체",MATCH(4,회차설정!$G$13:$G$27,0),MATCH(4,회차설정!$F$13:$F$27,0)),""))</f>
        <v/>
      </c>
    </row>
    <row r="294">
      <c r="A294" s="12" t="inlineStr">
        <is>
          <t>2. 성적</t>
        </is>
      </c>
      <c r="R294" s="37">
        <f>IF($R$291="언어와 매체",회차설정!$D$9,회차설정!$D$8)</f>
        <v/>
      </c>
      <c r="S294" s="37">
        <f>IF($R$291="","",IFERROR(IF($R$291="언어와 매체",MATCH(5,회차설정!$G$13:$G$27,0),MATCH(5,회차설정!$F$13:$F$27,0)),""))</f>
        <v/>
      </c>
    </row>
    <row r="295">
      <c r="A295" s="13" t="inlineStr">
        <is>
          <t>점수 (100점 만점)</t>
        </is>
      </c>
      <c r="B295" s="7" t="n"/>
      <c r="C295" s="7" t="n"/>
      <c r="D295" s="7" t="n"/>
      <c r="E295" s="8" t="n"/>
      <c r="F295" s="13" t="inlineStr">
        <is>
          <t>등급</t>
        </is>
      </c>
      <c r="G295" s="7" t="n"/>
      <c r="H295" s="8" t="n"/>
      <c r="I295" s="13" t="inlineStr">
        <is>
          <t>등급컷</t>
        </is>
      </c>
      <c r="J295" s="7" t="n"/>
      <c r="K295" s="7" t="n"/>
      <c r="L295" s="8" t="n"/>
      <c r="M295" s="13" t="inlineStr">
        <is>
          <t>같은 선택과목 평균</t>
        </is>
      </c>
      <c r="N295" s="7" t="n"/>
      <c r="O295" s="7" t="n"/>
      <c r="P295" s="8" t="n"/>
      <c r="R295" s="37">
        <f>IF($R$291="언어와 매체",회차설정!$E$9,회차설정!$E$8)</f>
        <v/>
      </c>
      <c r="S295" s="37">
        <f>IF($R$291="","",IFERROR(IF($R$291="언어와 매체",MATCH(6,회차설정!$G$13:$G$27,0),MATCH(6,회차설정!$F$13:$F$27,0)),""))</f>
        <v/>
      </c>
    </row>
    <row r="296" ht="34" customHeight="1">
      <c r="A296" s="41">
        <f>IF($R$290="","",INDEX(전체채점!$C$3:$C$62,$R$290))</f>
        <v/>
      </c>
      <c r="B296" s="7" t="n"/>
      <c r="C296" s="7" t="n"/>
      <c r="D296" s="7" t="n"/>
      <c r="E296" s="8" t="n"/>
      <c r="F296" s="42">
        <f>IF($R$290="","",INDEX(전체채점!$D$3:$D$62,$R$290))</f>
        <v/>
      </c>
      <c r="G296" s="7" t="n"/>
      <c r="H296" s="8" t="n"/>
      <c r="I296" s="43">
        <f>IF($R$290="","",$R$292&amp;"-"&amp;$R$293&amp;"-"&amp;$R$294&amp;"-"&amp;$R$295)</f>
        <v/>
      </c>
      <c r="J296" s="7" t="n"/>
      <c r="K296" s="7" t="n"/>
      <c r="L296" s="8" t="n"/>
      <c r="M296" s="44">
        <f>IFERROR(AVERAGEIF(전체채점!$B$3:$B$62,$R$291,전체채점!$C$3:$C$62),"")</f>
        <v/>
      </c>
      <c r="N296" s="7" t="n"/>
      <c r="O296" s="7" t="n"/>
      <c r="P296" s="8" t="n"/>
      <c r="S296" s="37">
        <f>IF($R$291="","",IFERROR(IF($R$291="언어와 매체",MATCH(7,회차설정!$G$13:$G$27,0),MATCH(7,회차설정!$F$13:$F$27,0)),""))</f>
        <v/>
      </c>
    </row>
    <row r="297">
      <c r="S297" s="37">
        <f>IF($R$291="","",IFERROR(IF($R$291="언어와 매체",MATCH(8,회차설정!$G$13:$G$27,0),MATCH(8,회차설정!$F$13:$F$27,0)),""))</f>
        <v/>
      </c>
    </row>
    <row r="298">
      <c r="A298" s="12" t="inlineStr">
        <is>
          <t>3. 영역분류별 성취도 분석</t>
        </is>
      </c>
      <c r="F298" s="45">
        <f>IF(OR($R$290="",$E312=""),"",IF($E312=INDEX(전체채점!$C$3:$C$62,$R$290),"","※ 회차설정의 영역 표를 확인하세요 — 영역 합계와 점수가 다릅니다"))</f>
        <v/>
      </c>
      <c r="S298" s="37">
        <f>IF($R$291="","",IFERROR(IF($R$291="언어와 매체",MATCH(9,회차설정!$G$13:$G$27,0),MATCH(9,회차설정!$F$13:$F$27,0)),""))</f>
        <v/>
      </c>
    </row>
    <row r="299">
      <c r="A299" s="13" t="inlineStr">
        <is>
          <t>분류</t>
        </is>
      </c>
      <c r="B299" s="13" t="inlineStr">
        <is>
          <t>영역</t>
        </is>
      </c>
      <c r="C299" s="8" t="n"/>
      <c r="D299" s="13" t="inlineStr">
        <is>
          <t>배점</t>
        </is>
      </c>
      <c r="E299" s="13" t="inlineStr">
        <is>
          <t>득점</t>
        </is>
      </c>
      <c r="F299" s="13" t="inlineStr">
        <is>
          <t>성취도(%)</t>
        </is>
      </c>
      <c r="G299" s="8" t="n"/>
      <c r="H299" s="13" t="inlineStr"/>
      <c r="I299" s="7" t="n"/>
      <c r="J299" s="7" t="n"/>
      <c r="K299" s="7" t="n"/>
      <c r="L299" s="7" t="n"/>
      <c r="M299" s="7" t="n"/>
      <c r="N299" s="7" t="n"/>
      <c r="O299" s="7" t="n"/>
      <c r="P299" s="8" t="n"/>
      <c r="S299" s="37">
        <f>IF($R$291="","",IFERROR(IF($R$291="언어와 매체",MATCH(10,회차설정!$G$13:$G$27,0),MATCH(10,회차설정!$F$13:$F$27,0)),""))</f>
        <v/>
      </c>
    </row>
    <row r="300">
      <c r="A300" s="14">
        <f>IF($S$290="","",INDEX(회차설정!$A$13:$A$27,$S$290))</f>
        <v/>
      </c>
      <c r="B300" s="14">
        <f>IF($S$290="","",INDEX(회차설정!$B$13:$B$27,$S$290))</f>
        <v/>
      </c>
      <c r="C300" s="8" t="n"/>
      <c r="D300" s="14">
        <f>IF($S$290="","",IF($R$291="언어와 매체",SUMPRODUCT((자동계산!$A$4:$A$48&gt;=INDEX(회차설정!$C$13:$C$27,$S$290))*(자동계산!$A$4:$A$48&lt;=INDEX(회차설정!$D$13:$D$27,$S$290))*자동계산!$E$4:$E$48),SUMPRODUCT((자동계산!$A$4:$A$48&gt;=INDEX(회차설정!$C$13:$C$27,$S$290))*(자동계산!$A$4:$A$48&lt;=INDEX(회차설정!$D$13:$D$27,$S$290))*자동계산!$C$4:$C$48)))</f>
        <v/>
      </c>
      <c r="E300" s="14">
        <f>IF(OR($S$290="",$R$290=""),"",SUM(OFFSET(전체채점!$AW$2,$R$290,INDEX(회차설정!$C$13:$C$27,$S$290),1,INDEX(회차설정!$D$13:$D$27,$S$290)-INDEX(회차설정!$C$13:$C$27,$S$290)+1)))</f>
        <v/>
      </c>
      <c r="F300" s="46">
        <f>IF(OR($S$290="",$D300=0,$D300="",$E300=""),"",$E300/$D300*100)</f>
        <v/>
      </c>
      <c r="G300" s="8" t="n"/>
      <c r="H300" s="47">
        <f>IF($F300="","",REPT("■",ROUND($F300/5,0)))</f>
        <v/>
      </c>
      <c r="I300" s="7" t="n"/>
      <c r="J300" s="7" t="n"/>
      <c r="K300" s="7" t="n"/>
      <c r="L300" s="7" t="n"/>
      <c r="M300" s="7" t="n"/>
      <c r="N300" s="7" t="n"/>
      <c r="O300" s="7" t="n"/>
      <c r="P300" s="8" t="n"/>
      <c r="S300" s="37">
        <f>IF($R$291="","",IFERROR(IF($R$291="언어와 매체",MATCH(11,회차설정!$G$13:$G$27,0),MATCH(11,회차설정!$F$13:$F$27,0)),""))</f>
        <v/>
      </c>
    </row>
    <row r="301">
      <c r="A301" s="14">
        <f>IF($S$291="","",INDEX(회차설정!$A$13:$A$27,$S$291))</f>
        <v/>
      </c>
      <c r="B301" s="14">
        <f>IF($S$291="","",INDEX(회차설정!$B$13:$B$27,$S$291))</f>
        <v/>
      </c>
      <c r="C301" s="8" t="n"/>
      <c r="D301" s="14">
        <f>IF($S$291="","",IF($R$291="언어와 매체",SUMPRODUCT((자동계산!$A$4:$A$48&gt;=INDEX(회차설정!$C$13:$C$27,$S$291))*(자동계산!$A$4:$A$48&lt;=INDEX(회차설정!$D$13:$D$27,$S$291))*자동계산!$E$4:$E$48),SUMPRODUCT((자동계산!$A$4:$A$48&gt;=INDEX(회차설정!$C$13:$C$27,$S$291))*(자동계산!$A$4:$A$48&lt;=INDEX(회차설정!$D$13:$D$27,$S$291))*자동계산!$C$4:$C$48)))</f>
        <v/>
      </c>
      <c r="E301" s="14">
        <f>IF(OR($S$291="",$R$290=""),"",SUM(OFFSET(전체채점!$AW$2,$R$290,INDEX(회차설정!$C$13:$C$27,$S$291),1,INDEX(회차설정!$D$13:$D$27,$S$291)-INDEX(회차설정!$C$13:$C$27,$S$291)+1)))</f>
        <v/>
      </c>
      <c r="F301" s="46">
        <f>IF(OR($S$291="",$D301=0,$D301="",$E301=""),"",$E301/$D301*100)</f>
        <v/>
      </c>
      <c r="G301" s="8" t="n"/>
      <c r="H301" s="47">
        <f>IF($F301="","",REPT("■",ROUND($F301/5,0)))</f>
        <v/>
      </c>
      <c r="I301" s="7" t="n"/>
      <c r="J301" s="7" t="n"/>
      <c r="K301" s="7" t="n"/>
      <c r="L301" s="7" t="n"/>
      <c r="M301" s="7" t="n"/>
      <c r="N301" s="7" t="n"/>
      <c r="O301" s="7" t="n"/>
      <c r="P301" s="8" t="n"/>
      <c r="S301" s="37">
        <f>IF($R$291="","",IFERROR(IF($R$291="언어와 매체",MATCH(12,회차설정!$G$13:$G$27,0),MATCH(12,회차설정!$F$13:$F$27,0)),""))</f>
        <v/>
      </c>
    </row>
    <row r="302">
      <c r="A302" s="14">
        <f>IF($S$292="","",INDEX(회차설정!$A$13:$A$27,$S$292))</f>
        <v/>
      </c>
      <c r="B302" s="14">
        <f>IF($S$292="","",INDEX(회차설정!$B$13:$B$27,$S$292))</f>
        <v/>
      </c>
      <c r="C302" s="8" t="n"/>
      <c r="D302" s="14">
        <f>IF($S$292="","",IF($R$291="언어와 매체",SUMPRODUCT((자동계산!$A$4:$A$48&gt;=INDEX(회차설정!$C$13:$C$27,$S$292))*(자동계산!$A$4:$A$48&lt;=INDEX(회차설정!$D$13:$D$27,$S$292))*자동계산!$E$4:$E$48),SUMPRODUCT((자동계산!$A$4:$A$48&gt;=INDEX(회차설정!$C$13:$C$27,$S$292))*(자동계산!$A$4:$A$48&lt;=INDEX(회차설정!$D$13:$D$27,$S$292))*자동계산!$C$4:$C$48)))</f>
        <v/>
      </c>
      <c r="E302" s="14">
        <f>IF(OR($S$292="",$R$290=""),"",SUM(OFFSET(전체채점!$AW$2,$R$290,INDEX(회차설정!$C$13:$C$27,$S$292),1,INDEX(회차설정!$D$13:$D$27,$S$292)-INDEX(회차설정!$C$13:$C$27,$S$292)+1)))</f>
        <v/>
      </c>
      <c r="F302" s="46">
        <f>IF(OR($S$292="",$D302=0,$D302="",$E302=""),"",$E302/$D302*100)</f>
        <v/>
      </c>
      <c r="G302" s="8" t="n"/>
      <c r="H302" s="47">
        <f>IF($F302="","",REPT("■",ROUND($F302/5,0)))</f>
        <v/>
      </c>
      <c r="I302" s="7" t="n"/>
      <c r="J302" s="7" t="n"/>
      <c r="K302" s="7" t="n"/>
      <c r="L302" s="7" t="n"/>
      <c r="M302" s="7" t="n"/>
      <c r="N302" s="7" t="n"/>
      <c r="O302" s="7" t="n"/>
      <c r="P302" s="8" t="n"/>
    </row>
    <row r="303">
      <c r="A303" s="14">
        <f>IF($S$293="","",INDEX(회차설정!$A$13:$A$27,$S$293))</f>
        <v/>
      </c>
      <c r="B303" s="14">
        <f>IF($S$293="","",INDEX(회차설정!$B$13:$B$27,$S$293))</f>
        <v/>
      </c>
      <c r="C303" s="8" t="n"/>
      <c r="D303" s="14">
        <f>IF($S$293="","",IF($R$291="언어와 매체",SUMPRODUCT((자동계산!$A$4:$A$48&gt;=INDEX(회차설정!$C$13:$C$27,$S$293))*(자동계산!$A$4:$A$48&lt;=INDEX(회차설정!$D$13:$D$27,$S$293))*자동계산!$E$4:$E$48),SUMPRODUCT((자동계산!$A$4:$A$48&gt;=INDEX(회차설정!$C$13:$C$27,$S$293))*(자동계산!$A$4:$A$48&lt;=INDEX(회차설정!$D$13:$D$27,$S$293))*자동계산!$C$4:$C$48)))</f>
        <v/>
      </c>
      <c r="E303" s="14">
        <f>IF(OR($S$293="",$R$290=""),"",SUM(OFFSET(전체채점!$AW$2,$R$290,INDEX(회차설정!$C$13:$C$27,$S$293),1,INDEX(회차설정!$D$13:$D$27,$S$293)-INDEX(회차설정!$C$13:$C$27,$S$293)+1)))</f>
        <v/>
      </c>
      <c r="F303" s="46">
        <f>IF(OR($S$293="",$D303=0,$D303="",$E303=""),"",$E303/$D303*100)</f>
        <v/>
      </c>
      <c r="G303" s="8" t="n"/>
      <c r="H303" s="47">
        <f>IF($F303="","",REPT("■",ROUND($F303/5,0)))</f>
        <v/>
      </c>
      <c r="I303" s="7" t="n"/>
      <c r="J303" s="7" t="n"/>
      <c r="K303" s="7" t="n"/>
      <c r="L303" s="7" t="n"/>
      <c r="M303" s="7" t="n"/>
      <c r="N303" s="7" t="n"/>
      <c r="O303" s="7" t="n"/>
      <c r="P303" s="8" t="n"/>
    </row>
    <row r="304">
      <c r="A304" s="14">
        <f>IF($S$294="","",INDEX(회차설정!$A$13:$A$27,$S$294))</f>
        <v/>
      </c>
      <c r="B304" s="14">
        <f>IF($S$294="","",INDEX(회차설정!$B$13:$B$27,$S$294))</f>
        <v/>
      </c>
      <c r="C304" s="8" t="n"/>
      <c r="D304" s="14">
        <f>IF($S$294="","",IF($R$291="언어와 매체",SUMPRODUCT((자동계산!$A$4:$A$48&gt;=INDEX(회차설정!$C$13:$C$27,$S$294))*(자동계산!$A$4:$A$48&lt;=INDEX(회차설정!$D$13:$D$27,$S$294))*자동계산!$E$4:$E$48),SUMPRODUCT((자동계산!$A$4:$A$48&gt;=INDEX(회차설정!$C$13:$C$27,$S$294))*(자동계산!$A$4:$A$48&lt;=INDEX(회차설정!$D$13:$D$27,$S$294))*자동계산!$C$4:$C$48)))</f>
        <v/>
      </c>
      <c r="E304" s="14">
        <f>IF(OR($S$294="",$R$290=""),"",SUM(OFFSET(전체채점!$AW$2,$R$290,INDEX(회차설정!$C$13:$C$27,$S$294),1,INDEX(회차설정!$D$13:$D$27,$S$294)-INDEX(회차설정!$C$13:$C$27,$S$294)+1)))</f>
        <v/>
      </c>
      <c r="F304" s="46">
        <f>IF(OR($S$294="",$D304=0,$D304="",$E304=""),"",$E304/$D304*100)</f>
        <v/>
      </c>
      <c r="G304" s="8" t="n"/>
      <c r="H304" s="47">
        <f>IF($F304="","",REPT("■",ROUND($F304/5,0)))</f>
        <v/>
      </c>
      <c r="I304" s="7" t="n"/>
      <c r="J304" s="7" t="n"/>
      <c r="K304" s="7" t="n"/>
      <c r="L304" s="7" t="n"/>
      <c r="M304" s="7" t="n"/>
      <c r="N304" s="7" t="n"/>
      <c r="O304" s="7" t="n"/>
      <c r="P304" s="8" t="n"/>
    </row>
    <row r="305">
      <c r="A305" s="14">
        <f>IF($S$295="","",INDEX(회차설정!$A$13:$A$27,$S$295))</f>
        <v/>
      </c>
      <c r="B305" s="14">
        <f>IF($S$295="","",INDEX(회차설정!$B$13:$B$27,$S$295))</f>
        <v/>
      </c>
      <c r="C305" s="8" t="n"/>
      <c r="D305" s="14">
        <f>IF($S$295="","",IF($R$291="언어와 매체",SUMPRODUCT((자동계산!$A$4:$A$48&gt;=INDEX(회차설정!$C$13:$C$27,$S$295))*(자동계산!$A$4:$A$48&lt;=INDEX(회차설정!$D$13:$D$27,$S$295))*자동계산!$E$4:$E$48),SUMPRODUCT((자동계산!$A$4:$A$48&gt;=INDEX(회차설정!$C$13:$C$27,$S$295))*(자동계산!$A$4:$A$48&lt;=INDEX(회차설정!$D$13:$D$27,$S$295))*자동계산!$C$4:$C$48)))</f>
        <v/>
      </c>
      <c r="E305" s="14">
        <f>IF(OR($S$295="",$R$290=""),"",SUM(OFFSET(전체채점!$AW$2,$R$290,INDEX(회차설정!$C$13:$C$27,$S$295),1,INDEX(회차설정!$D$13:$D$27,$S$295)-INDEX(회차설정!$C$13:$C$27,$S$295)+1)))</f>
        <v/>
      </c>
      <c r="F305" s="46">
        <f>IF(OR($S$295="",$D305=0,$D305="",$E305=""),"",$E305/$D305*100)</f>
        <v/>
      </c>
      <c r="G305" s="8" t="n"/>
      <c r="H305" s="47">
        <f>IF($F305="","",REPT("■",ROUND($F305/5,0)))</f>
        <v/>
      </c>
      <c r="I305" s="7" t="n"/>
      <c r="J305" s="7" t="n"/>
      <c r="K305" s="7" t="n"/>
      <c r="L305" s="7" t="n"/>
      <c r="M305" s="7" t="n"/>
      <c r="N305" s="7" t="n"/>
      <c r="O305" s="7" t="n"/>
      <c r="P305" s="8" t="n"/>
    </row>
    <row r="306">
      <c r="A306" s="14">
        <f>IF($S$296="","",INDEX(회차설정!$A$13:$A$27,$S$296))</f>
        <v/>
      </c>
      <c r="B306" s="14">
        <f>IF($S$296="","",INDEX(회차설정!$B$13:$B$27,$S$296))</f>
        <v/>
      </c>
      <c r="C306" s="8" t="n"/>
      <c r="D306" s="14">
        <f>IF($S$296="","",IF($R$291="언어와 매체",SUMPRODUCT((자동계산!$A$4:$A$48&gt;=INDEX(회차설정!$C$13:$C$27,$S$296))*(자동계산!$A$4:$A$48&lt;=INDEX(회차설정!$D$13:$D$27,$S$296))*자동계산!$E$4:$E$48),SUMPRODUCT((자동계산!$A$4:$A$48&gt;=INDEX(회차설정!$C$13:$C$27,$S$296))*(자동계산!$A$4:$A$48&lt;=INDEX(회차설정!$D$13:$D$27,$S$296))*자동계산!$C$4:$C$48)))</f>
        <v/>
      </c>
      <c r="E306" s="14">
        <f>IF(OR($S$296="",$R$290=""),"",SUM(OFFSET(전체채점!$AW$2,$R$290,INDEX(회차설정!$C$13:$C$27,$S$296),1,INDEX(회차설정!$D$13:$D$27,$S$296)-INDEX(회차설정!$C$13:$C$27,$S$296)+1)))</f>
        <v/>
      </c>
      <c r="F306" s="46">
        <f>IF(OR($S$296="",$D306=0,$D306="",$E306=""),"",$E306/$D306*100)</f>
        <v/>
      </c>
      <c r="G306" s="8" t="n"/>
      <c r="H306" s="47">
        <f>IF($F306="","",REPT("■",ROUND($F306/5,0)))</f>
        <v/>
      </c>
      <c r="I306" s="7" t="n"/>
      <c r="J306" s="7" t="n"/>
      <c r="K306" s="7" t="n"/>
      <c r="L306" s="7" t="n"/>
      <c r="M306" s="7" t="n"/>
      <c r="N306" s="7" t="n"/>
      <c r="O306" s="7" t="n"/>
      <c r="P306" s="8" t="n"/>
    </row>
    <row r="307">
      <c r="A307" s="14">
        <f>IF($S$297="","",INDEX(회차설정!$A$13:$A$27,$S$297))</f>
        <v/>
      </c>
      <c r="B307" s="14">
        <f>IF($S$297="","",INDEX(회차설정!$B$13:$B$27,$S$297))</f>
        <v/>
      </c>
      <c r="C307" s="8" t="n"/>
      <c r="D307" s="14">
        <f>IF($S$297="","",IF($R$291="언어와 매체",SUMPRODUCT((자동계산!$A$4:$A$48&gt;=INDEX(회차설정!$C$13:$C$27,$S$297))*(자동계산!$A$4:$A$48&lt;=INDEX(회차설정!$D$13:$D$27,$S$297))*자동계산!$E$4:$E$48),SUMPRODUCT((자동계산!$A$4:$A$48&gt;=INDEX(회차설정!$C$13:$C$27,$S$297))*(자동계산!$A$4:$A$48&lt;=INDEX(회차설정!$D$13:$D$27,$S$297))*자동계산!$C$4:$C$48)))</f>
        <v/>
      </c>
      <c r="E307" s="14">
        <f>IF(OR($S$297="",$R$290=""),"",SUM(OFFSET(전체채점!$AW$2,$R$290,INDEX(회차설정!$C$13:$C$27,$S$297),1,INDEX(회차설정!$D$13:$D$27,$S$297)-INDEX(회차설정!$C$13:$C$27,$S$297)+1)))</f>
        <v/>
      </c>
      <c r="F307" s="46">
        <f>IF(OR($S$297="",$D307=0,$D307="",$E307=""),"",$E307/$D307*100)</f>
        <v/>
      </c>
      <c r="G307" s="8" t="n"/>
      <c r="H307" s="47">
        <f>IF($F307="","",REPT("■",ROUND($F307/5,0)))</f>
        <v/>
      </c>
      <c r="I307" s="7" t="n"/>
      <c r="J307" s="7" t="n"/>
      <c r="K307" s="7" t="n"/>
      <c r="L307" s="7" t="n"/>
      <c r="M307" s="7" t="n"/>
      <c r="N307" s="7" t="n"/>
      <c r="O307" s="7" t="n"/>
      <c r="P307" s="8" t="n"/>
    </row>
    <row r="308">
      <c r="A308" s="14">
        <f>IF($S$298="","",INDEX(회차설정!$A$13:$A$27,$S$298))</f>
        <v/>
      </c>
      <c r="B308" s="14">
        <f>IF($S$298="","",INDEX(회차설정!$B$13:$B$27,$S$298))</f>
        <v/>
      </c>
      <c r="C308" s="8" t="n"/>
      <c r="D308" s="14">
        <f>IF($S$298="","",IF($R$291="언어와 매체",SUMPRODUCT((자동계산!$A$4:$A$48&gt;=INDEX(회차설정!$C$13:$C$27,$S$298))*(자동계산!$A$4:$A$48&lt;=INDEX(회차설정!$D$13:$D$27,$S$298))*자동계산!$E$4:$E$48),SUMPRODUCT((자동계산!$A$4:$A$48&gt;=INDEX(회차설정!$C$13:$C$27,$S$298))*(자동계산!$A$4:$A$48&lt;=INDEX(회차설정!$D$13:$D$27,$S$298))*자동계산!$C$4:$C$48)))</f>
        <v/>
      </c>
      <c r="E308" s="14">
        <f>IF(OR($S$298="",$R$290=""),"",SUM(OFFSET(전체채점!$AW$2,$R$290,INDEX(회차설정!$C$13:$C$27,$S$298),1,INDEX(회차설정!$D$13:$D$27,$S$298)-INDEX(회차설정!$C$13:$C$27,$S$298)+1)))</f>
        <v/>
      </c>
      <c r="F308" s="46">
        <f>IF(OR($S$298="",$D308=0,$D308="",$E308=""),"",$E308/$D308*100)</f>
        <v/>
      </c>
      <c r="G308" s="8" t="n"/>
      <c r="H308" s="47">
        <f>IF($F308="","",REPT("■",ROUND($F308/5,0)))</f>
        <v/>
      </c>
      <c r="I308" s="7" t="n"/>
      <c r="J308" s="7" t="n"/>
      <c r="K308" s="7" t="n"/>
      <c r="L308" s="7" t="n"/>
      <c r="M308" s="7" t="n"/>
      <c r="N308" s="7" t="n"/>
      <c r="O308" s="7" t="n"/>
      <c r="P308" s="8" t="n"/>
    </row>
    <row r="309">
      <c r="A309" s="14">
        <f>IF($S$299="","",INDEX(회차설정!$A$13:$A$27,$S$299))</f>
        <v/>
      </c>
      <c r="B309" s="14">
        <f>IF($S$299="","",INDEX(회차설정!$B$13:$B$27,$S$299))</f>
        <v/>
      </c>
      <c r="C309" s="8" t="n"/>
      <c r="D309" s="14">
        <f>IF($S$299="","",IF($R$291="언어와 매체",SUMPRODUCT((자동계산!$A$4:$A$48&gt;=INDEX(회차설정!$C$13:$C$27,$S$299))*(자동계산!$A$4:$A$48&lt;=INDEX(회차설정!$D$13:$D$27,$S$299))*자동계산!$E$4:$E$48),SUMPRODUCT((자동계산!$A$4:$A$48&gt;=INDEX(회차설정!$C$13:$C$27,$S$299))*(자동계산!$A$4:$A$48&lt;=INDEX(회차설정!$D$13:$D$27,$S$299))*자동계산!$C$4:$C$48)))</f>
        <v/>
      </c>
      <c r="E309" s="14">
        <f>IF(OR($S$299="",$R$290=""),"",SUM(OFFSET(전체채점!$AW$2,$R$290,INDEX(회차설정!$C$13:$C$27,$S$299),1,INDEX(회차설정!$D$13:$D$27,$S$299)-INDEX(회차설정!$C$13:$C$27,$S$299)+1)))</f>
        <v/>
      </c>
      <c r="F309" s="46">
        <f>IF(OR($S$299="",$D309=0,$D309="",$E309=""),"",$E309/$D309*100)</f>
        <v/>
      </c>
      <c r="G309" s="8" t="n"/>
      <c r="H309" s="47">
        <f>IF($F309="","",REPT("■",ROUND($F309/5,0)))</f>
        <v/>
      </c>
      <c r="I309" s="7" t="n"/>
      <c r="J309" s="7" t="n"/>
      <c r="K309" s="7" t="n"/>
      <c r="L309" s="7" t="n"/>
      <c r="M309" s="7" t="n"/>
      <c r="N309" s="7" t="n"/>
      <c r="O309" s="7" t="n"/>
      <c r="P309" s="8" t="n"/>
    </row>
    <row r="310">
      <c r="A310" s="14">
        <f>IF($S$300="","",INDEX(회차설정!$A$13:$A$27,$S$300))</f>
        <v/>
      </c>
      <c r="B310" s="14">
        <f>IF($S$300="","",INDEX(회차설정!$B$13:$B$27,$S$300))</f>
        <v/>
      </c>
      <c r="C310" s="8" t="n"/>
      <c r="D310" s="14">
        <f>IF($S$300="","",IF($R$291="언어와 매체",SUMPRODUCT((자동계산!$A$4:$A$48&gt;=INDEX(회차설정!$C$13:$C$27,$S$300))*(자동계산!$A$4:$A$48&lt;=INDEX(회차설정!$D$13:$D$27,$S$300))*자동계산!$E$4:$E$48),SUMPRODUCT((자동계산!$A$4:$A$48&gt;=INDEX(회차설정!$C$13:$C$27,$S$300))*(자동계산!$A$4:$A$48&lt;=INDEX(회차설정!$D$13:$D$27,$S$300))*자동계산!$C$4:$C$48)))</f>
        <v/>
      </c>
      <c r="E310" s="14">
        <f>IF(OR($S$300="",$R$290=""),"",SUM(OFFSET(전체채점!$AW$2,$R$290,INDEX(회차설정!$C$13:$C$27,$S$300),1,INDEX(회차설정!$D$13:$D$27,$S$300)-INDEX(회차설정!$C$13:$C$27,$S$300)+1)))</f>
        <v/>
      </c>
      <c r="F310" s="46">
        <f>IF(OR($S$300="",$D310=0,$D310="",$E310=""),"",$E310/$D310*100)</f>
        <v/>
      </c>
      <c r="G310" s="8" t="n"/>
      <c r="H310" s="47">
        <f>IF($F310="","",REPT("■",ROUND($F310/5,0)))</f>
        <v/>
      </c>
      <c r="I310" s="7" t="n"/>
      <c r="J310" s="7" t="n"/>
      <c r="K310" s="7" t="n"/>
      <c r="L310" s="7" t="n"/>
      <c r="M310" s="7" t="n"/>
      <c r="N310" s="7" t="n"/>
      <c r="O310" s="7" t="n"/>
      <c r="P310" s="8" t="n"/>
    </row>
    <row r="311">
      <c r="A311" s="14">
        <f>IF($S$301="","",INDEX(회차설정!$A$13:$A$27,$S$301))</f>
        <v/>
      </c>
      <c r="B311" s="14">
        <f>IF($S$301="","",INDEX(회차설정!$B$13:$B$27,$S$301))</f>
        <v/>
      </c>
      <c r="C311" s="8" t="n"/>
      <c r="D311" s="14">
        <f>IF($S$301="","",IF($R$291="언어와 매체",SUMPRODUCT((자동계산!$A$4:$A$48&gt;=INDEX(회차설정!$C$13:$C$27,$S$301))*(자동계산!$A$4:$A$48&lt;=INDEX(회차설정!$D$13:$D$27,$S$301))*자동계산!$E$4:$E$48),SUMPRODUCT((자동계산!$A$4:$A$48&gt;=INDEX(회차설정!$C$13:$C$27,$S$301))*(자동계산!$A$4:$A$48&lt;=INDEX(회차설정!$D$13:$D$27,$S$301))*자동계산!$C$4:$C$48)))</f>
        <v/>
      </c>
      <c r="E311" s="14">
        <f>IF(OR($S$301="",$R$290=""),"",SUM(OFFSET(전체채점!$AW$2,$R$290,INDEX(회차설정!$C$13:$C$27,$S$301),1,INDEX(회차설정!$D$13:$D$27,$S$301)-INDEX(회차설정!$C$13:$C$27,$S$301)+1)))</f>
        <v/>
      </c>
      <c r="F311" s="46">
        <f>IF(OR($S$301="",$D311=0,$D311="",$E311=""),"",$E311/$D311*100)</f>
        <v/>
      </c>
      <c r="G311" s="8" t="n"/>
      <c r="H311" s="47">
        <f>IF($F311="","",REPT("■",ROUND($F311/5,0)))</f>
        <v/>
      </c>
      <c r="I311" s="7" t="n"/>
      <c r="J311" s="7" t="n"/>
      <c r="K311" s="7" t="n"/>
      <c r="L311" s="7" t="n"/>
      <c r="M311" s="7" t="n"/>
      <c r="N311" s="7" t="n"/>
      <c r="O311" s="7" t="n"/>
      <c r="P311" s="8" t="n"/>
    </row>
    <row r="312">
      <c r="A312" s="5">
        <f>IF($R$290="","","합계")</f>
        <v/>
      </c>
      <c r="B312" s="7" t="n"/>
      <c r="C312" s="8" t="n"/>
      <c r="D312" s="5">
        <f>IF($R$290="","",SUM(D300:D311))</f>
        <v/>
      </c>
      <c r="E312" s="5">
        <f>IF($R$290="","",SUM(E300:E311))</f>
        <v/>
      </c>
      <c r="F312" s="48">
        <f>IF(OR($D312=0,$D312=""),"",$E312/$D312*100)</f>
        <v/>
      </c>
      <c r="G312" s="8" t="n"/>
      <c r="H312" s="49">
        <f>IF($F312="","",REPT("■",ROUND($F312/5,0)))</f>
        <v/>
      </c>
      <c r="I312" s="7" t="n"/>
      <c r="J312" s="7" t="n"/>
      <c r="K312" s="7" t="n"/>
      <c r="L312" s="7" t="n"/>
      <c r="M312" s="7" t="n"/>
      <c r="N312" s="7" t="n"/>
      <c r="O312" s="7" t="n"/>
      <c r="P312" s="8" t="n"/>
    </row>
    <row r="314">
      <c r="A314" s="12" t="inlineStr">
        <is>
          <t>4. 문항 채점표</t>
        </is>
      </c>
    </row>
    <row r="315">
      <c r="A315" s="50" t="inlineStr">
        <is>
          <t>문항 번호</t>
        </is>
      </c>
      <c r="B315" s="51" t="n">
        <v>1</v>
      </c>
      <c r="C315" s="51" t="n">
        <v>2</v>
      </c>
      <c r="D315" s="51" t="n">
        <v>3</v>
      </c>
      <c r="E315" s="51" t="n">
        <v>4</v>
      </c>
      <c r="F315" s="51" t="n">
        <v>5</v>
      </c>
      <c r="G315" s="51" t="n">
        <v>6</v>
      </c>
      <c r="H315" s="51" t="n">
        <v>7</v>
      </c>
      <c r="I315" s="51" t="n">
        <v>8</v>
      </c>
      <c r="J315" s="51" t="n">
        <v>9</v>
      </c>
      <c r="K315" s="51" t="n">
        <v>10</v>
      </c>
      <c r="L315" s="51" t="n">
        <v>11</v>
      </c>
      <c r="M315" s="51" t="n">
        <v>12</v>
      </c>
      <c r="N315" s="51" t="n">
        <v>13</v>
      </c>
      <c r="O315" s="51" t="n">
        <v>14</v>
      </c>
      <c r="P315" s="51" t="n">
        <v>15</v>
      </c>
    </row>
    <row r="316">
      <c r="A316" s="52" t="inlineStr">
        <is>
          <t>정답</t>
        </is>
      </c>
      <c r="B316" s="33">
        <f>IF($R$291="","",IF($R$291="언어와 매체",자동계산!$D$4,자동계산!$B$4))</f>
        <v/>
      </c>
      <c r="C316" s="33">
        <f>IF($R$291="","",IF($R$291="언어와 매체",자동계산!$D$5,자동계산!$B$5))</f>
        <v/>
      </c>
      <c r="D316" s="33">
        <f>IF($R$291="","",IF($R$291="언어와 매체",자동계산!$D$6,자동계산!$B$6))</f>
        <v/>
      </c>
      <c r="E316" s="33">
        <f>IF($R$291="","",IF($R$291="언어와 매체",자동계산!$D$7,자동계산!$B$7))</f>
        <v/>
      </c>
      <c r="F316" s="33">
        <f>IF($R$291="","",IF($R$291="언어와 매체",자동계산!$D$8,자동계산!$B$8))</f>
        <v/>
      </c>
      <c r="G316" s="33">
        <f>IF($R$291="","",IF($R$291="언어와 매체",자동계산!$D$9,자동계산!$B$9))</f>
        <v/>
      </c>
      <c r="H316" s="33">
        <f>IF($R$291="","",IF($R$291="언어와 매체",자동계산!$D$10,자동계산!$B$10))</f>
        <v/>
      </c>
      <c r="I316" s="33">
        <f>IF($R$291="","",IF($R$291="언어와 매체",자동계산!$D$11,자동계산!$B$11))</f>
        <v/>
      </c>
      <c r="J316" s="33">
        <f>IF($R$291="","",IF($R$291="언어와 매체",자동계산!$D$12,자동계산!$B$12))</f>
        <v/>
      </c>
      <c r="K316" s="33">
        <f>IF($R$291="","",IF($R$291="언어와 매체",자동계산!$D$13,자동계산!$B$13))</f>
        <v/>
      </c>
      <c r="L316" s="33">
        <f>IF($R$291="","",IF($R$291="언어와 매체",자동계산!$D$14,자동계산!$B$14))</f>
        <v/>
      </c>
      <c r="M316" s="33">
        <f>IF($R$291="","",IF($R$291="언어와 매체",자동계산!$D$15,자동계산!$B$15))</f>
        <v/>
      </c>
      <c r="N316" s="33">
        <f>IF($R$291="","",IF($R$291="언어와 매체",자동계산!$D$16,자동계산!$B$16))</f>
        <v/>
      </c>
      <c r="O316" s="33">
        <f>IF($R$291="","",IF($R$291="언어와 매체",자동계산!$D$17,자동계산!$B$17))</f>
        <v/>
      </c>
      <c r="P316" s="33">
        <f>IF($R$291="","",IF($R$291="언어와 매체",자동계산!$D$18,자동계산!$B$18))</f>
        <v/>
      </c>
    </row>
    <row r="317">
      <c r="A317" s="52" t="inlineStr">
        <is>
          <t>학생답안</t>
        </is>
      </c>
      <c r="B317" s="33">
        <f>IF($R$290="","",INDEX(전체채점!E$3:E$62,$R$290))</f>
        <v/>
      </c>
      <c r="C317" s="33">
        <f>IF($R$290="","",INDEX(전체채점!F$3:F$62,$R$290))</f>
        <v/>
      </c>
      <c r="D317" s="33">
        <f>IF($R$290="","",INDEX(전체채점!G$3:G$62,$R$290))</f>
        <v/>
      </c>
      <c r="E317" s="33">
        <f>IF($R$290="","",INDEX(전체채점!H$3:H$62,$R$290))</f>
        <v/>
      </c>
      <c r="F317" s="33">
        <f>IF($R$290="","",INDEX(전체채점!I$3:I$62,$R$290))</f>
        <v/>
      </c>
      <c r="G317" s="33">
        <f>IF($R$290="","",INDEX(전체채점!J$3:J$62,$R$290))</f>
        <v/>
      </c>
      <c r="H317" s="33">
        <f>IF($R$290="","",INDEX(전체채점!K$3:K$62,$R$290))</f>
        <v/>
      </c>
      <c r="I317" s="33">
        <f>IF($R$290="","",INDEX(전체채점!L$3:L$62,$R$290))</f>
        <v/>
      </c>
      <c r="J317" s="33">
        <f>IF($R$290="","",INDEX(전체채점!M$3:M$62,$R$290))</f>
        <v/>
      </c>
      <c r="K317" s="33">
        <f>IF($R$290="","",INDEX(전체채점!N$3:N$62,$R$290))</f>
        <v/>
      </c>
      <c r="L317" s="33">
        <f>IF($R$290="","",INDEX(전체채점!O$3:O$62,$R$290))</f>
        <v/>
      </c>
      <c r="M317" s="33">
        <f>IF($R$290="","",INDEX(전체채점!P$3:P$62,$R$290))</f>
        <v/>
      </c>
      <c r="N317" s="33">
        <f>IF($R$290="","",INDEX(전체채점!Q$3:Q$62,$R$290))</f>
        <v/>
      </c>
      <c r="O317" s="33">
        <f>IF($R$290="","",INDEX(전체채점!R$3:R$62,$R$290))</f>
        <v/>
      </c>
      <c r="P317" s="33">
        <f>IF($R$290="","",INDEX(전체채점!S$3:S$62,$R$290))</f>
        <v/>
      </c>
    </row>
    <row r="318">
      <c r="A318" s="52" t="inlineStr">
        <is>
          <t>정오</t>
        </is>
      </c>
      <c r="B318" s="33">
        <f>IF($R$290="","",INDEX(전체채점!AX$3:AX$62,$R$290))</f>
        <v/>
      </c>
      <c r="C318" s="33">
        <f>IF($R$290="","",INDEX(전체채점!AY$3:AY$62,$R$290))</f>
        <v/>
      </c>
      <c r="D318" s="33">
        <f>IF($R$290="","",INDEX(전체채점!AZ$3:AZ$62,$R$290))</f>
        <v/>
      </c>
      <c r="E318" s="33">
        <f>IF($R$290="","",INDEX(전체채점!BA$3:BA$62,$R$290))</f>
        <v/>
      </c>
      <c r="F318" s="33">
        <f>IF($R$290="","",INDEX(전체채점!BB$3:BB$62,$R$290))</f>
        <v/>
      </c>
      <c r="G318" s="33">
        <f>IF($R$290="","",INDEX(전체채점!BC$3:BC$62,$R$290))</f>
        <v/>
      </c>
      <c r="H318" s="33">
        <f>IF($R$290="","",INDEX(전체채점!BD$3:BD$62,$R$290))</f>
        <v/>
      </c>
      <c r="I318" s="33">
        <f>IF($R$290="","",INDEX(전체채점!BE$3:BE$62,$R$290))</f>
        <v/>
      </c>
      <c r="J318" s="33">
        <f>IF($R$290="","",INDEX(전체채점!BF$3:BF$62,$R$290))</f>
        <v/>
      </c>
      <c r="K318" s="33">
        <f>IF($R$290="","",INDEX(전체채점!BG$3:BG$62,$R$290))</f>
        <v/>
      </c>
      <c r="L318" s="33">
        <f>IF($R$290="","",INDEX(전체채점!BH$3:BH$62,$R$290))</f>
        <v/>
      </c>
      <c r="M318" s="33">
        <f>IF($R$290="","",INDEX(전체채점!BI$3:BI$62,$R$290))</f>
        <v/>
      </c>
      <c r="N318" s="33">
        <f>IF($R$290="","",INDEX(전체채점!BJ$3:BJ$62,$R$290))</f>
        <v/>
      </c>
      <c r="O318" s="33">
        <f>IF($R$290="","",INDEX(전체채점!BK$3:BK$62,$R$290))</f>
        <v/>
      </c>
      <c r="P318" s="33">
        <f>IF($R$290="","",INDEX(전체채점!BL$3:BL$62,$R$290))</f>
        <v/>
      </c>
    </row>
    <row r="319">
      <c r="A319" s="50" t="inlineStr">
        <is>
          <t>문항 번호</t>
        </is>
      </c>
      <c r="B319" s="51" t="n">
        <v>16</v>
      </c>
      <c r="C319" s="51" t="n">
        <v>17</v>
      </c>
      <c r="D319" s="51" t="n">
        <v>18</v>
      </c>
      <c r="E319" s="51" t="n">
        <v>19</v>
      </c>
      <c r="F319" s="51" t="n">
        <v>20</v>
      </c>
      <c r="G319" s="51" t="n">
        <v>21</v>
      </c>
      <c r="H319" s="51" t="n">
        <v>22</v>
      </c>
      <c r="I319" s="51" t="n">
        <v>23</v>
      </c>
      <c r="J319" s="51" t="n">
        <v>24</v>
      </c>
      <c r="K319" s="51" t="n">
        <v>25</v>
      </c>
      <c r="L319" s="51" t="n">
        <v>26</v>
      </c>
      <c r="M319" s="51" t="n">
        <v>27</v>
      </c>
      <c r="N319" s="51" t="n">
        <v>28</v>
      </c>
      <c r="O319" s="51" t="n">
        <v>29</v>
      </c>
      <c r="P319" s="51" t="n">
        <v>30</v>
      </c>
    </row>
    <row r="320">
      <c r="A320" s="52" t="inlineStr">
        <is>
          <t>정답</t>
        </is>
      </c>
      <c r="B320" s="33">
        <f>IF($R$291="","",IF($R$291="언어와 매체",자동계산!$D$19,자동계산!$B$19))</f>
        <v/>
      </c>
      <c r="C320" s="33">
        <f>IF($R$291="","",IF($R$291="언어와 매체",자동계산!$D$20,자동계산!$B$20))</f>
        <v/>
      </c>
      <c r="D320" s="33">
        <f>IF($R$291="","",IF($R$291="언어와 매체",자동계산!$D$21,자동계산!$B$21))</f>
        <v/>
      </c>
      <c r="E320" s="33">
        <f>IF($R$291="","",IF($R$291="언어와 매체",자동계산!$D$22,자동계산!$B$22))</f>
        <v/>
      </c>
      <c r="F320" s="33">
        <f>IF($R$291="","",IF($R$291="언어와 매체",자동계산!$D$23,자동계산!$B$23))</f>
        <v/>
      </c>
      <c r="G320" s="33">
        <f>IF($R$291="","",IF($R$291="언어와 매체",자동계산!$D$24,자동계산!$B$24))</f>
        <v/>
      </c>
      <c r="H320" s="33">
        <f>IF($R$291="","",IF($R$291="언어와 매체",자동계산!$D$25,자동계산!$B$25))</f>
        <v/>
      </c>
      <c r="I320" s="33">
        <f>IF($R$291="","",IF($R$291="언어와 매체",자동계산!$D$26,자동계산!$B$26))</f>
        <v/>
      </c>
      <c r="J320" s="33">
        <f>IF($R$291="","",IF($R$291="언어와 매체",자동계산!$D$27,자동계산!$B$27))</f>
        <v/>
      </c>
      <c r="K320" s="33">
        <f>IF($R$291="","",IF($R$291="언어와 매체",자동계산!$D$28,자동계산!$B$28))</f>
        <v/>
      </c>
      <c r="L320" s="33">
        <f>IF($R$291="","",IF($R$291="언어와 매체",자동계산!$D$29,자동계산!$B$29))</f>
        <v/>
      </c>
      <c r="M320" s="33">
        <f>IF($R$291="","",IF($R$291="언어와 매체",자동계산!$D$30,자동계산!$B$30))</f>
        <v/>
      </c>
      <c r="N320" s="33">
        <f>IF($R$291="","",IF($R$291="언어와 매체",자동계산!$D$31,자동계산!$B$31))</f>
        <v/>
      </c>
      <c r="O320" s="33">
        <f>IF($R$291="","",IF($R$291="언어와 매체",자동계산!$D$32,자동계산!$B$32))</f>
        <v/>
      </c>
      <c r="P320" s="33">
        <f>IF($R$291="","",IF($R$291="언어와 매체",자동계산!$D$33,자동계산!$B$33))</f>
        <v/>
      </c>
    </row>
    <row r="321">
      <c r="A321" s="52" t="inlineStr">
        <is>
          <t>학생답안</t>
        </is>
      </c>
      <c r="B321" s="33">
        <f>IF($R$290="","",INDEX(전체채점!T$3:T$62,$R$290))</f>
        <v/>
      </c>
      <c r="C321" s="33">
        <f>IF($R$290="","",INDEX(전체채점!U$3:U$62,$R$290))</f>
        <v/>
      </c>
      <c r="D321" s="33">
        <f>IF($R$290="","",INDEX(전체채점!V$3:V$62,$R$290))</f>
        <v/>
      </c>
      <c r="E321" s="33">
        <f>IF($R$290="","",INDEX(전체채점!W$3:W$62,$R$290))</f>
        <v/>
      </c>
      <c r="F321" s="33">
        <f>IF($R$290="","",INDEX(전체채점!X$3:X$62,$R$290))</f>
        <v/>
      </c>
      <c r="G321" s="33">
        <f>IF($R$290="","",INDEX(전체채점!Y$3:Y$62,$R$290))</f>
        <v/>
      </c>
      <c r="H321" s="33">
        <f>IF($R$290="","",INDEX(전체채점!Z$3:Z$62,$R$290))</f>
        <v/>
      </c>
      <c r="I321" s="33">
        <f>IF($R$290="","",INDEX(전체채점!AA$3:AA$62,$R$290))</f>
        <v/>
      </c>
      <c r="J321" s="33">
        <f>IF($R$290="","",INDEX(전체채점!AB$3:AB$62,$R$290))</f>
        <v/>
      </c>
      <c r="K321" s="33">
        <f>IF($R$290="","",INDEX(전체채점!AC$3:AC$62,$R$290))</f>
        <v/>
      </c>
      <c r="L321" s="33">
        <f>IF($R$290="","",INDEX(전체채점!AD$3:AD$62,$R$290))</f>
        <v/>
      </c>
      <c r="M321" s="33">
        <f>IF($R$290="","",INDEX(전체채점!AE$3:AE$62,$R$290))</f>
        <v/>
      </c>
      <c r="N321" s="33">
        <f>IF($R$290="","",INDEX(전체채점!AF$3:AF$62,$R$290))</f>
        <v/>
      </c>
      <c r="O321" s="33">
        <f>IF($R$290="","",INDEX(전체채점!AG$3:AG$62,$R$290))</f>
        <v/>
      </c>
      <c r="P321" s="33">
        <f>IF($R$290="","",INDEX(전체채점!AH$3:AH$62,$R$290))</f>
        <v/>
      </c>
    </row>
    <row r="322">
      <c r="A322" s="52" t="inlineStr">
        <is>
          <t>정오</t>
        </is>
      </c>
      <c r="B322" s="33">
        <f>IF($R$290="","",INDEX(전체채점!BM$3:BM$62,$R$290))</f>
        <v/>
      </c>
      <c r="C322" s="33">
        <f>IF($R$290="","",INDEX(전체채점!BN$3:BN$62,$R$290))</f>
        <v/>
      </c>
      <c r="D322" s="33">
        <f>IF($R$290="","",INDEX(전체채점!BO$3:BO$62,$R$290))</f>
        <v/>
      </c>
      <c r="E322" s="33">
        <f>IF($R$290="","",INDEX(전체채점!BP$3:BP$62,$R$290))</f>
        <v/>
      </c>
      <c r="F322" s="33">
        <f>IF($R$290="","",INDEX(전체채점!BQ$3:BQ$62,$R$290))</f>
        <v/>
      </c>
      <c r="G322" s="33">
        <f>IF($R$290="","",INDEX(전체채점!BR$3:BR$62,$R$290))</f>
        <v/>
      </c>
      <c r="H322" s="33">
        <f>IF($R$290="","",INDEX(전체채점!BS$3:BS$62,$R$290))</f>
        <v/>
      </c>
      <c r="I322" s="33">
        <f>IF($R$290="","",INDEX(전체채점!BT$3:BT$62,$R$290))</f>
        <v/>
      </c>
      <c r="J322" s="33">
        <f>IF($R$290="","",INDEX(전체채점!BU$3:BU$62,$R$290))</f>
        <v/>
      </c>
      <c r="K322" s="33">
        <f>IF($R$290="","",INDEX(전체채점!BV$3:BV$62,$R$290))</f>
        <v/>
      </c>
      <c r="L322" s="33">
        <f>IF($R$290="","",INDEX(전체채점!BW$3:BW$62,$R$290))</f>
        <v/>
      </c>
      <c r="M322" s="33">
        <f>IF($R$290="","",INDEX(전체채점!BX$3:BX$62,$R$290))</f>
        <v/>
      </c>
      <c r="N322" s="33">
        <f>IF($R$290="","",INDEX(전체채점!BY$3:BY$62,$R$290))</f>
        <v/>
      </c>
      <c r="O322" s="33">
        <f>IF($R$290="","",INDEX(전체채점!BZ$3:BZ$62,$R$290))</f>
        <v/>
      </c>
      <c r="P322" s="33">
        <f>IF($R$290="","",INDEX(전체채점!CA$3:CA$62,$R$290))</f>
        <v/>
      </c>
    </row>
    <row r="323">
      <c r="A323" s="50" t="inlineStr">
        <is>
          <t>문항 번호</t>
        </is>
      </c>
      <c r="B323" s="51" t="n">
        <v>31</v>
      </c>
      <c r="C323" s="51" t="n">
        <v>32</v>
      </c>
      <c r="D323" s="51" t="n">
        <v>33</v>
      </c>
      <c r="E323" s="51" t="n">
        <v>34</v>
      </c>
      <c r="F323" s="51" t="n">
        <v>35</v>
      </c>
      <c r="G323" s="51" t="n">
        <v>36</v>
      </c>
      <c r="H323" s="51" t="n">
        <v>37</v>
      </c>
      <c r="I323" s="51" t="n">
        <v>38</v>
      </c>
      <c r="J323" s="51" t="n">
        <v>39</v>
      </c>
      <c r="K323" s="51" t="n">
        <v>40</v>
      </c>
      <c r="L323" s="51" t="n">
        <v>41</v>
      </c>
      <c r="M323" s="51" t="n">
        <v>42</v>
      </c>
      <c r="N323" s="51" t="n">
        <v>43</v>
      </c>
      <c r="O323" s="51" t="n">
        <v>44</v>
      </c>
      <c r="P323" s="51" t="n">
        <v>45</v>
      </c>
    </row>
    <row r="324">
      <c r="A324" s="52" t="inlineStr">
        <is>
          <t>정답</t>
        </is>
      </c>
      <c r="B324" s="33">
        <f>IF($R$291="","",IF($R$291="언어와 매체",자동계산!$D$34,자동계산!$B$34))</f>
        <v/>
      </c>
      <c r="C324" s="33">
        <f>IF($R$291="","",IF($R$291="언어와 매체",자동계산!$D$35,자동계산!$B$35))</f>
        <v/>
      </c>
      <c r="D324" s="33">
        <f>IF($R$291="","",IF($R$291="언어와 매체",자동계산!$D$36,자동계산!$B$36))</f>
        <v/>
      </c>
      <c r="E324" s="33">
        <f>IF($R$291="","",IF($R$291="언어와 매체",자동계산!$D$37,자동계산!$B$37))</f>
        <v/>
      </c>
      <c r="F324" s="33">
        <f>IF($R$291="","",IF($R$291="언어와 매체",자동계산!$D$38,자동계산!$B$38))</f>
        <v/>
      </c>
      <c r="G324" s="33">
        <f>IF($R$291="","",IF($R$291="언어와 매체",자동계산!$D$39,자동계산!$B$39))</f>
        <v/>
      </c>
      <c r="H324" s="33">
        <f>IF($R$291="","",IF($R$291="언어와 매체",자동계산!$D$40,자동계산!$B$40))</f>
        <v/>
      </c>
      <c r="I324" s="33">
        <f>IF($R$291="","",IF($R$291="언어와 매체",자동계산!$D$41,자동계산!$B$41))</f>
        <v/>
      </c>
      <c r="J324" s="33">
        <f>IF($R$291="","",IF($R$291="언어와 매체",자동계산!$D$42,자동계산!$B$42))</f>
        <v/>
      </c>
      <c r="K324" s="33">
        <f>IF($R$291="","",IF($R$291="언어와 매체",자동계산!$D$43,자동계산!$B$43))</f>
        <v/>
      </c>
      <c r="L324" s="33">
        <f>IF($R$291="","",IF($R$291="언어와 매체",자동계산!$D$44,자동계산!$B$44))</f>
        <v/>
      </c>
      <c r="M324" s="33">
        <f>IF($R$291="","",IF($R$291="언어와 매체",자동계산!$D$45,자동계산!$B$45))</f>
        <v/>
      </c>
      <c r="N324" s="33">
        <f>IF($R$291="","",IF($R$291="언어와 매체",자동계산!$D$46,자동계산!$B$46))</f>
        <v/>
      </c>
      <c r="O324" s="33">
        <f>IF($R$291="","",IF($R$291="언어와 매체",자동계산!$D$47,자동계산!$B$47))</f>
        <v/>
      </c>
      <c r="P324" s="33">
        <f>IF($R$291="","",IF($R$291="언어와 매체",자동계산!$D$48,자동계산!$B$48))</f>
        <v/>
      </c>
    </row>
    <row r="325">
      <c r="A325" s="52" t="inlineStr">
        <is>
          <t>학생답안</t>
        </is>
      </c>
      <c r="B325" s="33">
        <f>IF($R$290="","",INDEX(전체채점!AI$3:AI$62,$R$290))</f>
        <v/>
      </c>
      <c r="C325" s="33">
        <f>IF($R$290="","",INDEX(전체채점!AJ$3:AJ$62,$R$290))</f>
        <v/>
      </c>
      <c r="D325" s="33">
        <f>IF($R$290="","",INDEX(전체채점!AK$3:AK$62,$R$290))</f>
        <v/>
      </c>
      <c r="E325" s="33">
        <f>IF($R$290="","",INDEX(전체채점!AL$3:AL$62,$R$290))</f>
        <v/>
      </c>
      <c r="F325" s="33">
        <f>IF($R$290="","",INDEX(전체채점!AM$3:AM$62,$R$290))</f>
        <v/>
      </c>
      <c r="G325" s="33">
        <f>IF($R$290="","",INDEX(전체채점!AN$3:AN$62,$R$290))</f>
        <v/>
      </c>
      <c r="H325" s="33">
        <f>IF($R$290="","",INDEX(전체채점!AO$3:AO$62,$R$290))</f>
        <v/>
      </c>
      <c r="I325" s="33">
        <f>IF($R$290="","",INDEX(전체채점!AP$3:AP$62,$R$290))</f>
        <v/>
      </c>
      <c r="J325" s="33">
        <f>IF($R$290="","",INDEX(전체채점!AQ$3:AQ$62,$R$290))</f>
        <v/>
      </c>
      <c r="K325" s="33">
        <f>IF($R$290="","",INDEX(전체채점!AR$3:AR$62,$R$290))</f>
        <v/>
      </c>
      <c r="L325" s="33">
        <f>IF($R$290="","",INDEX(전체채점!AS$3:AS$62,$R$290))</f>
        <v/>
      </c>
      <c r="M325" s="33">
        <f>IF($R$290="","",INDEX(전체채점!AT$3:AT$62,$R$290))</f>
        <v/>
      </c>
      <c r="N325" s="33">
        <f>IF($R$290="","",INDEX(전체채점!AU$3:AU$62,$R$290))</f>
        <v/>
      </c>
      <c r="O325" s="33">
        <f>IF($R$290="","",INDEX(전체채점!AV$3:AV$62,$R$290))</f>
        <v/>
      </c>
      <c r="P325" s="33">
        <f>IF($R$290="","",INDEX(전체채점!AW$3:AW$62,$R$290))</f>
        <v/>
      </c>
    </row>
    <row r="326">
      <c r="A326" s="52" t="inlineStr">
        <is>
          <t>정오</t>
        </is>
      </c>
      <c r="B326" s="33">
        <f>IF($R$290="","",INDEX(전체채점!CB$3:CB$62,$R$290))</f>
        <v/>
      </c>
      <c r="C326" s="33">
        <f>IF($R$290="","",INDEX(전체채점!CC$3:CC$62,$R$290))</f>
        <v/>
      </c>
      <c r="D326" s="33">
        <f>IF($R$290="","",INDEX(전체채점!CD$3:CD$62,$R$290))</f>
        <v/>
      </c>
      <c r="E326" s="33">
        <f>IF($R$290="","",INDEX(전체채점!CE$3:CE$62,$R$290))</f>
        <v/>
      </c>
      <c r="F326" s="33">
        <f>IF($R$290="","",INDEX(전체채점!CF$3:CF$62,$R$290))</f>
        <v/>
      </c>
      <c r="G326" s="33">
        <f>IF($R$290="","",INDEX(전체채점!CG$3:CG$62,$R$290))</f>
        <v/>
      </c>
      <c r="H326" s="33">
        <f>IF($R$290="","",INDEX(전체채점!CH$3:CH$62,$R$290))</f>
        <v/>
      </c>
      <c r="I326" s="33">
        <f>IF($R$290="","",INDEX(전체채점!CI$3:CI$62,$R$290))</f>
        <v/>
      </c>
      <c r="J326" s="33">
        <f>IF($R$290="","",INDEX(전체채점!CJ$3:CJ$62,$R$290))</f>
        <v/>
      </c>
      <c r="K326" s="33">
        <f>IF($R$290="","",INDEX(전체채점!CK$3:CK$62,$R$290))</f>
        <v/>
      </c>
      <c r="L326" s="33">
        <f>IF($R$290="","",INDEX(전체채점!CL$3:CL$62,$R$290))</f>
        <v/>
      </c>
      <c r="M326" s="33">
        <f>IF($R$290="","",INDEX(전체채점!CM$3:CM$62,$R$290))</f>
        <v/>
      </c>
      <c r="N326" s="33">
        <f>IF($R$290="","",INDEX(전체채점!CN$3:CN$62,$R$290))</f>
        <v/>
      </c>
      <c r="O326" s="33">
        <f>IF($R$290="","",INDEX(전체채점!CO$3:CO$62,$R$290))</f>
        <v/>
      </c>
      <c r="P326" s="33">
        <f>IF($R$290="","",INDEX(전체채점!CP$3:CP$62,$R$290))</f>
        <v/>
      </c>
    </row>
    <row r="329" ht="34" customHeight="1">
      <c r="A329" s="36">
        <f>IF($R$331="","",회차설정!$B$2&amp;" 성적표")</f>
        <v/>
      </c>
    </row>
    <row r="331">
      <c r="A331" s="12" t="inlineStr">
        <is>
          <t>1. 학생정보</t>
        </is>
      </c>
      <c r="R331" s="37">
        <f>IF(답안입력!$A$11="","",9)</f>
        <v/>
      </c>
      <c r="S331" s="37">
        <f>IF($R$332="","",IFERROR(IF($R$332="언어와 매체",MATCH(1,회차설정!$G$13:$G$27,0),MATCH(1,회차설정!$F$13:$F$27,0)),""))</f>
        <v/>
      </c>
    </row>
    <row r="332">
      <c r="A332" s="13" t="inlineStr">
        <is>
          <t>성명</t>
        </is>
      </c>
      <c r="B332" s="7" t="n"/>
      <c r="C332" s="8" t="n"/>
      <c r="D332" s="13" t="inlineStr">
        <is>
          <t>선택과목</t>
        </is>
      </c>
      <c r="E332" s="7" t="n"/>
      <c r="F332" s="7" t="n"/>
      <c r="G332" s="8" t="n"/>
      <c r="H332" s="13" t="inlineStr">
        <is>
          <t>학년</t>
        </is>
      </c>
      <c r="I332" s="7" t="n"/>
      <c r="J332" s="7" t="n"/>
      <c r="K332" s="8" t="n"/>
      <c r="L332" s="13" t="inlineStr">
        <is>
          <t>시행일</t>
        </is>
      </c>
      <c r="M332" s="7" t="n"/>
      <c r="N332" s="7" t="n"/>
      <c r="O332" s="7" t="n"/>
      <c r="P332" s="8" t="n"/>
      <c r="R332" s="37">
        <f>IF($R$331="","",INDEX(전체채점!$B$3:$B$62,$R$331))</f>
        <v/>
      </c>
      <c r="S332" s="37">
        <f>IF($R$332="","",IFERROR(IF($R$332="언어와 매체",MATCH(2,회차설정!$G$13:$G$27,0),MATCH(2,회차설정!$F$13:$F$27,0)),""))</f>
        <v/>
      </c>
    </row>
    <row r="333" ht="26" customHeight="1">
      <c r="A333" s="39">
        <f>IF($R$331="","",INDEX(답안입력!$A$3:$A$62,$R$331))</f>
        <v/>
      </c>
      <c r="B333" s="7" t="n"/>
      <c r="C333" s="8" t="n"/>
      <c r="D333" s="39">
        <f>IF($R$331="","",INDEX(답안입력!$C$3:$C$62,$R$331))</f>
        <v/>
      </c>
      <c r="E333" s="7" t="n"/>
      <c r="F333" s="7" t="n"/>
      <c r="G333" s="8" t="n"/>
      <c r="H333" s="39">
        <f>IF($R$331="","",INDEX(답안입력!$B$3:$B$62,$R$331))</f>
        <v/>
      </c>
      <c r="I333" s="7" t="n"/>
      <c r="J333" s="7" t="n"/>
      <c r="K333" s="8" t="n"/>
      <c r="L333" s="40">
        <f>회차설정!$B$3</f>
        <v/>
      </c>
      <c r="M333" s="7" t="n"/>
      <c r="N333" s="7" t="n"/>
      <c r="O333" s="7" t="n"/>
      <c r="P333" s="8" t="n"/>
      <c r="R333" s="37">
        <f>IF($R$332="언어와 매체",회차설정!$B$9,회차설정!$B$8)</f>
        <v/>
      </c>
      <c r="S333" s="37">
        <f>IF($R$332="","",IFERROR(IF($R$332="언어와 매체",MATCH(3,회차설정!$G$13:$G$27,0),MATCH(3,회차설정!$F$13:$F$27,0)),""))</f>
        <v/>
      </c>
    </row>
    <row r="334">
      <c r="R334" s="37">
        <f>IF($R$332="언어와 매체",회차설정!$C$9,회차설정!$C$8)</f>
        <v/>
      </c>
      <c r="S334" s="37">
        <f>IF($R$332="","",IFERROR(IF($R$332="언어와 매체",MATCH(4,회차설정!$G$13:$G$27,0),MATCH(4,회차설정!$F$13:$F$27,0)),""))</f>
        <v/>
      </c>
    </row>
    <row r="335">
      <c r="A335" s="12" t="inlineStr">
        <is>
          <t>2. 성적</t>
        </is>
      </c>
      <c r="R335" s="37">
        <f>IF($R$332="언어와 매체",회차설정!$D$9,회차설정!$D$8)</f>
        <v/>
      </c>
      <c r="S335" s="37">
        <f>IF($R$332="","",IFERROR(IF($R$332="언어와 매체",MATCH(5,회차설정!$G$13:$G$27,0),MATCH(5,회차설정!$F$13:$F$27,0)),""))</f>
        <v/>
      </c>
    </row>
    <row r="336">
      <c r="A336" s="13" t="inlineStr">
        <is>
          <t>점수 (100점 만점)</t>
        </is>
      </c>
      <c r="B336" s="7" t="n"/>
      <c r="C336" s="7" t="n"/>
      <c r="D336" s="7" t="n"/>
      <c r="E336" s="8" t="n"/>
      <c r="F336" s="13" t="inlineStr">
        <is>
          <t>등급</t>
        </is>
      </c>
      <c r="G336" s="7" t="n"/>
      <c r="H336" s="8" t="n"/>
      <c r="I336" s="13" t="inlineStr">
        <is>
          <t>등급컷</t>
        </is>
      </c>
      <c r="J336" s="7" t="n"/>
      <c r="K336" s="7" t="n"/>
      <c r="L336" s="8" t="n"/>
      <c r="M336" s="13" t="inlineStr">
        <is>
          <t>같은 선택과목 평균</t>
        </is>
      </c>
      <c r="N336" s="7" t="n"/>
      <c r="O336" s="7" t="n"/>
      <c r="P336" s="8" t="n"/>
      <c r="R336" s="37">
        <f>IF($R$332="언어와 매체",회차설정!$E$9,회차설정!$E$8)</f>
        <v/>
      </c>
      <c r="S336" s="37">
        <f>IF($R$332="","",IFERROR(IF($R$332="언어와 매체",MATCH(6,회차설정!$G$13:$G$27,0),MATCH(6,회차설정!$F$13:$F$27,0)),""))</f>
        <v/>
      </c>
    </row>
    <row r="337" ht="34" customHeight="1">
      <c r="A337" s="41">
        <f>IF($R$331="","",INDEX(전체채점!$C$3:$C$62,$R$331))</f>
        <v/>
      </c>
      <c r="B337" s="7" t="n"/>
      <c r="C337" s="7" t="n"/>
      <c r="D337" s="7" t="n"/>
      <c r="E337" s="8" t="n"/>
      <c r="F337" s="42">
        <f>IF($R$331="","",INDEX(전체채점!$D$3:$D$62,$R$331))</f>
        <v/>
      </c>
      <c r="G337" s="7" t="n"/>
      <c r="H337" s="8" t="n"/>
      <c r="I337" s="43">
        <f>IF($R$331="","",$R$333&amp;"-"&amp;$R$334&amp;"-"&amp;$R$335&amp;"-"&amp;$R$336)</f>
        <v/>
      </c>
      <c r="J337" s="7" t="n"/>
      <c r="K337" s="7" t="n"/>
      <c r="L337" s="8" t="n"/>
      <c r="M337" s="44">
        <f>IFERROR(AVERAGEIF(전체채점!$B$3:$B$62,$R$332,전체채점!$C$3:$C$62),"")</f>
        <v/>
      </c>
      <c r="N337" s="7" t="n"/>
      <c r="O337" s="7" t="n"/>
      <c r="P337" s="8" t="n"/>
      <c r="S337" s="37">
        <f>IF($R$332="","",IFERROR(IF($R$332="언어와 매체",MATCH(7,회차설정!$G$13:$G$27,0),MATCH(7,회차설정!$F$13:$F$27,0)),""))</f>
        <v/>
      </c>
    </row>
    <row r="338">
      <c r="S338" s="37">
        <f>IF($R$332="","",IFERROR(IF($R$332="언어와 매체",MATCH(8,회차설정!$G$13:$G$27,0),MATCH(8,회차설정!$F$13:$F$27,0)),""))</f>
        <v/>
      </c>
    </row>
    <row r="339">
      <c r="A339" s="12" t="inlineStr">
        <is>
          <t>3. 영역분류별 성취도 분석</t>
        </is>
      </c>
      <c r="F339" s="45">
        <f>IF(OR($R$331="",$E353=""),"",IF($E353=INDEX(전체채점!$C$3:$C$62,$R$331),"","※ 회차설정의 영역 표를 확인하세요 — 영역 합계와 점수가 다릅니다"))</f>
        <v/>
      </c>
      <c r="S339" s="37">
        <f>IF($R$332="","",IFERROR(IF($R$332="언어와 매체",MATCH(9,회차설정!$G$13:$G$27,0),MATCH(9,회차설정!$F$13:$F$27,0)),""))</f>
        <v/>
      </c>
    </row>
    <row r="340">
      <c r="A340" s="13" t="inlineStr">
        <is>
          <t>분류</t>
        </is>
      </c>
      <c r="B340" s="13" t="inlineStr">
        <is>
          <t>영역</t>
        </is>
      </c>
      <c r="C340" s="8" t="n"/>
      <c r="D340" s="13" t="inlineStr">
        <is>
          <t>배점</t>
        </is>
      </c>
      <c r="E340" s="13" t="inlineStr">
        <is>
          <t>득점</t>
        </is>
      </c>
      <c r="F340" s="13" t="inlineStr">
        <is>
          <t>성취도(%)</t>
        </is>
      </c>
      <c r="G340" s="8" t="n"/>
      <c r="H340" s="13" t="inlineStr"/>
      <c r="I340" s="7" t="n"/>
      <c r="J340" s="7" t="n"/>
      <c r="K340" s="7" t="n"/>
      <c r="L340" s="7" t="n"/>
      <c r="M340" s="7" t="n"/>
      <c r="N340" s="7" t="n"/>
      <c r="O340" s="7" t="n"/>
      <c r="P340" s="8" t="n"/>
      <c r="S340" s="37">
        <f>IF($R$332="","",IFERROR(IF($R$332="언어와 매체",MATCH(10,회차설정!$G$13:$G$27,0),MATCH(10,회차설정!$F$13:$F$27,0)),""))</f>
        <v/>
      </c>
    </row>
    <row r="341">
      <c r="A341" s="14">
        <f>IF($S$331="","",INDEX(회차설정!$A$13:$A$27,$S$331))</f>
        <v/>
      </c>
      <c r="B341" s="14">
        <f>IF($S$331="","",INDEX(회차설정!$B$13:$B$27,$S$331))</f>
        <v/>
      </c>
      <c r="C341" s="8" t="n"/>
      <c r="D341" s="14">
        <f>IF($S$331="","",IF($R$332="언어와 매체",SUMPRODUCT((자동계산!$A$4:$A$48&gt;=INDEX(회차설정!$C$13:$C$27,$S$331))*(자동계산!$A$4:$A$48&lt;=INDEX(회차설정!$D$13:$D$27,$S$331))*자동계산!$E$4:$E$48),SUMPRODUCT((자동계산!$A$4:$A$48&gt;=INDEX(회차설정!$C$13:$C$27,$S$331))*(자동계산!$A$4:$A$48&lt;=INDEX(회차설정!$D$13:$D$27,$S$331))*자동계산!$C$4:$C$48)))</f>
        <v/>
      </c>
      <c r="E341" s="14">
        <f>IF(OR($S$331="",$R$331=""),"",SUM(OFFSET(전체채점!$AW$2,$R$331,INDEX(회차설정!$C$13:$C$27,$S$331),1,INDEX(회차설정!$D$13:$D$27,$S$331)-INDEX(회차설정!$C$13:$C$27,$S$331)+1)))</f>
        <v/>
      </c>
      <c r="F341" s="46">
        <f>IF(OR($S$331="",$D341=0,$D341="",$E341=""),"",$E341/$D341*100)</f>
        <v/>
      </c>
      <c r="G341" s="8" t="n"/>
      <c r="H341" s="47">
        <f>IF($F341="","",REPT("■",ROUND($F341/5,0)))</f>
        <v/>
      </c>
      <c r="I341" s="7" t="n"/>
      <c r="J341" s="7" t="n"/>
      <c r="K341" s="7" t="n"/>
      <c r="L341" s="7" t="n"/>
      <c r="M341" s="7" t="n"/>
      <c r="N341" s="7" t="n"/>
      <c r="O341" s="7" t="n"/>
      <c r="P341" s="8" t="n"/>
      <c r="S341" s="37">
        <f>IF($R$332="","",IFERROR(IF($R$332="언어와 매체",MATCH(11,회차설정!$G$13:$G$27,0),MATCH(11,회차설정!$F$13:$F$27,0)),""))</f>
        <v/>
      </c>
    </row>
    <row r="342">
      <c r="A342" s="14">
        <f>IF($S$332="","",INDEX(회차설정!$A$13:$A$27,$S$332))</f>
        <v/>
      </c>
      <c r="B342" s="14">
        <f>IF($S$332="","",INDEX(회차설정!$B$13:$B$27,$S$332))</f>
        <v/>
      </c>
      <c r="C342" s="8" t="n"/>
      <c r="D342" s="14">
        <f>IF($S$332="","",IF($R$332="언어와 매체",SUMPRODUCT((자동계산!$A$4:$A$48&gt;=INDEX(회차설정!$C$13:$C$27,$S$332))*(자동계산!$A$4:$A$48&lt;=INDEX(회차설정!$D$13:$D$27,$S$332))*자동계산!$E$4:$E$48),SUMPRODUCT((자동계산!$A$4:$A$48&gt;=INDEX(회차설정!$C$13:$C$27,$S$332))*(자동계산!$A$4:$A$48&lt;=INDEX(회차설정!$D$13:$D$27,$S$332))*자동계산!$C$4:$C$48)))</f>
        <v/>
      </c>
      <c r="E342" s="14">
        <f>IF(OR($S$332="",$R$331=""),"",SUM(OFFSET(전체채점!$AW$2,$R$331,INDEX(회차설정!$C$13:$C$27,$S$332),1,INDEX(회차설정!$D$13:$D$27,$S$332)-INDEX(회차설정!$C$13:$C$27,$S$332)+1)))</f>
        <v/>
      </c>
      <c r="F342" s="46">
        <f>IF(OR($S$332="",$D342=0,$D342="",$E342=""),"",$E342/$D342*100)</f>
        <v/>
      </c>
      <c r="G342" s="8" t="n"/>
      <c r="H342" s="47">
        <f>IF($F342="","",REPT("■",ROUND($F342/5,0)))</f>
        <v/>
      </c>
      <c r="I342" s="7" t="n"/>
      <c r="J342" s="7" t="n"/>
      <c r="K342" s="7" t="n"/>
      <c r="L342" s="7" t="n"/>
      <c r="M342" s="7" t="n"/>
      <c r="N342" s="7" t="n"/>
      <c r="O342" s="7" t="n"/>
      <c r="P342" s="8" t="n"/>
      <c r="S342" s="37">
        <f>IF($R$332="","",IFERROR(IF($R$332="언어와 매체",MATCH(12,회차설정!$G$13:$G$27,0),MATCH(12,회차설정!$F$13:$F$27,0)),""))</f>
        <v/>
      </c>
    </row>
    <row r="343">
      <c r="A343" s="14">
        <f>IF($S$333="","",INDEX(회차설정!$A$13:$A$27,$S$333))</f>
        <v/>
      </c>
      <c r="B343" s="14">
        <f>IF($S$333="","",INDEX(회차설정!$B$13:$B$27,$S$333))</f>
        <v/>
      </c>
      <c r="C343" s="8" t="n"/>
      <c r="D343" s="14">
        <f>IF($S$333="","",IF($R$332="언어와 매체",SUMPRODUCT((자동계산!$A$4:$A$48&gt;=INDEX(회차설정!$C$13:$C$27,$S$333))*(자동계산!$A$4:$A$48&lt;=INDEX(회차설정!$D$13:$D$27,$S$333))*자동계산!$E$4:$E$48),SUMPRODUCT((자동계산!$A$4:$A$48&gt;=INDEX(회차설정!$C$13:$C$27,$S$333))*(자동계산!$A$4:$A$48&lt;=INDEX(회차설정!$D$13:$D$27,$S$333))*자동계산!$C$4:$C$48)))</f>
        <v/>
      </c>
      <c r="E343" s="14">
        <f>IF(OR($S$333="",$R$331=""),"",SUM(OFFSET(전체채점!$AW$2,$R$331,INDEX(회차설정!$C$13:$C$27,$S$333),1,INDEX(회차설정!$D$13:$D$27,$S$333)-INDEX(회차설정!$C$13:$C$27,$S$333)+1)))</f>
        <v/>
      </c>
      <c r="F343" s="46">
        <f>IF(OR($S$333="",$D343=0,$D343="",$E343=""),"",$E343/$D343*100)</f>
        <v/>
      </c>
      <c r="G343" s="8" t="n"/>
      <c r="H343" s="47">
        <f>IF($F343="","",REPT("■",ROUND($F343/5,0)))</f>
        <v/>
      </c>
      <c r="I343" s="7" t="n"/>
      <c r="J343" s="7" t="n"/>
      <c r="K343" s="7" t="n"/>
      <c r="L343" s="7" t="n"/>
      <c r="M343" s="7" t="n"/>
      <c r="N343" s="7" t="n"/>
      <c r="O343" s="7" t="n"/>
      <c r="P343" s="8" t="n"/>
    </row>
    <row r="344">
      <c r="A344" s="14">
        <f>IF($S$334="","",INDEX(회차설정!$A$13:$A$27,$S$334))</f>
        <v/>
      </c>
      <c r="B344" s="14">
        <f>IF($S$334="","",INDEX(회차설정!$B$13:$B$27,$S$334))</f>
        <v/>
      </c>
      <c r="C344" s="8" t="n"/>
      <c r="D344" s="14">
        <f>IF($S$334="","",IF($R$332="언어와 매체",SUMPRODUCT((자동계산!$A$4:$A$48&gt;=INDEX(회차설정!$C$13:$C$27,$S$334))*(자동계산!$A$4:$A$48&lt;=INDEX(회차설정!$D$13:$D$27,$S$334))*자동계산!$E$4:$E$48),SUMPRODUCT((자동계산!$A$4:$A$48&gt;=INDEX(회차설정!$C$13:$C$27,$S$334))*(자동계산!$A$4:$A$48&lt;=INDEX(회차설정!$D$13:$D$27,$S$334))*자동계산!$C$4:$C$48)))</f>
        <v/>
      </c>
      <c r="E344" s="14">
        <f>IF(OR($S$334="",$R$331=""),"",SUM(OFFSET(전체채점!$AW$2,$R$331,INDEX(회차설정!$C$13:$C$27,$S$334),1,INDEX(회차설정!$D$13:$D$27,$S$334)-INDEX(회차설정!$C$13:$C$27,$S$334)+1)))</f>
        <v/>
      </c>
      <c r="F344" s="46">
        <f>IF(OR($S$334="",$D344=0,$D344="",$E344=""),"",$E344/$D344*100)</f>
        <v/>
      </c>
      <c r="G344" s="8" t="n"/>
      <c r="H344" s="47">
        <f>IF($F344="","",REPT("■",ROUND($F344/5,0)))</f>
        <v/>
      </c>
      <c r="I344" s="7" t="n"/>
      <c r="J344" s="7" t="n"/>
      <c r="K344" s="7" t="n"/>
      <c r="L344" s="7" t="n"/>
      <c r="M344" s="7" t="n"/>
      <c r="N344" s="7" t="n"/>
      <c r="O344" s="7" t="n"/>
      <c r="P344" s="8" t="n"/>
    </row>
    <row r="345">
      <c r="A345" s="14">
        <f>IF($S$335="","",INDEX(회차설정!$A$13:$A$27,$S$335))</f>
        <v/>
      </c>
      <c r="B345" s="14">
        <f>IF($S$335="","",INDEX(회차설정!$B$13:$B$27,$S$335))</f>
        <v/>
      </c>
      <c r="C345" s="8" t="n"/>
      <c r="D345" s="14">
        <f>IF($S$335="","",IF($R$332="언어와 매체",SUMPRODUCT((자동계산!$A$4:$A$48&gt;=INDEX(회차설정!$C$13:$C$27,$S$335))*(자동계산!$A$4:$A$48&lt;=INDEX(회차설정!$D$13:$D$27,$S$335))*자동계산!$E$4:$E$48),SUMPRODUCT((자동계산!$A$4:$A$48&gt;=INDEX(회차설정!$C$13:$C$27,$S$335))*(자동계산!$A$4:$A$48&lt;=INDEX(회차설정!$D$13:$D$27,$S$335))*자동계산!$C$4:$C$48)))</f>
        <v/>
      </c>
      <c r="E345" s="14">
        <f>IF(OR($S$335="",$R$331=""),"",SUM(OFFSET(전체채점!$AW$2,$R$331,INDEX(회차설정!$C$13:$C$27,$S$335),1,INDEX(회차설정!$D$13:$D$27,$S$335)-INDEX(회차설정!$C$13:$C$27,$S$335)+1)))</f>
        <v/>
      </c>
      <c r="F345" s="46">
        <f>IF(OR($S$335="",$D345=0,$D345="",$E345=""),"",$E345/$D345*100)</f>
        <v/>
      </c>
      <c r="G345" s="8" t="n"/>
      <c r="H345" s="47">
        <f>IF($F345="","",REPT("■",ROUND($F345/5,0)))</f>
        <v/>
      </c>
      <c r="I345" s="7" t="n"/>
      <c r="J345" s="7" t="n"/>
      <c r="K345" s="7" t="n"/>
      <c r="L345" s="7" t="n"/>
      <c r="M345" s="7" t="n"/>
      <c r="N345" s="7" t="n"/>
      <c r="O345" s="7" t="n"/>
      <c r="P345" s="8" t="n"/>
    </row>
    <row r="346">
      <c r="A346" s="14">
        <f>IF($S$336="","",INDEX(회차설정!$A$13:$A$27,$S$336))</f>
        <v/>
      </c>
      <c r="B346" s="14">
        <f>IF($S$336="","",INDEX(회차설정!$B$13:$B$27,$S$336))</f>
        <v/>
      </c>
      <c r="C346" s="8" t="n"/>
      <c r="D346" s="14">
        <f>IF($S$336="","",IF($R$332="언어와 매체",SUMPRODUCT((자동계산!$A$4:$A$48&gt;=INDEX(회차설정!$C$13:$C$27,$S$336))*(자동계산!$A$4:$A$48&lt;=INDEX(회차설정!$D$13:$D$27,$S$336))*자동계산!$E$4:$E$48),SUMPRODUCT((자동계산!$A$4:$A$48&gt;=INDEX(회차설정!$C$13:$C$27,$S$336))*(자동계산!$A$4:$A$48&lt;=INDEX(회차설정!$D$13:$D$27,$S$336))*자동계산!$C$4:$C$48)))</f>
        <v/>
      </c>
      <c r="E346" s="14">
        <f>IF(OR($S$336="",$R$331=""),"",SUM(OFFSET(전체채점!$AW$2,$R$331,INDEX(회차설정!$C$13:$C$27,$S$336),1,INDEX(회차설정!$D$13:$D$27,$S$336)-INDEX(회차설정!$C$13:$C$27,$S$336)+1)))</f>
        <v/>
      </c>
      <c r="F346" s="46">
        <f>IF(OR($S$336="",$D346=0,$D346="",$E346=""),"",$E346/$D346*100)</f>
        <v/>
      </c>
      <c r="G346" s="8" t="n"/>
      <c r="H346" s="47">
        <f>IF($F346="","",REPT("■",ROUND($F346/5,0)))</f>
        <v/>
      </c>
      <c r="I346" s="7" t="n"/>
      <c r="J346" s="7" t="n"/>
      <c r="K346" s="7" t="n"/>
      <c r="L346" s="7" t="n"/>
      <c r="M346" s="7" t="n"/>
      <c r="N346" s="7" t="n"/>
      <c r="O346" s="7" t="n"/>
      <c r="P346" s="8" t="n"/>
    </row>
    <row r="347">
      <c r="A347" s="14">
        <f>IF($S$337="","",INDEX(회차설정!$A$13:$A$27,$S$337))</f>
        <v/>
      </c>
      <c r="B347" s="14">
        <f>IF($S$337="","",INDEX(회차설정!$B$13:$B$27,$S$337))</f>
        <v/>
      </c>
      <c r="C347" s="8" t="n"/>
      <c r="D347" s="14">
        <f>IF($S$337="","",IF($R$332="언어와 매체",SUMPRODUCT((자동계산!$A$4:$A$48&gt;=INDEX(회차설정!$C$13:$C$27,$S$337))*(자동계산!$A$4:$A$48&lt;=INDEX(회차설정!$D$13:$D$27,$S$337))*자동계산!$E$4:$E$48),SUMPRODUCT((자동계산!$A$4:$A$48&gt;=INDEX(회차설정!$C$13:$C$27,$S$337))*(자동계산!$A$4:$A$48&lt;=INDEX(회차설정!$D$13:$D$27,$S$337))*자동계산!$C$4:$C$48)))</f>
        <v/>
      </c>
      <c r="E347" s="14">
        <f>IF(OR($S$337="",$R$331=""),"",SUM(OFFSET(전체채점!$AW$2,$R$331,INDEX(회차설정!$C$13:$C$27,$S$337),1,INDEX(회차설정!$D$13:$D$27,$S$337)-INDEX(회차설정!$C$13:$C$27,$S$337)+1)))</f>
        <v/>
      </c>
      <c r="F347" s="46">
        <f>IF(OR($S$337="",$D347=0,$D347="",$E347=""),"",$E347/$D347*100)</f>
        <v/>
      </c>
      <c r="G347" s="8" t="n"/>
      <c r="H347" s="47">
        <f>IF($F347="","",REPT("■",ROUND($F347/5,0)))</f>
        <v/>
      </c>
      <c r="I347" s="7" t="n"/>
      <c r="J347" s="7" t="n"/>
      <c r="K347" s="7" t="n"/>
      <c r="L347" s="7" t="n"/>
      <c r="M347" s="7" t="n"/>
      <c r="N347" s="7" t="n"/>
      <c r="O347" s="7" t="n"/>
      <c r="P347" s="8" t="n"/>
    </row>
    <row r="348">
      <c r="A348" s="14">
        <f>IF($S$338="","",INDEX(회차설정!$A$13:$A$27,$S$338))</f>
        <v/>
      </c>
      <c r="B348" s="14">
        <f>IF($S$338="","",INDEX(회차설정!$B$13:$B$27,$S$338))</f>
        <v/>
      </c>
      <c r="C348" s="8" t="n"/>
      <c r="D348" s="14">
        <f>IF($S$338="","",IF($R$332="언어와 매체",SUMPRODUCT((자동계산!$A$4:$A$48&gt;=INDEX(회차설정!$C$13:$C$27,$S$338))*(자동계산!$A$4:$A$48&lt;=INDEX(회차설정!$D$13:$D$27,$S$338))*자동계산!$E$4:$E$48),SUMPRODUCT((자동계산!$A$4:$A$48&gt;=INDEX(회차설정!$C$13:$C$27,$S$338))*(자동계산!$A$4:$A$48&lt;=INDEX(회차설정!$D$13:$D$27,$S$338))*자동계산!$C$4:$C$48)))</f>
        <v/>
      </c>
      <c r="E348" s="14">
        <f>IF(OR($S$338="",$R$331=""),"",SUM(OFFSET(전체채점!$AW$2,$R$331,INDEX(회차설정!$C$13:$C$27,$S$338),1,INDEX(회차설정!$D$13:$D$27,$S$338)-INDEX(회차설정!$C$13:$C$27,$S$338)+1)))</f>
        <v/>
      </c>
      <c r="F348" s="46">
        <f>IF(OR($S$338="",$D348=0,$D348="",$E348=""),"",$E348/$D348*100)</f>
        <v/>
      </c>
      <c r="G348" s="8" t="n"/>
      <c r="H348" s="47">
        <f>IF($F348="","",REPT("■",ROUND($F348/5,0)))</f>
        <v/>
      </c>
      <c r="I348" s="7" t="n"/>
      <c r="J348" s="7" t="n"/>
      <c r="K348" s="7" t="n"/>
      <c r="L348" s="7" t="n"/>
      <c r="M348" s="7" t="n"/>
      <c r="N348" s="7" t="n"/>
      <c r="O348" s="7" t="n"/>
      <c r="P348" s="8" t="n"/>
    </row>
    <row r="349">
      <c r="A349" s="14">
        <f>IF($S$339="","",INDEX(회차설정!$A$13:$A$27,$S$339))</f>
        <v/>
      </c>
      <c r="B349" s="14">
        <f>IF($S$339="","",INDEX(회차설정!$B$13:$B$27,$S$339))</f>
        <v/>
      </c>
      <c r="C349" s="8" t="n"/>
      <c r="D349" s="14">
        <f>IF($S$339="","",IF($R$332="언어와 매체",SUMPRODUCT((자동계산!$A$4:$A$48&gt;=INDEX(회차설정!$C$13:$C$27,$S$339))*(자동계산!$A$4:$A$48&lt;=INDEX(회차설정!$D$13:$D$27,$S$339))*자동계산!$E$4:$E$48),SUMPRODUCT((자동계산!$A$4:$A$48&gt;=INDEX(회차설정!$C$13:$C$27,$S$339))*(자동계산!$A$4:$A$48&lt;=INDEX(회차설정!$D$13:$D$27,$S$339))*자동계산!$C$4:$C$48)))</f>
        <v/>
      </c>
      <c r="E349" s="14">
        <f>IF(OR($S$339="",$R$331=""),"",SUM(OFFSET(전체채점!$AW$2,$R$331,INDEX(회차설정!$C$13:$C$27,$S$339),1,INDEX(회차설정!$D$13:$D$27,$S$339)-INDEX(회차설정!$C$13:$C$27,$S$339)+1)))</f>
        <v/>
      </c>
      <c r="F349" s="46">
        <f>IF(OR($S$339="",$D349=0,$D349="",$E349=""),"",$E349/$D349*100)</f>
        <v/>
      </c>
      <c r="G349" s="8" t="n"/>
      <c r="H349" s="47">
        <f>IF($F349="","",REPT("■",ROUND($F349/5,0)))</f>
        <v/>
      </c>
      <c r="I349" s="7" t="n"/>
      <c r="J349" s="7" t="n"/>
      <c r="K349" s="7" t="n"/>
      <c r="L349" s="7" t="n"/>
      <c r="M349" s="7" t="n"/>
      <c r="N349" s="7" t="n"/>
      <c r="O349" s="7" t="n"/>
      <c r="P349" s="8" t="n"/>
    </row>
    <row r="350">
      <c r="A350" s="14">
        <f>IF($S$340="","",INDEX(회차설정!$A$13:$A$27,$S$340))</f>
        <v/>
      </c>
      <c r="B350" s="14">
        <f>IF($S$340="","",INDEX(회차설정!$B$13:$B$27,$S$340))</f>
        <v/>
      </c>
      <c r="C350" s="8" t="n"/>
      <c r="D350" s="14">
        <f>IF($S$340="","",IF($R$332="언어와 매체",SUMPRODUCT((자동계산!$A$4:$A$48&gt;=INDEX(회차설정!$C$13:$C$27,$S$340))*(자동계산!$A$4:$A$48&lt;=INDEX(회차설정!$D$13:$D$27,$S$340))*자동계산!$E$4:$E$48),SUMPRODUCT((자동계산!$A$4:$A$48&gt;=INDEX(회차설정!$C$13:$C$27,$S$340))*(자동계산!$A$4:$A$48&lt;=INDEX(회차설정!$D$13:$D$27,$S$340))*자동계산!$C$4:$C$48)))</f>
        <v/>
      </c>
      <c r="E350" s="14">
        <f>IF(OR($S$340="",$R$331=""),"",SUM(OFFSET(전체채점!$AW$2,$R$331,INDEX(회차설정!$C$13:$C$27,$S$340),1,INDEX(회차설정!$D$13:$D$27,$S$340)-INDEX(회차설정!$C$13:$C$27,$S$340)+1)))</f>
        <v/>
      </c>
      <c r="F350" s="46">
        <f>IF(OR($S$340="",$D350=0,$D350="",$E350=""),"",$E350/$D350*100)</f>
        <v/>
      </c>
      <c r="G350" s="8" t="n"/>
      <c r="H350" s="47">
        <f>IF($F350="","",REPT("■",ROUND($F350/5,0)))</f>
        <v/>
      </c>
      <c r="I350" s="7" t="n"/>
      <c r="J350" s="7" t="n"/>
      <c r="K350" s="7" t="n"/>
      <c r="L350" s="7" t="n"/>
      <c r="M350" s="7" t="n"/>
      <c r="N350" s="7" t="n"/>
      <c r="O350" s="7" t="n"/>
      <c r="P350" s="8" t="n"/>
    </row>
    <row r="351">
      <c r="A351" s="14">
        <f>IF($S$341="","",INDEX(회차설정!$A$13:$A$27,$S$341))</f>
        <v/>
      </c>
      <c r="B351" s="14">
        <f>IF($S$341="","",INDEX(회차설정!$B$13:$B$27,$S$341))</f>
        <v/>
      </c>
      <c r="C351" s="8" t="n"/>
      <c r="D351" s="14">
        <f>IF($S$341="","",IF($R$332="언어와 매체",SUMPRODUCT((자동계산!$A$4:$A$48&gt;=INDEX(회차설정!$C$13:$C$27,$S$341))*(자동계산!$A$4:$A$48&lt;=INDEX(회차설정!$D$13:$D$27,$S$341))*자동계산!$E$4:$E$48),SUMPRODUCT((자동계산!$A$4:$A$48&gt;=INDEX(회차설정!$C$13:$C$27,$S$341))*(자동계산!$A$4:$A$48&lt;=INDEX(회차설정!$D$13:$D$27,$S$341))*자동계산!$C$4:$C$48)))</f>
        <v/>
      </c>
      <c r="E351" s="14">
        <f>IF(OR($S$341="",$R$331=""),"",SUM(OFFSET(전체채점!$AW$2,$R$331,INDEX(회차설정!$C$13:$C$27,$S$341),1,INDEX(회차설정!$D$13:$D$27,$S$341)-INDEX(회차설정!$C$13:$C$27,$S$341)+1)))</f>
        <v/>
      </c>
      <c r="F351" s="46">
        <f>IF(OR($S$341="",$D351=0,$D351="",$E351=""),"",$E351/$D351*100)</f>
        <v/>
      </c>
      <c r="G351" s="8" t="n"/>
      <c r="H351" s="47">
        <f>IF($F351="","",REPT("■",ROUND($F351/5,0)))</f>
        <v/>
      </c>
      <c r="I351" s="7" t="n"/>
      <c r="J351" s="7" t="n"/>
      <c r="K351" s="7" t="n"/>
      <c r="L351" s="7" t="n"/>
      <c r="M351" s="7" t="n"/>
      <c r="N351" s="7" t="n"/>
      <c r="O351" s="7" t="n"/>
      <c r="P351" s="8" t="n"/>
    </row>
    <row r="352">
      <c r="A352" s="14">
        <f>IF($S$342="","",INDEX(회차설정!$A$13:$A$27,$S$342))</f>
        <v/>
      </c>
      <c r="B352" s="14">
        <f>IF($S$342="","",INDEX(회차설정!$B$13:$B$27,$S$342))</f>
        <v/>
      </c>
      <c r="C352" s="8" t="n"/>
      <c r="D352" s="14">
        <f>IF($S$342="","",IF($R$332="언어와 매체",SUMPRODUCT((자동계산!$A$4:$A$48&gt;=INDEX(회차설정!$C$13:$C$27,$S$342))*(자동계산!$A$4:$A$48&lt;=INDEX(회차설정!$D$13:$D$27,$S$342))*자동계산!$E$4:$E$48),SUMPRODUCT((자동계산!$A$4:$A$48&gt;=INDEX(회차설정!$C$13:$C$27,$S$342))*(자동계산!$A$4:$A$48&lt;=INDEX(회차설정!$D$13:$D$27,$S$342))*자동계산!$C$4:$C$48)))</f>
        <v/>
      </c>
      <c r="E352" s="14">
        <f>IF(OR($S$342="",$R$331=""),"",SUM(OFFSET(전체채점!$AW$2,$R$331,INDEX(회차설정!$C$13:$C$27,$S$342),1,INDEX(회차설정!$D$13:$D$27,$S$342)-INDEX(회차설정!$C$13:$C$27,$S$342)+1)))</f>
        <v/>
      </c>
      <c r="F352" s="46">
        <f>IF(OR($S$342="",$D352=0,$D352="",$E352=""),"",$E352/$D352*100)</f>
        <v/>
      </c>
      <c r="G352" s="8" t="n"/>
      <c r="H352" s="47">
        <f>IF($F352="","",REPT("■",ROUND($F352/5,0)))</f>
        <v/>
      </c>
      <c r="I352" s="7" t="n"/>
      <c r="J352" s="7" t="n"/>
      <c r="K352" s="7" t="n"/>
      <c r="L352" s="7" t="n"/>
      <c r="M352" s="7" t="n"/>
      <c r="N352" s="7" t="n"/>
      <c r="O352" s="7" t="n"/>
      <c r="P352" s="8" t="n"/>
    </row>
    <row r="353">
      <c r="A353" s="5">
        <f>IF($R$331="","","합계")</f>
        <v/>
      </c>
      <c r="B353" s="7" t="n"/>
      <c r="C353" s="8" t="n"/>
      <c r="D353" s="5">
        <f>IF($R$331="","",SUM(D341:D352))</f>
        <v/>
      </c>
      <c r="E353" s="5">
        <f>IF($R$331="","",SUM(E341:E352))</f>
        <v/>
      </c>
      <c r="F353" s="48">
        <f>IF(OR($D353=0,$D353=""),"",$E353/$D353*100)</f>
        <v/>
      </c>
      <c r="G353" s="8" t="n"/>
      <c r="H353" s="49">
        <f>IF($F353="","",REPT("■",ROUND($F353/5,0)))</f>
        <v/>
      </c>
      <c r="I353" s="7" t="n"/>
      <c r="J353" s="7" t="n"/>
      <c r="K353" s="7" t="n"/>
      <c r="L353" s="7" t="n"/>
      <c r="M353" s="7" t="n"/>
      <c r="N353" s="7" t="n"/>
      <c r="O353" s="7" t="n"/>
      <c r="P353" s="8" t="n"/>
    </row>
    <row r="355">
      <c r="A355" s="12" t="inlineStr">
        <is>
          <t>4. 문항 채점표</t>
        </is>
      </c>
    </row>
    <row r="356">
      <c r="A356" s="50" t="inlineStr">
        <is>
          <t>문항 번호</t>
        </is>
      </c>
      <c r="B356" s="51" t="n">
        <v>1</v>
      </c>
      <c r="C356" s="51" t="n">
        <v>2</v>
      </c>
      <c r="D356" s="51" t="n">
        <v>3</v>
      </c>
      <c r="E356" s="51" t="n">
        <v>4</v>
      </c>
      <c r="F356" s="51" t="n">
        <v>5</v>
      </c>
      <c r="G356" s="51" t="n">
        <v>6</v>
      </c>
      <c r="H356" s="51" t="n">
        <v>7</v>
      </c>
      <c r="I356" s="51" t="n">
        <v>8</v>
      </c>
      <c r="J356" s="51" t="n">
        <v>9</v>
      </c>
      <c r="K356" s="51" t="n">
        <v>10</v>
      </c>
      <c r="L356" s="51" t="n">
        <v>11</v>
      </c>
      <c r="M356" s="51" t="n">
        <v>12</v>
      </c>
      <c r="N356" s="51" t="n">
        <v>13</v>
      </c>
      <c r="O356" s="51" t="n">
        <v>14</v>
      </c>
      <c r="P356" s="51" t="n">
        <v>15</v>
      </c>
    </row>
    <row r="357">
      <c r="A357" s="52" t="inlineStr">
        <is>
          <t>정답</t>
        </is>
      </c>
      <c r="B357" s="33">
        <f>IF($R$332="","",IF($R$332="언어와 매체",자동계산!$D$4,자동계산!$B$4))</f>
        <v/>
      </c>
      <c r="C357" s="33">
        <f>IF($R$332="","",IF($R$332="언어와 매체",자동계산!$D$5,자동계산!$B$5))</f>
        <v/>
      </c>
      <c r="D357" s="33">
        <f>IF($R$332="","",IF($R$332="언어와 매체",자동계산!$D$6,자동계산!$B$6))</f>
        <v/>
      </c>
      <c r="E357" s="33">
        <f>IF($R$332="","",IF($R$332="언어와 매체",자동계산!$D$7,자동계산!$B$7))</f>
        <v/>
      </c>
      <c r="F357" s="33">
        <f>IF($R$332="","",IF($R$332="언어와 매체",자동계산!$D$8,자동계산!$B$8))</f>
        <v/>
      </c>
      <c r="G357" s="33">
        <f>IF($R$332="","",IF($R$332="언어와 매체",자동계산!$D$9,자동계산!$B$9))</f>
        <v/>
      </c>
      <c r="H357" s="33">
        <f>IF($R$332="","",IF($R$332="언어와 매체",자동계산!$D$10,자동계산!$B$10))</f>
        <v/>
      </c>
      <c r="I357" s="33">
        <f>IF($R$332="","",IF($R$332="언어와 매체",자동계산!$D$11,자동계산!$B$11))</f>
        <v/>
      </c>
      <c r="J357" s="33">
        <f>IF($R$332="","",IF($R$332="언어와 매체",자동계산!$D$12,자동계산!$B$12))</f>
        <v/>
      </c>
      <c r="K357" s="33">
        <f>IF($R$332="","",IF($R$332="언어와 매체",자동계산!$D$13,자동계산!$B$13))</f>
        <v/>
      </c>
      <c r="L357" s="33">
        <f>IF($R$332="","",IF($R$332="언어와 매체",자동계산!$D$14,자동계산!$B$14))</f>
        <v/>
      </c>
      <c r="M357" s="33">
        <f>IF($R$332="","",IF($R$332="언어와 매체",자동계산!$D$15,자동계산!$B$15))</f>
        <v/>
      </c>
      <c r="N357" s="33">
        <f>IF($R$332="","",IF($R$332="언어와 매체",자동계산!$D$16,자동계산!$B$16))</f>
        <v/>
      </c>
      <c r="O357" s="33">
        <f>IF($R$332="","",IF($R$332="언어와 매체",자동계산!$D$17,자동계산!$B$17))</f>
        <v/>
      </c>
      <c r="P357" s="33">
        <f>IF($R$332="","",IF($R$332="언어와 매체",자동계산!$D$18,자동계산!$B$18))</f>
        <v/>
      </c>
    </row>
    <row r="358">
      <c r="A358" s="52" t="inlineStr">
        <is>
          <t>학생답안</t>
        </is>
      </c>
      <c r="B358" s="33">
        <f>IF($R$331="","",INDEX(전체채점!E$3:E$62,$R$331))</f>
        <v/>
      </c>
      <c r="C358" s="33">
        <f>IF($R$331="","",INDEX(전체채점!F$3:F$62,$R$331))</f>
        <v/>
      </c>
      <c r="D358" s="33">
        <f>IF($R$331="","",INDEX(전체채점!G$3:G$62,$R$331))</f>
        <v/>
      </c>
      <c r="E358" s="33">
        <f>IF($R$331="","",INDEX(전체채점!H$3:H$62,$R$331))</f>
        <v/>
      </c>
      <c r="F358" s="33">
        <f>IF($R$331="","",INDEX(전체채점!I$3:I$62,$R$331))</f>
        <v/>
      </c>
      <c r="G358" s="33">
        <f>IF($R$331="","",INDEX(전체채점!J$3:J$62,$R$331))</f>
        <v/>
      </c>
      <c r="H358" s="33">
        <f>IF($R$331="","",INDEX(전체채점!K$3:K$62,$R$331))</f>
        <v/>
      </c>
      <c r="I358" s="33">
        <f>IF($R$331="","",INDEX(전체채점!L$3:L$62,$R$331))</f>
        <v/>
      </c>
      <c r="J358" s="33">
        <f>IF($R$331="","",INDEX(전체채점!M$3:M$62,$R$331))</f>
        <v/>
      </c>
      <c r="K358" s="33">
        <f>IF($R$331="","",INDEX(전체채점!N$3:N$62,$R$331))</f>
        <v/>
      </c>
      <c r="L358" s="33">
        <f>IF($R$331="","",INDEX(전체채점!O$3:O$62,$R$331))</f>
        <v/>
      </c>
      <c r="M358" s="33">
        <f>IF($R$331="","",INDEX(전체채점!P$3:P$62,$R$331))</f>
        <v/>
      </c>
      <c r="N358" s="33">
        <f>IF($R$331="","",INDEX(전체채점!Q$3:Q$62,$R$331))</f>
        <v/>
      </c>
      <c r="O358" s="33">
        <f>IF($R$331="","",INDEX(전체채점!R$3:R$62,$R$331))</f>
        <v/>
      </c>
      <c r="P358" s="33">
        <f>IF($R$331="","",INDEX(전체채점!S$3:S$62,$R$331))</f>
        <v/>
      </c>
    </row>
    <row r="359">
      <c r="A359" s="52" t="inlineStr">
        <is>
          <t>정오</t>
        </is>
      </c>
      <c r="B359" s="33">
        <f>IF($R$331="","",INDEX(전체채점!AX$3:AX$62,$R$331))</f>
        <v/>
      </c>
      <c r="C359" s="33">
        <f>IF($R$331="","",INDEX(전체채점!AY$3:AY$62,$R$331))</f>
        <v/>
      </c>
      <c r="D359" s="33">
        <f>IF($R$331="","",INDEX(전체채점!AZ$3:AZ$62,$R$331))</f>
        <v/>
      </c>
      <c r="E359" s="33">
        <f>IF($R$331="","",INDEX(전체채점!BA$3:BA$62,$R$331))</f>
        <v/>
      </c>
      <c r="F359" s="33">
        <f>IF($R$331="","",INDEX(전체채점!BB$3:BB$62,$R$331))</f>
        <v/>
      </c>
      <c r="G359" s="33">
        <f>IF($R$331="","",INDEX(전체채점!BC$3:BC$62,$R$331))</f>
        <v/>
      </c>
      <c r="H359" s="33">
        <f>IF($R$331="","",INDEX(전체채점!BD$3:BD$62,$R$331))</f>
        <v/>
      </c>
      <c r="I359" s="33">
        <f>IF($R$331="","",INDEX(전체채점!BE$3:BE$62,$R$331))</f>
        <v/>
      </c>
      <c r="J359" s="33">
        <f>IF($R$331="","",INDEX(전체채점!BF$3:BF$62,$R$331))</f>
        <v/>
      </c>
      <c r="K359" s="33">
        <f>IF($R$331="","",INDEX(전체채점!BG$3:BG$62,$R$331))</f>
        <v/>
      </c>
      <c r="L359" s="33">
        <f>IF($R$331="","",INDEX(전체채점!BH$3:BH$62,$R$331))</f>
        <v/>
      </c>
      <c r="M359" s="33">
        <f>IF($R$331="","",INDEX(전체채점!BI$3:BI$62,$R$331))</f>
        <v/>
      </c>
      <c r="N359" s="33">
        <f>IF($R$331="","",INDEX(전체채점!BJ$3:BJ$62,$R$331))</f>
        <v/>
      </c>
      <c r="O359" s="33">
        <f>IF($R$331="","",INDEX(전체채점!BK$3:BK$62,$R$331))</f>
        <v/>
      </c>
      <c r="P359" s="33">
        <f>IF($R$331="","",INDEX(전체채점!BL$3:BL$62,$R$331))</f>
        <v/>
      </c>
    </row>
    <row r="360">
      <c r="A360" s="50" t="inlineStr">
        <is>
          <t>문항 번호</t>
        </is>
      </c>
      <c r="B360" s="51" t="n">
        <v>16</v>
      </c>
      <c r="C360" s="51" t="n">
        <v>17</v>
      </c>
      <c r="D360" s="51" t="n">
        <v>18</v>
      </c>
      <c r="E360" s="51" t="n">
        <v>19</v>
      </c>
      <c r="F360" s="51" t="n">
        <v>20</v>
      </c>
      <c r="G360" s="51" t="n">
        <v>21</v>
      </c>
      <c r="H360" s="51" t="n">
        <v>22</v>
      </c>
      <c r="I360" s="51" t="n">
        <v>23</v>
      </c>
      <c r="J360" s="51" t="n">
        <v>24</v>
      </c>
      <c r="K360" s="51" t="n">
        <v>25</v>
      </c>
      <c r="L360" s="51" t="n">
        <v>26</v>
      </c>
      <c r="M360" s="51" t="n">
        <v>27</v>
      </c>
      <c r="N360" s="51" t="n">
        <v>28</v>
      </c>
      <c r="O360" s="51" t="n">
        <v>29</v>
      </c>
      <c r="P360" s="51" t="n">
        <v>30</v>
      </c>
    </row>
    <row r="361">
      <c r="A361" s="52" t="inlineStr">
        <is>
          <t>정답</t>
        </is>
      </c>
      <c r="B361" s="33">
        <f>IF($R$332="","",IF($R$332="언어와 매체",자동계산!$D$19,자동계산!$B$19))</f>
        <v/>
      </c>
      <c r="C361" s="33">
        <f>IF($R$332="","",IF($R$332="언어와 매체",자동계산!$D$20,자동계산!$B$20))</f>
        <v/>
      </c>
      <c r="D361" s="33">
        <f>IF($R$332="","",IF($R$332="언어와 매체",자동계산!$D$21,자동계산!$B$21))</f>
        <v/>
      </c>
      <c r="E361" s="33">
        <f>IF($R$332="","",IF($R$332="언어와 매체",자동계산!$D$22,자동계산!$B$22))</f>
        <v/>
      </c>
      <c r="F361" s="33">
        <f>IF($R$332="","",IF($R$332="언어와 매체",자동계산!$D$23,자동계산!$B$23))</f>
        <v/>
      </c>
      <c r="G361" s="33">
        <f>IF($R$332="","",IF($R$332="언어와 매체",자동계산!$D$24,자동계산!$B$24))</f>
        <v/>
      </c>
      <c r="H361" s="33">
        <f>IF($R$332="","",IF($R$332="언어와 매체",자동계산!$D$25,자동계산!$B$25))</f>
        <v/>
      </c>
      <c r="I361" s="33">
        <f>IF($R$332="","",IF($R$332="언어와 매체",자동계산!$D$26,자동계산!$B$26))</f>
        <v/>
      </c>
      <c r="J361" s="33">
        <f>IF($R$332="","",IF($R$332="언어와 매체",자동계산!$D$27,자동계산!$B$27))</f>
        <v/>
      </c>
      <c r="K361" s="33">
        <f>IF($R$332="","",IF($R$332="언어와 매체",자동계산!$D$28,자동계산!$B$28))</f>
        <v/>
      </c>
      <c r="L361" s="33">
        <f>IF($R$332="","",IF($R$332="언어와 매체",자동계산!$D$29,자동계산!$B$29))</f>
        <v/>
      </c>
      <c r="M361" s="33">
        <f>IF($R$332="","",IF($R$332="언어와 매체",자동계산!$D$30,자동계산!$B$30))</f>
        <v/>
      </c>
      <c r="N361" s="33">
        <f>IF($R$332="","",IF($R$332="언어와 매체",자동계산!$D$31,자동계산!$B$31))</f>
        <v/>
      </c>
      <c r="O361" s="33">
        <f>IF($R$332="","",IF($R$332="언어와 매체",자동계산!$D$32,자동계산!$B$32))</f>
        <v/>
      </c>
      <c r="P361" s="33">
        <f>IF($R$332="","",IF($R$332="언어와 매체",자동계산!$D$33,자동계산!$B$33))</f>
        <v/>
      </c>
    </row>
    <row r="362">
      <c r="A362" s="52" t="inlineStr">
        <is>
          <t>학생답안</t>
        </is>
      </c>
      <c r="B362" s="33">
        <f>IF($R$331="","",INDEX(전체채점!T$3:T$62,$R$331))</f>
        <v/>
      </c>
      <c r="C362" s="33">
        <f>IF($R$331="","",INDEX(전체채점!U$3:U$62,$R$331))</f>
        <v/>
      </c>
      <c r="D362" s="33">
        <f>IF($R$331="","",INDEX(전체채점!V$3:V$62,$R$331))</f>
        <v/>
      </c>
      <c r="E362" s="33">
        <f>IF($R$331="","",INDEX(전체채점!W$3:W$62,$R$331))</f>
        <v/>
      </c>
      <c r="F362" s="33">
        <f>IF($R$331="","",INDEX(전체채점!X$3:X$62,$R$331))</f>
        <v/>
      </c>
      <c r="G362" s="33">
        <f>IF($R$331="","",INDEX(전체채점!Y$3:Y$62,$R$331))</f>
        <v/>
      </c>
      <c r="H362" s="33">
        <f>IF($R$331="","",INDEX(전체채점!Z$3:Z$62,$R$331))</f>
        <v/>
      </c>
      <c r="I362" s="33">
        <f>IF($R$331="","",INDEX(전체채점!AA$3:AA$62,$R$331))</f>
        <v/>
      </c>
      <c r="J362" s="33">
        <f>IF($R$331="","",INDEX(전체채점!AB$3:AB$62,$R$331))</f>
        <v/>
      </c>
      <c r="K362" s="33">
        <f>IF($R$331="","",INDEX(전체채점!AC$3:AC$62,$R$331))</f>
        <v/>
      </c>
      <c r="L362" s="33">
        <f>IF($R$331="","",INDEX(전체채점!AD$3:AD$62,$R$331))</f>
        <v/>
      </c>
      <c r="M362" s="33">
        <f>IF($R$331="","",INDEX(전체채점!AE$3:AE$62,$R$331))</f>
        <v/>
      </c>
      <c r="N362" s="33">
        <f>IF($R$331="","",INDEX(전체채점!AF$3:AF$62,$R$331))</f>
        <v/>
      </c>
      <c r="O362" s="33">
        <f>IF($R$331="","",INDEX(전체채점!AG$3:AG$62,$R$331))</f>
        <v/>
      </c>
      <c r="P362" s="33">
        <f>IF($R$331="","",INDEX(전체채점!AH$3:AH$62,$R$331))</f>
        <v/>
      </c>
    </row>
    <row r="363">
      <c r="A363" s="52" t="inlineStr">
        <is>
          <t>정오</t>
        </is>
      </c>
      <c r="B363" s="33">
        <f>IF($R$331="","",INDEX(전체채점!BM$3:BM$62,$R$331))</f>
        <v/>
      </c>
      <c r="C363" s="33">
        <f>IF($R$331="","",INDEX(전체채점!BN$3:BN$62,$R$331))</f>
        <v/>
      </c>
      <c r="D363" s="33">
        <f>IF($R$331="","",INDEX(전체채점!BO$3:BO$62,$R$331))</f>
        <v/>
      </c>
      <c r="E363" s="33">
        <f>IF($R$331="","",INDEX(전체채점!BP$3:BP$62,$R$331))</f>
        <v/>
      </c>
      <c r="F363" s="33">
        <f>IF($R$331="","",INDEX(전체채점!BQ$3:BQ$62,$R$331))</f>
        <v/>
      </c>
      <c r="G363" s="33">
        <f>IF($R$331="","",INDEX(전체채점!BR$3:BR$62,$R$331))</f>
        <v/>
      </c>
      <c r="H363" s="33">
        <f>IF($R$331="","",INDEX(전체채점!BS$3:BS$62,$R$331))</f>
        <v/>
      </c>
      <c r="I363" s="33">
        <f>IF($R$331="","",INDEX(전체채점!BT$3:BT$62,$R$331))</f>
        <v/>
      </c>
      <c r="J363" s="33">
        <f>IF($R$331="","",INDEX(전체채점!BU$3:BU$62,$R$331))</f>
        <v/>
      </c>
      <c r="K363" s="33">
        <f>IF($R$331="","",INDEX(전체채점!BV$3:BV$62,$R$331))</f>
        <v/>
      </c>
      <c r="L363" s="33">
        <f>IF($R$331="","",INDEX(전체채점!BW$3:BW$62,$R$331))</f>
        <v/>
      </c>
      <c r="M363" s="33">
        <f>IF($R$331="","",INDEX(전체채점!BX$3:BX$62,$R$331))</f>
        <v/>
      </c>
      <c r="N363" s="33">
        <f>IF($R$331="","",INDEX(전체채점!BY$3:BY$62,$R$331))</f>
        <v/>
      </c>
      <c r="O363" s="33">
        <f>IF($R$331="","",INDEX(전체채점!BZ$3:BZ$62,$R$331))</f>
        <v/>
      </c>
      <c r="P363" s="33">
        <f>IF($R$331="","",INDEX(전체채점!CA$3:CA$62,$R$331))</f>
        <v/>
      </c>
    </row>
    <row r="364">
      <c r="A364" s="50" t="inlineStr">
        <is>
          <t>문항 번호</t>
        </is>
      </c>
      <c r="B364" s="51" t="n">
        <v>31</v>
      </c>
      <c r="C364" s="51" t="n">
        <v>32</v>
      </c>
      <c r="D364" s="51" t="n">
        <v>33</v>
      </c>
      <c r="E364" s="51" t="n">
        <v>34</v>
      </c>
      <c r="F364" s="51" t="n">
        <v>35</v>
      </c>
      <c r="G364" s="51" t="n">
        <v>36</v>
      </c>
      <c r="H364" s="51" t="n">
        <v>37</v>
      </c>
      <c r="I364" s="51" t="n">
        <v>38</v>
      </c>
      <c r="J364" s="51" t="n">
        <v>39</v>
      </c>
      <c r="K364" s="51" t="n">
        <v>40</v>
      </c>
      <c r="L364" s="51" t="n">
        <v>41</v>
      </c>
      <c r="M364" s="51" t="n">
        <v>42</v>
      </c>
      <c r="N364" s="51" t="n">
        <v>43</v>
      </c>
      <c r="O364" s="51" t="n">
        <v>44</v>
      </c>
      <c r="P364" s="51" t="n">
        <v>45</v>
      </c>
    </row>
    <row r="365">
      <c r="A365" s="52" t="inlineStr">
        <is>
          <t>정답</t>
        </is>
      </c>
      <c r="B365" s="33">
        <f>IF($R$332="","",IF($R$332="언어와 매체",자동계산!$D$34,자동계산!$B$34))</f>
        <v/>
      </c>
      <c r="C365" s="33">
        <f>IF($R$332="","",IF($R$332="언어와 매체",자동계산!$D$35,자동계산!$B$35))</f>
        <v/>
      </c>
      <c r="D365" s="33">
        <f>IF($R$332="","",IF($R$332="언어와 매체",자동계산!$D$36,자동계산!$B$36))</f>
        <v/>
      </c>
      <c r="E365" s="33">
        <f>IF($R$332="","",IF($R$332="언어와 매체",자동계산!$D$37,자동계산!$B$37))</f>
        <v/>
      </c>
      <c r="F365" s="33">
        <f>IF($R$332="","",IF($R$332="언어와 매체",자동계산!$D$38,자동계산!$B$38))</f>
        <v/>
      </c>
      <c r="G365" s="33">
        <f>IF($R$332="","",IF($R$332="언어와 매체",자동계산!$D$39,자동계산!$B$39))</f>
        <v/>
      </c>
      <c r="H365" s="33">
        <f>IF($R$332="","",IF($R$332="언어와 매체",자동계산!$D$40,자동계산!$B$40))</f>
        <v/>
      </c>
      <c r="I365" s="33">
        <f>IF($R$332="","",IF($R$332="언어와 매체",자동계산!$D$41,자동계산!$B$41))</f>
        <v/>
      </c>
      <c r="J365" s="33">
        <f>IF($R$332="","",IF($R$332="언어와 매체",자동계산!$D$42,자동계산!$B$42))</f>
        <v/>
      </c>
      <c r="K365" s="33">
        <f>IF($R$332="","",IF($R$332="언어와 매체",자동계산!$D$43,자동계산!$B$43))</f>
        <v/>
      </c>
      <c r="L365" s="33">
        <f>IF($R$332="","",IF($R$332="언어와 매체",자동계산!$D$44,자동계산!$B$44))</f>
        <v/>
      </c>
      <c r="M365" s="33">
        <f>IF($R$332="","",IF($R$332="언어와 매체",자동계산!$D$45,자동계산!$B$45))</f>
        <v/>
      </c>
      <c r="N365" s="33">
        <f>IF($R$332="","",IF($R$332="언어와 매체",자동계산!$D$46,자동계산!$B$46))</f>
        <v/>
      </c>
      <c r="O365" s="33">
        <f>IF($R$332="","",IF($R$332="언어와 매체",자동계산!$D$47,자동계산!$B$47))</f>
        <v/>
      </c>
      <c r="P365" s="33">
        <f>IF($R$332="","",IF($R$332="언어와 매체",자동계산!$D$48,자동계산!$B$48))</f>
        <v/>
      </c>
    </row>
    <row r="366">
      <c r="A366" s="52" t="inlineStr">
        <is>
          <t>학생답안</t>
        </is>
      </c>
      <c r="B366" s="33">
        <f>IF($R$331="","",INDEX(전체채점!AI$3:AI$62,$R$331))</f>
        <v/>
      </c>
      <c r="C366" s="33">
        <f>IF($R$331="","",INDEX(전체채점!AJ$3:AJ$62,$R$331))</f>
        <v/>
      </c>
      <c r="D366" s="33">
        <f>IF($R$331="","",INDEX(전체채점!AK$3:AK$62,$R$331))</f>
        <v/>
      </c>
      <c r="E366" s="33">
        <f>IF($R$331="","",INDEX(전체채점!AL$3:AL$62,$R$331))</f>
        <v/>
      </c>
      <c r="F366" s="33">
        <f>IF($R$331="","",INDEX(전체채점!AM$3:AM$62,$R$331))</f>
        <v/>
      </c>
      <c r="G366" s="33">
        <f>IF($R$331="","",INDEX(전체채점!AN$3:AN$62,$R$331))</f>
        <v/>
      </c>
      <c r="H366" s="33">
        <f>IF($R$331="","",INDEX(전체채점!AO$3:AO$62,$R$331))</f>
        <v/>
      </c>
      <c r="I366" s="33">
        <f>IF($R$331="","",INDEX(전체채점!AP$3:AP$62,$R$331))</f>
        <v/>
      </c>
      <c r="J366" s="33">
        <f>IF($R$331="","",INDEX(전체채점!AQ$3:AQ$62,$R$331))</f>
        <v/>
      </c>
      <c r="K366" s="33">
        <f>IF($R$331="","",INDEX(전체채점!AR$3:AR$62,$R$331))</f>
        <v/>
      </c>
      <c r="L366" s="33">
        <f>IF($R$331="","",INDEX(전체채점!AS$3:AS$62,$R$331))</f>
        <v/>
      </c>
      <c r="M366" s="33">
        <f>IF($R$331="","",INDEX(전체채점!AT$3:AT$62,$R$331))</f>
        <v/>
      </c>
      <c r="N366" s="33">
        <f>IF($R$331="","",INDEX(전체채점!AU$3:AU$62,$R$331))</f>
        <v/>
      </c>
      <c r="O366" s="33">
        <f>IF($R$331="","",INDEX(전체채점!AV$3:AV$62,$R$331))</f>
        <v/>
      </c>
      <c r="P366" s="33">
        <f>IF($R$331="","",INDEX(전체채점!AW$3:AW$62,$R$331))</f>
        <v/>
      </c>
    </row>
    <row r="367">
      <c r="A367" s="52" t="inlineStr">
        <is>
          <t>정오</t>
        </is>
      </c>
      <c r="B367" s="33">
        <f>IF($R$331="","",INDEX(전체채점!CB$3:CB$62,$R$331))</f>
        <v/>
      </c>
      <c r="C367" s="33">
        <f>IF($R$331="","",INDEX(전체채점!CC$3:CC$62,$R$331))</f>
        <v/>
      </c>
      <c r="D367" s="33">
        <f>IF($R$331="","",INDEX(전체채점!CD$3:CD$62,$R$331))</f>
        <v/>
      </c>
      <c r="E367" s="33">
        <f>IF($R$331="","",INDEX(전체채점!CE$3:CE$62,$R$331))</f>
        <v/>
      </c>
      <c r="F367" s="33">
        <f>IF($R$331="","",INDEX(전체채점!CF$3:CF$62,$R$331))</f>
        <v/>
      </c>
      <c r="G367" s="33">
        <f>IF($R$331="","",INDEX(전체채점!CG$3:CG$62,$R$331))</f>
        <v/>
      </c>
      <c r="H367" s="33">
        <f>IF($R$331="","",INDEX(전체채점!CH$3:CH$62,$R$331))</f>
        <v/>
      </c>
      <c r="I367" s="33">
        <f>IF($R$331="","",INDEX(전체채점!CI$3:CI$62,$R$331))</f>
        <v/>
      </c>
      <c r="J367" s="33">
        <f>IF($R$331="","",INDEX(전체채점!CJ$3:CJ$62,$R$331))</f>
        <v/>
      </c>
      <c r="K367" s="33">
        <f>IF($R$331="","",INDEX(전체채점!CK$3:CK$62,$R$331))</f>
        <v/>
      </c>
      <c r="L367" s="33">
        <f>IF($R$331="","",INDEX(전체채점!CL$3:CL$62,$R$331))</f>
        <v/>
      </c>
      <c r="M367" s="33">
        <f>IF($R$331="","",INDEX(전체채점!CM$3:CM$62,$R$331))</f>
        <v/>
      </c>
      <c r="N367" s="33">
        <f>IF($R$331="","",INDEX(전체채점!CN$3:CN$62,$R$331))</f>
        <v/>
      </c>
      <c r="O367" s="33">
        <f>IF($R$331="","",INDEX(전체채점!CO$3:CO$62,$R$331))</f>
        <v/>
      </c>
      <c r="P367" s="33">
        <f>IF($R$331="","",INDEX(전체채점!CP$3:CP$62,$R$331))</f>
        <v/>
      </c>
    </row>
    <row r="370" ht="34" customHeight="1">
      <c r="A370" s="36">
        <f>IF($R$372="","",회차설정!$B$2&amp;" 성적표")</f>
        <v/>
      </c>
    </row>
    <row r="372">
      <c r="A372" s="12" t="inlineStr">
        <is>
          <t>1. 학생정보</t>
        </is>
      </c>
      <c r="R372" s="37">
        <f>IF(답안입력!$A$12="","",10)</f>
        <v/>
      </c>
      <c r="S372" s="37">
        <f>IF($R$373="","",IFERROR(IF($R$373="언어와 매체",MATCH(1,회차설정!$G$13:$G$27,0),MATCH(1,회차설정!$F$13:$F$27,0)),""))</f>
        <v/>
      </c>
    </row>
    <row r="373">
      <c r="A373" s="13" t="inlineStr">
        <is>
          <t>성명</t>
        </is>
      </c>
      <c r="B373" s="7" t="n"/>
      <c r="C373" s="8" t="n"/>
      <c r="D373" s="13" t="inlineStr">
        <is>
          <t>선택과목</t>
        </is>
      </c>
      <c r="E373" s="7" t="n"/>
      <c r="F373" s="7" t="n"/>
      <c r="G373" s="8" t="n"/>
      <c r="H373" s="13" t="inlineStr">
        <is>
          <t>학년</t>
        </is>
      </c>
      <c r="I373" s="7" t="n"/>
      <c r="J373" s="7" t="n"/>
      <c r="K373" s="8" t="n"/>
      <c r="L373" s="13" t="inlineStr">
        <is>
          <t>시행일</t>
        </is>
      </c>
      <c r="M373" s="7" t="n"/>
      <c r="N373" s="7" t="n"/>
      <c r="O373" s="7" t="n"/>
      <c r="P373" s="8" t="n"/>
      <c r="R373" s="37">
        <f>IF($R$372="","",INDEX(전체채점!$B$3:$B$62,$R$372))</f>
        <v/>
      </c>
      <c r="S373" s="37">
        <f>IF($R$373="","",IFERROR(IF($R$373="언어와 매체",MATCH(2,회차설정!$G$13:$G$27,0),MATCH(2,회차설정!$F$13:$F$27,0)),""))</f>
        <v/>
      </c>
    </row>
    <row r="374" ht="26" customHeight="1">
      <c r="A374" s="39">
        <f>IF($R$372="","",INDEX(답안입력!$A$3:$A$62,$R$372))</f>
        <v/>
      </c>
      <c r="B374" s="7" t="n"/>
      <c r="C374" s="8" t="n"/>
      <c r="D374" s="39">
        <f>IF($R$372="","",INDEX(답안입력!$C$3:$C$62,$R$372))</f>
        <v/>
      </c>
      <c r="E374" s="7" t="n"/>
      <c r="F374" s="7" t="n"/>
      <c r="G374" s="8" t="n"/>
      <c r="H374" s="39">
        <f>IF($R$372="","",INDEX(답안입력!$B$3:$B$62,$R$372))</f>
        <v/>
      </c>
      <c r="I374" s="7" t="n"/>
      <c r="J374" s="7" t="n"/>
      <c r="K374" s="8" t="n"/>
      <c r="L374" s="40">
        <f>회차설정!$B$3</f>
        <v/>
      </c>
      <c r="M374" s="7" t="n"/>
      <c r="N374" s="7" t="n"/>
      <c r="O374" s="7" t="n"/>
      <c r="P374" s="8" t="n"/>
      <c r="R374" s="37">
        <f>IF($R$373="언어와 매체",회차설정!$B$9,회차설정!$B$8)</f>
        <v/>
      </c>
      <c r="S374" s="37">
        <f>IF($R$373="","",IFERROR(IF($R$373="언어와 매체",MATCH(3,회차설정!$G$13:$G$27,0),MATCH(3,회차설정!$F$13:$F$27,0)),""))</f>
        <v/>
      </c>
    </row>
    <row r="375">
      <c r="R375" s="37">
        <f>IF($R$373="언어와 매체",회차설정!$C$9,회차설정!$C$8)</f>
        <v/>
      </c>
      <c r="S375" s="37">
        <f>IF($R$373="","",IFERROR(IF($R$373="언어와 매체",MATCH(4,회차설정!$G$13:$G$27,0),MATCH(4,회차설정!$F$13:$F$27,0)),""))</f>
        <v/>
      </c>
    </row>
    <row r="376">
      <c r="A376" s="12" t="inlineStr">
        <is>
          <t>2. 성적</t>
        </is>
      </c>
      <c r="R376" s="37">
        <f>IF($R$373="언어와 매체",회차설정!$D$9,회차설정!$D$8)</f>
        <v/>
      </c>
      <c r="S376" s="37">
        <f>IF($R$373="","",IFERROR(IF($R$373="언어와 매체",MATCH(5,회차설정!$G$13:$G$27,0),MATCH(5,회차설정!$F$13:$F$27,0)),""))</f>
        <v/>
      </c>
    </row>
    <row r="377">
      <c r="A377" s="13" t="inlineStr">
        <is>
          <t>점수 (100점 만점)</t>
        </is>
      </c>
      <c r="B377" s="7" t="n"/>
      <c r="C377" s="7" t="n"/>
      <c r="D377" s="7" t="n"/>
      <c r="E377" s="8" t="n"/>
      <c r="F377" s="13" t="inlineStr">
        <is>
          <t>등급</t>
        </is>
      </c>
      <c r="G377" s="7" t="n"/>
      <c r="H377" s="8" t="n"/>
      <c r="I377" s="13" t="inlineStr">
        <is>
          <t>등급컷</t>
        </is>
      </c>
      <c r="J377" s="7" t="n"/>
      <c r="K377" s="7" t="n"/>
      <c r="L377" s="8" t="n"/>
      <c r="M377" s="13" t="inlineStr">
        <is>
          <t>같은 선택과목 평균</t>
        </is>
      </c>
      <c r="N377" s="7" t="n"/>
      <c r="O377" s="7" t="n"/>
      <c r="P377" s="8" t="n"/>
      <c r="R377" s="37">
        <f>IF($R$373="언어와 매체",회차설정!$E$9,회차설정!$E$8)</f>
        <v/>
      </c>
      <c r="S377" s="37">
        <f>IF($R$373="","",IFERROR(IF($R$373="언어와 매체",MATCH(6,회차설정!$G$13:$G$27,0),MATCH(6,회차설정!$F$13:$F$27,0)),""))</f>
        <v/>
      </c>
    </row>
    <row r="378" ht="34" customHeight="1">
      <c r="A378" s="41">
        <f>IF($R$372="","",INDEX(전체채점!$C$3:$C$62,$R$372))</f>
        <v/>
      </c>
      <c r="B378" s="7" t="n"/>
      <c r="C378" s="7" t="n"/>
      <c r="D378" s="7" t="n"/>
      <c r="E378" s="8" t="n"/>
      <c r="F378" s="42">
        <f>IF($R$372="","",INDEX(전체채점!$D$3:$D$62,$R$372))</f>
        <v/>
      </c>
      <c r="G378" s="7" t="n"/>
      <c r="H378" s="8" t="n"/>
      <c r="I378" s="43">
        <f>IF($R$372="","",$R$374&amp;"-"&amp;$R$375&amp;"-"&amp;$R$376&amp;"-"&amp;$R$377)</f>
        <v/>
      </c>
      <c r="J378" s="7" t="n"/>
      <c r="K378" s="7" t="n"/>
      <c r="L378" s="8" t="n"/>
      <c r="M378" s="44">
        <f>IFERROR(AVERAGEIF(전체채점!$B$3:$B$62,$R$373,전체채점!$C$3:$C$62),"")</f>
        <v/>
      </c>
      <c r="N378" s="7" t="n"/>
      <c r="O378" s="7" t="n"/>
      <c r="P378" s="8" t="n"/>
      <c r="S378" s="37">
        <f>IF($R$373="","",IFERROR(IF($R$373="언어와 매체",MATCH(7,회차설정!$G$13:$G$27,0),MATCH(7,회차설정!$F$13:$F$27,0)),""))</f>
        <v/>
      </c>
    </row>
    <row r="379">
      <c r="S379" s="37">
        <f>IF($R$373="","",IFERROR(IF($R$373="언어와 매체",MATCH(8,회차설정!$G$13:$G$27,0),MATCH(8,회차설정!$F$13:$F$27,0)),""))</f>
        <v/>
      </c>
    </row>
    <row r="380">
      <c r="A380" s="12" t="inlineStr">
        <is>
          <t>3. 영역분류별 성취도 분석</t>
        </is>
      </c>
      <c r="F380" s="45">
        <f>IF(OR($R$372="",$E394=""),"",IF($E394=INDEX(전체채점!$C$3:$C$62,$R$372),"","※ 회차설정의 영역 표를 확인하세요 — 영역 합계와 점수가 다릅니다"))</f>
        <v/>
      </c>
      <c r="S380" s="37">
        <f>IF($R$373="","",IFERROR(IF($R$373="언어와 매체",MATCH(9,회차설정!$G$13:$G$27,0),MATCH(9,회차설정!$F$13:$F$27,0)),""))</f>
        <v/>
      </c>
    </row>
    <row r="381">
      <c r="A381" s="13" t="inlineStr">
        <is>
          <t>분류</t>
        </is>
      </c>
      <c r="B381" s="13" t="inlineStr">
        <is>
          <t>영역</t>
        </is>
      </c>
      <c r="C381" s="8" t="n"/>
      <c r="D381" s="13" t="inlineStr">
        <is>
          <t>배점</t>
        </is>
      </c>
      <c r="E381" s="13" t="inlineStr">
        <is>
          <t>득점</t>
        </is>
      </c>
      <c r="F381" s="13" t="inlineStr">
        <is>
          <t>성취도(%)</t>
        </is>
      </c>
      <c r="G381" s="8" t="n"/>
      <c r="H381" s="13" t="inlineStr"/>
      <c r="I381" s="7" t="n"/>
      <c r="J381" s="7" t="n"/>
      <c r="K381" s="7" t="n"/>
      <c r="L381" s="7" t="n"/>
      <c r="M381" s="7" t="n"/>
      <c r="N381" s="7" t="n"/>
      <c r="O381" s="7" t="n"/>
      <c r="P381" s="8" t="n"/>
      <c r="S381" s="37">
        <f>IF($R$373="","",IFERROR(IF($R$373="언어와 매체",MATCH(10,회차설정!$G$13:$G$27,0),MATCH(10,회차설정!$F$13:$F$27,0)),""))</f>
        <v/>
      </c>
    </row>
    <row r="382">
      <c r="A382" s="14">
        <f>IF($S$372="","",INDEX(회차설정!$A$13:$A$27,$S$372))</f>
        <v/>
      </c>
      <c r="B382" s="14">
        <f>IF($S$372="","",INDEX(회차설정!$B$13:$B$27,$S$372))</f>
        <v/>
      </c>
      <c r="C382" s="8" t="n"/>
      <c r="D382" s="14">
        <f>IF($S$372="","",IF($R$373="언어와 매체",SUMPRODUCT((자동계산!$A$4:$A$48&gt;=INDEX(회차설정!$C$13:$C$27,$S$372))*(자동계산!$A$4:$A$48&lt;=INDEX(회차설정!$D$13:$D$27,$S$372))*자동계산!$E$4:$E$48),SUMPRODUCT((자동계산!$A$4:$A$48&gt;=INDEX(회차설정!$C$13:$C$27,$S$372))*(자동계산!$A$4:$A$48&lt;=INDEX(회차설정!$D$13:$D$27,$S$372))*자동계산!$C$4:$C$48)))</f>
        <v/>
      </c>
      <c r="E382" s="14">
        <f>IF(OR($S$372="",$R$372=""),"",SUM(OFFSET(전체채점!$AW$2,$R$372,INDEX(회차설정!$C$13:$C$27,$S$372),1,INDEX(회차설정!$D$13:$D$27,$S$372)-INDEX(회차설정!$C$13:$C$27,$S$372)+1)))</f>
        <v/>
      </c>
      <c r="F382" s="46">
        <f>IF(OR($S$372="",$D382=0,$D382="",$E382=""),"",$E382/$D382*100)</f>
        <v/>
      </c>
      <c r="G382" s="8" t="n"/>
      <c r="H382" s="47">
        <f>IF($F382="","",REPT("■",ROUND($F382/5,0)))</f>
        <v/>
      </c>
      <c r="I382" s="7" t="n"/>
      <c r="J382" s="7" t="n"/>
      <c r="K382" s="7" t="n"/>
      <c r="L382" s="7" t="n"/>
      <c r="M382" s="7" t="n"/>
      <c r="N382" s="7" t="n"/>
      <c r="O382" s="7" t="n"/>
      <c r="P382" s="8" t="n"/>
      <c r="S382" s="37">
        <f>IF($R$373="","",IFERROR(IF($R$373="언어와 매체",MATCH(11,회차설정!$G$13:$G$27,0),MATCH(11,회차설정!$F$13:$F$27,0)),""))</f>
        <v/>
      </c>
    </row>
    <row r="383">
      <c r="A383" s="14">
        <f>IF($S$373="","",INDEX(회차설정!$A$13:$A$27,$S$373))</f>
        <v/>
      </c>
      <c r="B383" s="14">
        <f>IF($S$373="","",INDEX(회차설정!$B$13:$B$27,$S$373))</f>
        <v/>
      </c>
      <c r="C383" s="8" t="n"/>
      <c r="D383" s="14">
        <f>IF($S$373="","",IF($R$373="언어와 매체",SUMPRODUCT((자동계산!$A$4:$A$48&gt;=INDEX(회차설정!$C$13:$C$27,$S$373))*(자동계산!$A$4:$A$48&lt;=INDEX(회차설정!$D$13:$D$27,$S$373))*자동계산!$E$4:$E$48),SUMPRODUCT((자동계산!$A$4:$A$48&gt;=INDEX(회차설정!$C$13:$C$27,$S$373))*(자동계산!$A$4:$A$48&lt;=INDEX(회차설정!$D$13:$D$27,$S$373))*자동계산!$C$4:$C$48)))</f>
        <v/>
      </c>
      <c r="E383" s="14">
        <f>IF(OR($S$373="",$R$372=""),"",SUM(OFFSET(전체채점!$AW$2,$R$372,INDEX(회차설정!$C$13:$C$27,$S$373),1,INDEX(회차설정!$D$13:$D$27,$S$373)-INDEX(회차설정!$C$13:$C$27,$S$373)+1)))</f>
        <v/>
      </c>
      <c r="F383" s="46">
        <f>IF(OR($S$373="",$D383=0,$D383="",$E383=""),"",$E383/$D383*100)</f>
        <v/>
      </c>
      <c r="G383" s="8" t="n"/>
      <c r="H383" s="47">
        <f>IF($F383="","",REPT("■",ROUND($F383/5,0)))</f>
        <v/>
      </c>
      <c r="I383" s="7" t="n"/>
      <c r="J383" s="7" t="n"/>
      <c r="K383" s="7" t="n"/>
      <c r="L383" s="7" t="n"/>
      <c r="M383" s="7" t="n"/>
      <c r="N383" s="7" t="n"/>
      <c r="O383" s="7" t="n"/>
      <c r="P383" s="8" t="n"/>
      <c r="S383" s="37">
        <f>IF($R$373="","",IFERROR(IF($R$373="언어와 매체",MATCH(12,회차설정!$G$13:$G$27,0),MATCH(12,회차설정!$F$13:$F$27,0)),""))</f>
        <v/>
      </c>
    </row>
    <row r="384">
      <c r="A384" s="14">
        <f>IF($S$374="","",INDEX(회차설정!$A$13:$A$27,$S$374))</f>
        <v/>
      </c>
      <c r="B384" s="14">
        <f>IF($S$374="","",INDEX(회차설정!$B$13:$B$27,$S$374))</f>
        <v/>
      </c>
      <c r="C384" s="8" t="n"/>
      <c r="D384" s="14">
        <f>IF($S$374="","",IF($R$373="언어와 매체",SUMPRODUCT((자동계산!$A$4:$A$48&gt;=INDEX(회차설정!$C$13:$C$27,$S$374))*(자동계산!$A$4:$A$48&lt;=INDEX(회차설정!$D$13:$D$27,$S$374))*자동계산!$E$4:$E$48),SUMPRODUCT((자동계산!$A$4:$A$48&gt;=INDEX(회차설정!$C$13:$C$27,$S$374))*(자동계산!$A$4:$A$48&lt;=INDEX(회차설정!$D$13:$D$27,$S$374))*자동계산!$C$4:$C$48)))</f>
        <v/>
      </c>
      <c r="E384" s="14">
        <f>IF(OR($S$374="",$R$372=""),"",SUM(OFFSET(전체채점!$AW$2,$R$372,INDEX(회차설정!$C$13:$C$27,$S$374),1,INDEX(회차설정!$D$13:$D$27,$S$374)-INDEX(회차설정!$C$13:$C$27,$S$374)+1)))</f>
        <v/>
      </c>
      <c r="F384" s="46">
        <f>IF(OR($S$374="",$D384=0,$D384="",$E384=""),"",$E384/$D384*100)</f>
        <v/>
      </c>
      <c r="G384" s="8" t="n"/>
      <c r="H384" s="47">
        <f>IF($F384="","",REPT("■",ROUND($F384/5,0)))</f>
        <v/>
      </c>
      <c r="I384" s="7" t="n"/>
      <c r="J384" s="7" t="n"/>
      <c r="K384" s="7" t="n"/>
      <c r="L384" s="7" t="n"/>
      <c r="M384" s="7" t="n"/>
      <c r="N384" s="7" t="n"/>
      <c r="O384" s="7" t="n"/>
      <c r="P384" s="8" t="n"/>
    </row>
    <row r="385">
      <c r="A385" s="14">
        <f>IF($S$375="","",INDEX(회차설정!$A$13:$A$27,$S$375))</f>
        <v/>
      </c>
      <c r="B385" s="14">
        <f>IF($S$375="","",INDEX(회차설정!$B$13:$B$27,$S$375))</f>
        <v/>
      </c>
      <c r="C385" s="8" t="n"/>
      <c r="D385" s="14">
        <f>IF($S$375="","",IF($R$373="언어와 매체",SUMPRODUCT((자동계산!$A$4:$A$48&gt;=INDEX(회차설정!$C$13:$C$27,$S$375))*(자동계산!$A$4:$A$48&lt;=INDEX(회차설정!$D$13:$D$27,$S$375))*자동계산!$E$4:$E$48),SUMPRODUCT((자동계산!$A$4:$A$48&gt;=INDEX(회차설정!$C$13:$C$27,$S$375))*(자동계산!$A$4:$A$48&lt;=INDEX(회차설정!$D$13:$D$27,$S$375))*자동계산!$C$4:$C$48)))</f>
        <v/>
      </c>
      <c r="E385" s="14">
        <f>IF(OR($S$375="",$R$372=""),"",SUM(OFFSET(전체채점!$AW$2,$R$372,INDEX(회차설정!$C$13:$C$27,$S$375),1,INDEX(회차설정!$D$13:$D$27,$S$375)-INDEX(회차설정!$C$13:$C$27,$S$375)+1)))</f>
        <v/>
      </c>
      <c r="F385" s="46">
        <f>IF(OR($S$375="",$D385=0,$D385="",$E385=""),"",$E385/$D385*100)</f>
        <v/>
      </c>
      <c r="G385" s="8" t="n"/>
      <c r="H385" s="47">
        <f>IF($F385="","",REPT("■",ROUND($F385/5,0)))</f>
        <v/>
      </c>
      <c r="I385" s="7" t="n"/>
      <c r="J385" s="7" t="n"/>
      <c r="K385" s="7" t="n"/>
      <c r="L385" s="7" t="n"/>
      <c r="M385" s="7" t="n"/>
      <c r="N385" s="7" t="n"/>
      <c r="O385" s="7" t="n"/>
      <c r="P385" s="8" t="n"/>
    </row>
    <row r="386">
      <c r="A386" s="14">
        <f>IF($S$376="","",INDEX(회차설정!$A$13:$A$27,$S$376))</f>
        <v/>
      </c>
      <c r="B386" s="14">
        <f>IF($S$376="","",INDEX(회차설정!$B$13:$B$27,$S$376))</f>
        <v/>
      </c>
      <c r="C386" s="8" t="n"/>
      <c r="D386" s="14">
        <f>IF($S$376="","",IF($R$373="언어와 매체",SUMPRODUCT((자동계산!$A$4:$A$48&gt;=INDEX(회차설정!$C$13:$C$27,$S$376))*(자동계산!$A$4:$A$48&lt;=INDEX(회차설정!$D$13:$D$27,$S$376))*자동계산!$E$4:$E$48),SUMPRODUCT((자동계산!$A$4:$A$48&gt;=INDEX(회차설정!$C$13:$C$27,$S$376))*(자동계산!$A$4:$A$48&lt;=INDEX(회차설정!$D$13:$D$27,$S$376))*자동계산!$C$4:$C$48)))</f>
        <v/>
      </c>
      <c r="E386" s="14">
        <f>IF(OR($S$376="",$R$372=""),"",SUM(OFFSET(전체채점!$AW$2,$R$372,INDEX(회차설정!$C$13:$C$27,$S$376),1,INDEX(회차설정!$D$13:$D$27,$S$376)-INDEX(회차설정!$C$13:$C$27,$S$376)+1)))</f>
        <v/>
      </c>
      <c r="F386" s="46">
        <f>IF(OR($S$376="",$D386=0,$D386="",$E386=""),"",$E386/$D386*100)</f>
        <v/>
      </c>
      <c r="G386" s="8" t="n"/>
      <c r="H386" s="47">
        <f>IF($F386="","",REPT("■",ROUND($F386/5,0)))</f>
        <v/>
      </c>
      <c r="I386" s="7" t="n"/>
      <c r="J386" s="7" t="n"/>
      <c r="K386" s="7" t="n"/>
      <c r="L386" s="7" t="n"/>
      <c r="M386" s="7" t="n"/>
      <c r="N386" s="7" t="n"/>
      <c r="O386" s="7" t="n"/>
      <c r="P386" s="8" t="n"/>
    </row>
    <row r="387">
      <c r="A387" s="14">
        <f>IF($S$377="","",INDEX(회차설정!$A$13:$A$27,$S$377))</f>
        <v/>
      </c>
      <c r="B387" s="14">
        <f>IF($S$377="","",INDEX(회차설정!$B$13:$B$27,$S$377))</f>
        <v/>
      </c>
      <c r="C387" s="8" t="n"/>
      <c r="D387" s="14">
        <f>IF($S$377="","",IF($R$373="언어와 매체",SUMPRODUCT((자동계산!$A$4:$A$48&gt;=INDEX(회차설정!$C$13:$C$27,$S$377))*(자동계산!$A$4:$A$48&lt;=INDEX(회차설정!$D$13:$D$27,$S$377))*자동계산!$E$4:$E$48),SUMPRODUCT((자동계산!$A$4:$A$48&gt;=INDEX(회차설정!$C$13:$C$27,$S$377))*(자동계산!$A$4:$A$48&lt;=INDEX(회차설정!$D$13:$D$27,$S$377))*자동계산!$C$4:$C$48)))</f>
        <v/>
      </c>
      <c r="E387" s="14">
        <f>IF(OR($S$377="",$R$372=""),"",SUM(OFFSET(전체채점!$AW$2,$R$372,INDEX(회차설정!$C$13:$C$27,$S$377),1,INDEX(회차설정!$D$13:$D$27,$S$377)-INDEX(회차설정!$C$13:$C$27,$S$377)+1)))</f>
        <v/>
      </c>
      <c r="F387" s="46">
        <f>IF(OR($S$377="",$D387=0,$D387="",$E387=""),"",$E387/$D387*100)</f>
        <v/>
      </c>
      <c r="G387" s="8" t="n"/>
      <c r="H387" s="47">
        <f>IF($F387="","",REPT("■",ROUND($F387/5,0)))</f>
        <v/>
      </c>
      <c r="I387" s="7" t="n"/>
      <c r="J387" s="7" t="n"/>
      <c r="K387" s="7" t="n"/>
      <c r="L387" s="7" t="n"/>
      <c r="M387" s="7" t="n"/>
      <c r="N387" s="7" t="n"/>
      <c r="O387" s="7" t="n"/>
      <c r="P387" s="8" t="n"/>
    </row>
    <row r="388">
      <c r="A388" s="14">
        <f>IF($S$378="","",INDEX(회차설정!$A$13:$A$27,$S$378))</f>
        <v/>
      </c>
      <c r="B388" s="14">
        <f>IF($S$378="","",INDEX(회차설정!$B$13:$B$27,$S$378))</f>
        <v/>
      </c>
      <c r="C388" s="8" t="n"/>
      <c r="D388" s="14">
        <f>IF($S$378="","",IF($R$373="언어와 매체",SUMPRODUCT((자동계산!$A$4:$A$48&gt;=INDEX(회차설정!$C$13:$C$27,$S$378))*(자동계산!$A$4:$A$48&lt;=INDEX(회차설정!$D$13:$D$27,$S$378))*자동계산!$E$4:$E$48),SUMPRODUCT((자동계산!$A$4:$A$48&gt;=INDEX(회차설정!$C$13:$C$27,$S$378))*(자동계산!$A$4:$A$48&lt;=INDEX(회차설정!$D$13:$D$27,$S$378))*자동계산!$C$4:$C$48)))</f>
        <v/>
      </c>
      <c r="E388" s="14">
        <f>IF(OR($S$378="",$R$372=""),"",SUM(OFFSET(전체채점!$AW$2,$R$372,INDEX(회차설정!$C$13:$C$27,$S$378),1,INDEX(회차설정!$D$13:$D$27,$S$378)-INDEX(회차설정!$C$13:$C$27,$S$378)+1)))</f>
        <v/>
      </c>
      <c r="F388" s="46">
        <f>IF(OR($S$378="",$D388=0,$D388="",$E388=""),"",$E388/$D388*100)</f>
        <v/>
      </c>
      <c r="G388" s="8" t="n"/>
      <c r="H388" s="47">
        <f>IF($F388="","",REPT("■",ROUND($F388/5,0)))</f>
        <v/>
      </c>
      <c r="I388" s="7" t="n"/>
      <c r="J388" s="7" t="n"/>
      <c r="K388" s="7" t="n"/>
      <c r="L388" s="7" t="n"/>
      <c r="M388" s="7" t="n"/>
      <c r="N388" s="7" t="n"/>
      <c r="O388" s="7" t="n"/>
      <c r="P388" s="8" t="n"/>
    </row>
    <row r="389">
      <c r="A389" s="14">
        <f>IF($S$379="","",INDEX(회차설정!$A$13:$A$27,$S$379))</f>
        <v/>
      </c>
      <c r="B389" s="14">
        <f>IF($S$379="","",INDEX(회차설정!$B$13:$B$27,$S$379))</f>
        <v/>
      </c>
      <c r="C389" s="8" t="n"/>
      <c r="D389" s="14">
        <f>IF($S$379="","",IF($R$373="언어와 매체",SUMPRODUCT((자동계산!$A$4:$A$48&gt;=INDEX(회차설정!$C$13:$C$27,$S$379))*(자동계산!$A$4:$A$48&lt;=INDEX(회차설정!$D$13:$D$27,$S$379))*자동계산!$E$4:$E$48),SUMPRODUCT((자동계산!$A$4:$A$48&gt;=INDEX(회차설정!$C$13:$C$27,$S$379))*(자동계산!$A$4:$A$48&lt;=INDEX(회차설정!$D$13:$D$27,$S$379))*자동계산!$C$4:$C$48)))</f>
        <v/>
      </c>
      <c r="E389" s="14">
        <f>IF(OR($S$379="",$R$372=""),"",SUM(OFFSET(전체채점!$AW$2,$R$372,INDEX(회차설정!$C$13:$C$27,$S$379),1,INDEX(회차설정!$D$13:$D$27,$S$379)-INDEX(회차설정!$C$13:$C$27,$S$379)+1)))</f>
        <v/>
      </c>
      <c r="F389" s="46">
        <f>IF(OR($S$379="",$D389=0,$D389="",$E389=""),"",$E389/$D389*100)</f>
        <v/>
      </c>
      <c r="G389" s="8" t="n"/>
      <c r="H389" s="47">
        <f>IF($F389="","",REPT("■",ROUND($F389/5,0)))</f>
        <v/>
      </c>
      <c r="I389" s="7" t="n"/>
      <c r="J389" s="7" t="n"/>
      <c r="K389" s="7" t="n"/>
      <c r="L389" s="7" t="n"/>
      <c r="M389" s="7" t="n"/>
      <c r="N389" s="7" t="n"/>
      <c r="O389" s="7" t="n"/>
      <c r="P389" s="8" t="n"/>
    </row>
    <row r="390">
      <c r="A390" s="14">
        <f>IF($S$380="","",INDEX(회차설정!$A$13:$A$27,$S$380))</f>
        <v/>
      </c>
      <c r="B390" s="14">
        <f>IF($S$380="","",INDEX(회차설정!$B$13:$B$27,$S$380))</f>
        <v/>
      </c>
      <c r="C390" s="8" t="n"/>
      <c r="D390" s="14">
        <f>IF($S$380="","",IF($R$373="언어와 매체",SUMPRODUCT((자동계산!$A$4:$A$48&gt;=INDEX(회차설정!$C$13:$C$27,$S$380))*(자동계산!$A$4:$A$48&lt;=INDEX(회차설정!$D$13:$D$27,$S$380))*자동계산!$E$4:$E$48),SUMPRODUCT((자동계산!$A$4:$A$48&gt;=INDEX(회차설정!$C$13:$C$27,$S$380))*(자동계산!$A$4:$A$48&lt;=INDEX(회차설정!$D$13:$D$27,$S$380))*자동계산!$C$4:$C$48)))</f>
        <v/>
      </c>
      <c r="E390" s="14">
        <f>IF(OR($S$380="",$R$372=""),"",SUM(OFFSET(전체채점!$AW$2,$R$372,INDEX(회차설정!$C$13:$C$27,$S$380),1,INDEX(회차설정!$D$13:$D$27,$S$380)-INDEX(회차설정!$C$13:$C$27,$S$380)+1)))</f>
        <v/>
      </c>
      <c r="F390" s="46">
        <f>IF(OR($S$380="",$D390=0,$D390="",$E390=""),"",$E390/$D390*100)</f>
        <v/>
      </c>
      <c r="G390" s="8" t="n"/>
      <c r="H390" s="47">
        <f>IF($F390="","",REPT("■",ROUND($F390/5,0)))</f>
        <v/>
      </c>
      <c r="I390" s="7" t="n"/>
      <c r="J390" s="7" t="n"/>
      <c r="K390" s="7" t="n"/>
      <c r="L390" s="7" t="n"/>
      <c r="M390" s="7" t="n"/>
      <c r="N390" s="7" t="n"/>
      <c r="O390" s="7" t="n"/>
      <c r="P390" s="8" t="n"/>
    </row>
    <row r="391">
      <c r="A391" s="14">
        <f>IF($S$381="","",INDEX(회차설정!$A$13:$A$27,$S$381))</f>
        <v/>
      </c>
      <c r="B391" s="14">
        <f>IF($S$381="","",INDEX(회차설정!$B$13:$B$27,$S$381))</f>
        <v/>
      </c>
      <c r="C391" s="8" t="n"/>
      <c r="D391" s="14">
        <f>IF($S$381="","",IF($R$373="언어와 매체",SUMPRODUCT((자동계산!$A$4:$A$48&gt;=INDEX(회차설정!$C$13:$C$27,$S$381))*(자동계산!$A$4:$A$48&lt;=INDEX(회차설정!$D$13:$D$27,$S$381))*자동계산!$E$4:$E$48),SUMPRODUCT((자동계산!$A$4:$A$48&gt;=INDEX(회차설정!$C$13:$C$27,$S$381))*(자동계산!$A$4:$A$48&lt;=INDEX(회차설정!$D$13:$D$27,$S$381))*자동계산!$C$4:$C$48)))</f>
        <v/>
      </c>
      <c r="E391" s="14">
        <f>IF(OR($S$381="",$R$372=""),"",SUM(OFFSET(전체채점!$AW$2,$R$372,INDEX(회차설정!$C$13:$C$27,$S$381),1,INDEX(회차설정!$D$13:$D$27,$S$381)-INDEX(회차설정!$C$13:$C$27,$S$381)+1)))</f>
        <v/>
      </c>
      <c r="F391" s="46">
        <f>IF(OR($S$381="",$D391=0,$D391="",$E391=""),"",$E391/$D391*100)</f>
        <v/>
      </c>
      <c r="G391" s="8" t="n"/>
      <c r="H391" s="47">
        <f>IF($F391="","",REPT("■",ROUND($F391/5,0)))</f>
        <v/>
      </c>
      <c r="I391" s="7" t="n"/>
      <c r="J391" s="7" t="n"/>
      <c r="K391" s="7" t="n"/>
      <c r="L391" s="7" t="n"/>
      <c r="M391" s="7" t="n"/>
      <c r="N391" s="7" t="n"/>
      <c r="O391" s="7" t="n"/>
      <c r="P391" s="8" t="n"/>
    </row>
    <row r="392">
      <c r="A392" s="14">
        <f>IF($S$382="","",INDEX(회차설정!$A$13:$A$27,$S$382))</f>
        <v/>
      </c>
      <c r="B392" s="14">
        <f>IF($S$382="","",INDEX(회차설정!$B$13:$B$27,$S$382))</f>
        <v/>
      </c>
      <c r="C392" s="8" t="n"/>
      <c r="D392" s="14">
        <f>IF($S$382="","",IF($R$373="언어와 매체",SUMPRODUCT((자동계산!$A$4:$A$48&gt;=INDEX(회차설정!$C$13:$C$27,$S$382))*(자동계산!$A$4:$A$48&lt;=INDEX(회차설정!$D$13:$D$27,$S$382))*자동계산!$E$4:$E$48),SUMPRODUCT((자동계산!$A$4:$A$48&gt;=INDEX(회차설정!$C$13:$C$27,$S$382))*(자동계산!$A$4:$A$48&lt;=INDEX(회차설정!$D$13:$D$27,$S$382))*자동계산!$C$4:$C$48)))</f>
        <v/>
      </c>
      <c r="E392" s="14">
        <f>IF(OR($S$382="",$R$372=""),"",SUM(OFFSET(전체채점!$AW$2,$R$372,INDEX(회차설정!$C$13:$C$27,$S$382),1,INDEX(회차설정!$D$13:$D$27,$S$382)-INDEX(회차설정!$C$13:$C$27,$S$382)+1)))</f>
        <v/>
      </c>
      <c r="F392" s="46">
        <f>IF(OR($S$382="",$D392=0,$D392="",$E392=""),"",$E392/$D392*100)</f>
        <v/>
      </c>
      <c r="G392" s="8" t="n"/>
      <c r="H392" s="47">
        <f>IF($F392="","",REPT("■",ROUND($F392/5,0)))</f>
        <v/>
      </c>
      <c r="I392" s="7" t="n"/>
      <c r="J392" s="7" t="n"/>
      <c r="K392" s="7" t="n"/>
      <c r="L392" s="7" t="n"/>
      <c r="M392" s="7" t="n"/>
      <c r="N392" s="7" t="n"/>
      <c r="O392" s="7" t="n"/>
      <c r="P392" s="8" t="n"/>
    </row>
    <row r="393">
      <c r="A393" s="14">
        <f>IF($S$383="","",INDEX(회차설정!$A$13:$A$27,$S$383))</f>
        <v/>
      </c>
      <c r="B393" s="14">
        <f>IF($S$383="","",INDEX(회차설정!$B$13:$B$27,$S$383))</f>
        <v/>
      </c>
      <c r="C393" s="8" t="n"/>
      <c r="D393" s="14">
        <f>IF($S$383="","",IF($R$373="언어와 매체",SUMPRODUCT((자동계산!$A$4:$A$48&gt;=INDEX(회차설정!$C$13:$C$27,$S$383))*(자동계산!$A$4:$A$48&lt;=INDEX(회차설정!$D$13:$D$27,$S$383))*자동계산!$E$4:$E$48),SUMPRODUCT((자동계산!$A$4:$A$48&gt;=INDEX(회차설정!$C$13:$C$27,$S$383))*(자동계산!$A$4:$A$48&lt;=INDEX(회차설정!$D$13:$D$27,$S$383))*자동계산!$C$4:$C$48)))</f>
        <v/>
      </c>
      <c r="E393" s="14">
        <f>IF(OR($S$383="",$R$372=""),"",SUM(OFFSET(전체채점!$AW$2,$R$372,INDEX(회차설정!$C$13:$C$27,$S$383),1,INDEX(회차설정!$D$13:$D$27,$S$383)-INDEX(회차설정!$C$13:$C$27,$S$383)+1)))</f>
        <v/>
      </c>
      <c r="F393" s="46">
        <f>IF(OR($S$383="",$D393=0,$D393="",$E393=""),"",$E393/$D393*100)</f>
        <v/>
      </c>
      <c r="G393" s="8" t="n"/>
      <c r="H393" s="47">
        <f>IF($F393="","",REPT("■",ROUND($F393/5,0)))</f>
        <v/>
      </c>
      <c r="I393" s="7" t="n"/>
      <c r="J393" s="7" t="n"/>
      <c r="K393" s="7" t="n"/>
      <c r="L393" s="7" t="n"/>
      <c r="M393" s="7" t="n"/>
      <c r="N393" s="7" t="n"/>
      <c r="O393" s="7" t="n"/>
      <c r="P393" s="8" t="n"/>
    </row>
    <row r="394">
      <c r="A394" s="5">
        <f>IF($R$372="","","합계")</f>
        <v/>
      </c>
      <c r="B394" s="7" t="n"/>
      <c r="C394" s="8" t="n"/>
      <c r="D394" s="5">
        <f>IF($R$372="","",SUM(D382:D393))</f>
        <v/>
      </c>
      <c r="E394" s="5">
        <f>IF($R$372="","",SUM(E382:E393))</f>
        <v/>
      </c>
      <c r="F394" s="48">
        <f>IF(OR($D394=0,$D394=""),"",$E394/$D394*100)</f>
        <v/>
      </c>
      <c r="G394" s="8" t="n"/>
      <c r="H394" s="49">
        <f>IF($F394="","",REPT("■",ROUND($F394/5,0)))</f>
        <v/>
      </c>
      <c r="I394" s="7" t="n"/>
      <c r="J394" s="7" t="n"/>
      <c r="K394" s="7" t="n"/>
      <c r="L394" s="7" t="n"/>
      <c r="M394" s="7" t="n"/>
      <c r="N394" s="7" t="n"/>
      <c r="O394" s="7" t="n"/>
      <c r="P394" s="8" t="n"/>
    </row>
    <row r="396">
      <c r="A396" s="12" t="inlineStr">
        <is>
          <t>4. 문항 채점표</t>
        </is>
      </c>
    </row>
    <row r="397">
      <c r="A397" s="50" t="inlineStr">
        <is>
          <t>문항 번호</t>
        </is>
      </c>
      <c r="B397" s="51" t="n">
        <v>1</v>
      </c>
      <c r="C397" s="51" t="n">
        <v>2</v>
      </c>
      <c r="D397" s="51" t="n">
        <v>3</v>
      </c>
      <c r="E397" s="51" t="n">
        <v>4</v>
      </c>
      <c r="F397" s="51" t="n">
        <v>5</v>
      </c>
      <c r="G397" s="51" t="n">
        <v>6</v>
      </c>
      <c r="H397" s="51" t="n">
        <v>7</v>
      </c>
      <c r="I397" s="51" t="n">
        <v>8</v>
      </c>
      <c r="J397" s="51" t="n">
        <v>9</v>
      </c>
      <c r="K397" s="51" t="n">
        <v>10</v>
      </c>
      <c r="L397" s="51" t="n">
        <v>11</v>
      </c>
      <c r="M397" s="51" t="n">
        <v>12</v>
      </c>
      <c r="N397" s="51" t="n">
        <v>13</v>
      </c>
      <c r="O397" s="51" t="n">
        <v>14</v>
      </c>
      <c r="P397" s="51" t="n">
        <v>15</v>
      </c>
    </row>
    <row r="398">
      <c r="A398" s="52" t="inlineStr">
        <is>
          <t>정답</t>
        </is>
      </c>
      <c r="B398" s="33">
        <f>IF($R$373="","",IF($R$373="언어와 매체",자동계산!$D$4,자동계산!$B$4))</f>
        <v/>
      </c>
      <c r="C398" s="33">
        <f>IF($R$373="","",IF($R$373="언어와 매체",자동계산!$D$5,자동계산!$B$5))</f>
        <v/>
      </c>
      <c r="D398" s="33">
        <f>IF($R$373="","",IF($R$373="언어와 매체",자동계산!$D$6,자동계산!$B$6))</f>
        <v/>
      </c>
      <c r="E398" s="33">
        <f>IF($R$373="","",IF($R$373="언어와 매체",자동계산!$D$7,자동계산!$B$7))</f>
        <v/>
      </c>
      <c r="F398" s="33">
        <f>IF($R$373="","",IF($R$373="언어와 매체",자동계산!$D$8,자동계산!$B$8))</f>
        <v/>
      </c>
      <c r="G398" s="33">
        <f>IF($R$373="","",IF($R$373="언어와 매체",자동계산!$D$9,자동계산!$B$9))</f>
        <v/>
      </c>
      <c r="H398" s="33">
        <f>IF($R$373="","",IF($R$373="언어와 매체",자동계산!$D$10,자동계산!$B$10))</f>
        <v/>
      </c>
      <c r="I398" s="33">
        <f>IF($R$373="","",IF($R$373="언어와 매체",자동계산!$D$11,자동계산!$B$11))</f>
        <v/>
      </c>
      <c r="J398" s="33">
        <f>IF($R$373="","",IF($R$373="언어와 매체",자동계산!$D$12,자동계산!$B$12))</f>
        <v/>
      </c>
      <c r="K398" s="33">
        <f>IF($R$373="","",IF($R$373="언어와 매체",자동계산!$D$13,자동계산!$B$13))</f>
        <v/>
      </c>
      <c r="L398" s="33">
        <f>IF($R$373="","",IF($R$373="언어와 매체",자동계산!$D$14,자동계산!$B$14))</f>
        <v/>
      </c>
      <c r="M398" s="33">
        <f>IF($R$373="","",IF($R$373="언어와 매체",자동계산!$D$15,자동계산!$B$15))</f>
        <v/>
      </c>
      <c r="N398" s="33">
        <f>IF($R$373="","",IF($R$373="언어와 매체",자동계산!$D$16,자동계산!$B$16))</f>
        <v/>
      </c>
      <c r="O398" s="33">
        <f>IF($R$373="","",IF($R$373="언어와 매체",자동계산!$D$17,자동계산!$B$17))</f>
        <v/>
      </c>
      <c r="P398" s="33">
        <f>IF($R$373="","",IF($R$373="언어와 매체",자동계산!$D$18,자동계산!$B$18))</f>
        <v/>
      </c>
    </row>
    <row r="399">
      <c r="A399" s="52" t="inlineStr">
        <is>
          <t>학생답안</t>
        </is>
      </c>
      <c r="B399" s="33">
        <f>IF($R$372="","",INDEX(전체채점!E$3:E$62,$R$372))</f>
        <v/>
      </c>
      <c r="C399" s="33">
        <f>IF($R$372="","",INDEX(전체채점!F$3:F$62,$R$372))</f>
        <v/>
      </c>
      <c r="D399" s="33">
        <f>IF($R$372="","",INDEX(전체채점!G$3:G$62,$R$372))</f>
        <v/>
      </c>
      <c r="E399" s="33">
        <f>IF($R$372="","",INDEX(전체채점!H$3:H$62,$R$372))</f>
        <v/>
      </c>
      <c r="F399" s="33">
        <f>IF($R$372="","",INDEX(전체채점!I$3:I$62,$R$372))</f>
        <v/>
      </c>
      <c r="G399" s="33">
        <f>IF($R$372="","",INDEX(전체채점!J$3:J$62,$R$372))</f>
        <v/>
      </c>
      <c r="H399" s="33">
        <f>IF($R$372="","",INDEX(전체채점!K$3:K$62,$R$372))</f>
        <v/>
      </c>
      <c r="I399" s="33">
        <f>IF($R$372="","",INDEX(전체채점!L$3:L$62,$R$372))</f>
        <v/>
      </c>
      <c r="J399" s="33">
        <f>IF($R$372="","",INDEX(전체채점!M$3:M$62,$R$372))</f>
        <v/>
      </c>
      <c r="K399" s="33">
        <f>IF($R$372="","",INDEX(전체채점!N$3:N$62,$R$372))</f>
        <v/>
      </c>
      <c r="L399" s="33">
        <f>IF($R$372="","",INDEX(전체채점!O$3:O$62,$R$372))</f>
        <v/>
      </c>
      <c r="M399" s="33">
        <f>IF($R$372="","",INDEX(전체채점!P$3:P$62,$R$372))</f>
        <v/>
      </c>
      <c r="N399" s="33">
        <f>IF($R$372="","",INDEX(전체채점!Q$3:Q$62,$R$372))</f>
        <v/>
      </c>
      <c r="O399" s="33">
        <f>IF($R$372="","",INDEX(전체채점!R$3:R$62,$R$372))</f>
        <v/>
      </c>
      <c r="P399" s="33">
        <f>IF($R$372="","",INDEX(전체채점!S$3:S$62,$R$372))</f>
        <v/>
      </c>
    </row>
    <row r="400">
      <c r="A400" s="52" t="inlineStr">
        <is>
          <t>정오</t>
        </is>
      </c>
      <c r="B400" s="33">
        <f>IF($R$372="","",INDEX(전체채점!AX$3:AX$62,$R$372))</f>
        <v/>
      </c>
      <c r="C400" s="33">
        <f>IF($R$372="","",INDEX(전체채점!AY$3:AY$62,$R$372))</f>
        <v/>
      </c>
      <c r="D400" s="33">
        <f>IF($R$372="","",INDEX(전체채점!AZ$3:AZ$62,$R$372))</f>
        <v/>
      </c>
      <c r="E400" s="33">
        <f>IF($R$372="","",INDEX(전체채점!BA$3:BA$62,$R$372))</f>
        <v/>
      </c>
      <c r="F400" s="33">
        <f>IF($R$372="","",INDEX(전체채점!BB$3:BB$62,$R$372))</f>
        <v/>
      </c>
      <c r="G400" s="33">
        <f>IF($R$372="","",INDEX(전체채점!BC$3:BC$62,$R$372))</f>
        <v/>
      </c>
      <c r="H400" s="33">
        <f>IF($R$372="","",INDEX(전체채점!BD$3:BD$62,$R$372))</f>
        <v/>
      </c>
      <c r="I400" s="33">
        <f>IF($R$372="","",INDEX(전체채점!BE$3:BE$62,$R$372))</f>
        <v/>
      </c>
      <c r="J400" s="33">
        <f>IF($R$372="","",INDEX(전체채점!BF$3:BF$62,$R$372))</f>
        <v/>
      </c>
      <c r="K400" s="33">
        <f>IF($R$372="","",INDEX(전체채점!BG$3:BG$62,$R$372))</f>
        <v/>
      </c>
      <c r="L400" s="33">
        <f>IF($R$372="","",INDEX(전체채점!BH$3:BH$62,$R$372))</f>
        <v/>
      </c>
      <c r="M400" s="33">
        <f>IF($R$372="","",INDEX(전체채점!BI$3:BI$62,$R$372))</f>
        <v/>
      </c>
      <c r="N400" s="33">
        <f>IF($R$372="","",INDEX(전체채점!BJ$3:BJ$62,$R$372))</f>
        <v/>
      </c>
      <c r="O400" s="33">
        <f>IF($R$372="","",INDEX(전체채점!BK$3:BK$62,$R$372))</f>
        <v/>
      </c>
      <c r="P400" s="33">
        <f>IF($R$372="","",INDEX(전체채점!BL$3:BL$62,$R$372))</f>
        <v/>
      </c>
    </row>
    <row r="401">
      <c r="A401" s="50" t="inlineStr">
        <is>
          <t>문항 번호</t>
        </is>
      </c>
      <c r="B401" s="51" t="n">
        <v>16</v>
      </c>
      <c r="C401" s="51" t="n">
        <v>17</v>
      </c>
      <c r="D401" s="51" t="n">
        <v>18</v>
      </c>
      <c r="E401" s="51" t="n">
        <v>19</v>
      </c>
      <c r="F401" s="51" t="n">
        <v>20</v>
      </c>
      <c r="G401" s="51" t="n">
        <v>21</v>
      </c>
      <c r="H401" s="51" t="n">
        <v>22</v>
      </c>
      <c r="I401" s="51" t="n">
        <v>23</v>
      </c>
      <c r="J401" s="51" t="n">
        <v>24</v>
      </c>
      <c r="K401" s="51" t="n">
        <v>25</v>
      </c>
      <c r="L401" s="51" t="n">
        <v>26</v>
      </c>
      <c r="M401" s="51" t="n">
        <v>27</v>
      </c>
      <c r="N401" s="51" t="n">
        <v>28</v>
      </c>
      <c r="O401" s="51" t="n">
        <v>29</v>
      </c>
      <c r="P401" s="51" t="n">
        <v>30</v>
      </c>
    </row>
    <row r="402">
      <c r="A402" s="52" t="inlineStr">
        <is>
          <t>정답</t>
        </is>
      </c>
      <c r="B402" s="33">
        <f>IF($R$373="","",IF($R$373="언어와 매체",자동계산!$D$19,자동계산!$B$19))</f>
        <v/>
      </c>
      <c r="C402" s="33">
        <f>IF($R$373="","",IF($R$373="언어와 매체",자동계산!$D$20,자동계산!$B$20))</f>
        <v/>
      </c>
      <c r="D402" s="33">
        <f>IF($R$373="","",IF($R$373="언어와 매체",자동계산!$D$21,자동계산!$B$21))</f>
        <v/>
      </c>
      <c r="E402" s="33">
        <f>IF($R$373="","",IF($R$373="언어와 매체",자동계산!$D$22,자동계산!$B$22))</f>
        <v/>
      </c>
      <c r="F402" s="33">
        <f>IF($R$373="","",IF($R$373="언어와 매체",자동계산!$D$23,자동계산!$B$23))</f>
        <v/>
      </c>
      <c r="G402" s="33">
        <f>IF($R$373="","",IF($R$373="언어와 매체",자동계산!$D$24,자동계산!$B$24))</f>
        <v/>
      </c>
      <c r="H402" s="33">
        <f>IF($R$373="","",IF($R$373="언어와 매체",자동계산!$D$25,자동계산!$B$25))</f>
        <v/>
      </c>
      <c r="I402" s="33">
        <f>IF($R$373="","",IF($R$373="언어와 매체",자동계산!$D$26,자동계산!$B$26))</f>
        <v/>
      </c>
      <c r="J402" s="33">
        <f>IF($R$373="","",IF($R$373="언어와 매체",자동계산!$D$27,자동계산!$B$27))</f>
        <v/>
      </c>
      <c r="K402" s="33">
        <f>IF($R$373="","",IF($R$373="언어와 매체",자동계산!$D$28,자동계산!$B$28))</f>
        <v/>
      </c>
      <c r="L402" s="33">
        <f>IF($R$373="","",IF($R$373="언어와 매체",자동계산!$D$29,자동계산!$B$29))</f>
        <v/>
      </c>
      <c r="M402" s="33">
        <f>IF($R$373="","",IF($R$373="언어와 매체",자동계산!$D$30,자동계산!$B$30))</f>
        <v/>
      </c>
      <c r="N402" s="33">
        <f>IF($R$373="","",IF($R$373="언어와 매체",자동계산!$D$31,자동계산!$B$31))</f>
        <v/>
      </c>
      <c r="O402" s="33">
        <f>IF($R$373="","",IF($R$373="언어와 매체",자동계산!$D$32,자동계산!$B$32))</f>
        <v/>
      </c>
      <c r="P402" s="33">
        <f>IF($R$373="","",IF($R$373="언어와 매체",자동계산!$D$33,자동계산!$B$33))</f>
        <v/>
      </c>
    </row>
    <row r="403">
      <c r="A403" s="52" t="inlineStr">
        <is>
          <t>학생답안</t>
        </is>
      </c>
      <c r="B403" s="33">
        <f>IF($R$372="","",INDEX(전체채점!T$3:T$62,$R$372))</f>
        <v/>
      </c>
      <c r="C403" s="33">
        <f>IF($R$372="","",INDEX(전체채점!U$3:U$62,$R$372))</f>
        <v/>
      </c>
      <c r="D403" s="33">
        <f>IF($R$372="","",INDEX(전체채점!V$3:V$62,$R$372))</f>
        <v/>
      </c>
      <c r="E403" s="33">
        <f>IF($R$372="","",INDEX(전체채점!W$3:W$62,$R$372))</f>
        <v/>
      </c>
      <c r="F403" s="33">
        <f>IF($R$372="","",INDEX(전체채점!X$3:X$62,$R$372))</f>
        <v/>
      </c>
      <c r="G403" s="33">
        <f>IF($R$372="","",INDEX(전체채점!Y$3:Y$62,$R$372))</f>
        <v/>
      </c>
      <c r="H403" s="33">
        <f>IF($R$372="","",INDEX(전체채점!Z$3:Z$62,$R$372))</f>
        <v/>
      </c>
      <c r="I403" s="33">
        <f>IF($R$372="","",INDEX(전체채점!AA$3:AA$62,$R$372))</f>
        <v/>
      </c>
      <c r="J403" s="33">
        <f>IF($R$372="","",INDEX(전체채점!AB$3:AB$62,$R$372))</f>
        <v/>
      </c>
      <c r="K403" s="33">
        <f>IF($R$372="","",INDEX(전체채점!AC$3:AC$62,$R$372))</f>
        <v/>
      </c>
      <c r="L403" s="33">
        <f>IF($R$372="","",INDEX(전체채점!AD$3:AD$62,$R$372))</f>
        <v/>
      </c>
      <c r="M403" s="33">
        <f>IF($R$372="","",INDEX(전체채점!AE$3:AE$62,$R$372))</f>
        <v/>
      </c>
      <c r="N403" s="33">
        <f>IF($R$372="","",INDEX(전체채점!AF$3:AF$62,$R$372))</f>
        <v/>
      </c>
      <c r="O403" s="33">
        <f>IF($R$372="","",INDEX(전체채점!AG$3:AG$62,$R$372))</f>
        <v/>
      </c>
      <c r="P403" s="33">
        <f>IF($R$372="","",INDEX(전체채점!AH$3:AH$62,$R$372))</f>
        <v/>
      </c>
    </row>
    <row r="404">
      <c r="A404" s="52" t="inlineStr">
        <is>
          <t>정오</t>
        </is>
      </c>
      <c r="B404" s="33">
        <f>IF($R$372="","",INDEX(전체채점!BM$3:BM$62,$R$372))</f>
        <v/>
      </c>
      <c r="C404" s="33">
        <f>IF($R$372="","",INDEX(전체채점!BN$3:BN$62,$R$372))</f>
        <v/>
      </c>
      <c r="D404" s="33">
        <f>IF($R$372="","",INDEX(전체채점!BO$3:BO$62,$R$372))</f>
        <v/>
      </c>
      <c r="E404" s="33">
        <f>IF($R$372="","",INDEX(전체채점!BP$3:BP$62,$R$372))</f>
        <v/>
      </c>
      <c r="F404" s="33">
        <f>IF($R$372="","",INDEX(전체채점!BQ$3:BQ$62,$R$372))</f>
        <v/>
      </c>
      <c r="G404" s="33">
        <f>IF($R$372="","",INDEX(전체채점!BR$3:BR$62,$R$372))</f>
        <v/>
      </c>
      <c r="H404" s="33">
        <f>IF($R$372="","",INDEX(전체채점!BS$3:BS$62,$R$372))</f>
        <v/>
      </c>
      <c r="I404" s="33">
        <f>IF($R$372="","",INDEX(전체채점!BT$3:BT$62,$R$372))</f>
        <v/>
      </c>
      <c r="J404" s="33">
        <f>IF($R$372="","",INDEX(전체채점!BU$3:BU$62,$R$372))</f>
        <v/>
      </c>
      <c r="K404" s="33">
        <f>IF($R$372="","",INDEX(전체채점!BV$3:BV$62,$R$372))</f>
        <v/>
      </c>
      <c r="L404" s="33">
        <f>IF($R$372="","",INDEX(전체채점!BW$3:BW$62,$R$372))</f>
        <v/>
      </c>
      <c r="M404" s="33">
        <f>IF($R$372="","",INDEX(전체채점!BX$3:BX$62,$R$372))</f>
        <v/>
      </c>
      <c r="N404" s="33">
        <f>IF($R$372="","",INDEX(전체채점!BY$3:BY$62,$R$372))</f>
        <v/>
      </c>
      <c r="O404" s="33">
        <f>IF($R$372="","",INDEX(전체채점!BZ$3:BZ$62,$R$372))</f>
        <v/>
      </c>
      <c r="P404" s="33">
        <f>IF($R$372="","",INDEX(전체채점!CA$3:CA$62,$R$372))</f>
        <v/>
      </c>
    </row>
    <row r="405">
      <c r="A405" s="50" t="inlineStr">
        <is>
          <t>문항 번호</t>
        </is>
      </c>
      <c r="B405" s="51" t="n">
        <v>31</v>
      </c>
      <c r="C405" s="51" t="n">
        <v>32</v>
      </c>
      <c r="D405" s="51" t="n">
        <v>33</v>
      </c>
      <c r="E405" s="51" t="n">
        <v>34</v>
      </c>
      <c r="F405" s="51" t="n">
        <v>35</v>
      </c>
      <c r="G405" s="51" t="n">
        <v>36</v>
      </c>
      <c r="H405" s="51" t="n">
        <v>37</v>
      </c>
      <c r="I405" s="51" t="n">
        <v>38</v>
      </c>
      <c r="J405" s="51" t="n">
        <v>39</v>
      </c>
      <c r="K405" s="51" t="n">
        <v>40</v>
      </c>
      <c r="L405" s="51" t="n">
        <v>41</v>
      </c>
      <c r="M405" s="51" t="n">
        <v>42</v>
      </c>
      <c r="N405" s="51" t="n">
        <v>43</v>
      </c>
      <c r="O405" s="51" t="n">
        <v>44</v>
      </c>
      <c r="P405" s="51" t="n">
        <v>45</v>
      </c>
    </row>
    <row r="406">
      <c r="A406" s="52" t="inlineStr">
        <is>
          <t>정답</t>
        </is>
      </c>
      <c r="B406" s="33">
        <f>IF($R$373="","",IF($R$373="언어와 매체",자동계산!$D$34,자동계산!$B$34))</f>
        <v/>
      </c>
      <c r="C406" s="33">
        <f>IF($R$373="","",IF($R$373="언어와 매체",자동계산!$D$35,자동계산!$B$35))</f>
        <v/>
      </c>
      <c r="D406" s="33">
        <f>IF($R$373="","",IF($R$373="언어와 매체",자동계산!$D$36,자동계산!$B$36))</f>
        <v/>
      </c>
      <c r="E406" s="33">
        <f>IF($R$373="","",IF($R$373="언어와 매체",자동계산!$D$37,자동계산!$B$37))</f>
        <v/>
      </c>
      <c r="F406" s="33">
        <f>IF($R$373="","",IF($R$373="언어와 매체",자동계산!$D$38,자동계산!$B$38))</f>
        <v/>
      </c>
      <c r="G406" s="33">
        <f>IF($R$373="","",IF($R$373="언어와 매체",자동계산!$D$39,자동계산!$B$39))</f>
        <v/>
      </c>
      <c r="H406" s="33">
        <f>IF($R$373="","",IF($R$373="언어와 매체",자동계산!$D$40,자동계산!$B$40))</f>
        <v/>
      </c>
      <c r="I406" s="33">
        <f>IF($R$373="","",IF($R$373="언어와 매체",자동계산!$D$41,자동계산!$B$41))</f>
        <v/>
      </c>
      <c r="J406" s="33">
        <f>IF($R$373="","",IF($R$373="언어와 매체",자동계산!$D$42,자동계산!$B$42))</f>
        <v/>
      </c>
      <c r="K406" s="33">
        <f>IF($R$373="","",IF($R$373="언어와 매체",자동계산!$D$43,자동계산!$B$43))</f>
        <v/>
      </c>
      <c r="L406" s="33">
        <f>IF($R$373="","",IF($R$373="언어와 매체",자동계산!$D$44,자동계산!$B$44))</f>
        <v/>
      </c>
      <c r="M406" s="33">
        <f>IF($R$373="","",IF($R$373="언어와 매체",자동계산!$D$45,자동계산!$B$45))</f>
        <v/>
      </c>
      <c r="N406" s="33">
        <f>IF($R$373="","",IF($R$373="언어와 매체",자동계산!$D$46,자동계산!$B$46))</f>
        <v/>
      </c>
      <c r="O406" s="33">
        <f>IF($R$373="","",IF($R$373="언어와 매체",자동계산!$D$47,자동계산!$B$47))</f>
        <v/>
      </c>
      <c r="P406" s="33">
        <f>IF($R$373="","",IF($R$373="언어와 매체",자동계산!$D$48,자동계산!$B$48))</f>
        <v/>
      </c>
    </row>
    <row r="407">
      <c r="A407" s="52" t="inlineStr">
        <is>
          <t>학생답안</t>
        </is>
      </c>
      <c r="B407" s="33">
        <f>IF($R$372="","",INDEX(전체채점!AI$3:AI$62,$R$372))</f>
        <v/>
      </c>
      <c r="C407" s="33">
        <f>IF($R$372="","",INDEX(전체채점!AJ$3:AJ$62,$R$372))</f>
        <v/>
      </c>
      <c r="D407" s="33">
        <f>IF($R$372="","",INDEX(전체채점!AK$3:AK$62,$R$372))</f>
        <v/>
      </c>
      <c r="E407" s="33">
        <f>IF($R$372="","",INDEX(전체채점!AL$3:AL$62,$R$372))</f>
        <v/>
      </c>
      <c r="F407" s="33">
        <f>IF($R$372="","",INDEX(전체채점!AM$3:AM$62,$R$372))</f>
        <v/>
      </c>
      <c r="G407" s="33">
        <f>IF($R$372="","",INDEX(전체채점!AN$3:AN$62,$R$372))</f>
        <v/>
      </c>
      <c r="H407" s="33">
        <f>IF($R$372="","",INDEX(전체채점!AO$3:AO$62,$R$372))</f>
        <v/>
      </c>
      <c r="I407" s="33">
        <f>IF($R$372="","",INDEX(전체채점!AP$3:AP$62,$R$372))</f>
        <v/>
      </c>
      <c r="J407" s="33">
        <f>IF($R$372="","",INDEX(전체채점!AQ$3:AQ$62,$R$372))</f>
        <v/>
      </c>
      <c r="K407" s="33">
        <f>IF($R$372="","",INDEX(전체채점!AR$3:AR$62,$R$372))</f>
        <v/>
      </c>
      <c r="L407" s="33">
        <f>IF($R$372="","",INDEX(전체채점!AS$3:AS$62,$R$372))</f>
        <v/>
      </c>
      <c r="M407" s="33">
        <f>IF($R$372="","",INDEX(전체채점!AT$3:AT$62,$R$372))</f>
        <v/>
      </c>
      <c r="N407" s="33">
        <f>IF($R$372="","",INDEX(전체채점!AU$3:AU$62,$R$372))</f>
        <v/>
      </c>
      <c r="O407" s="33">
        <f>IF($R$372="","",INDEX(전체채점!AV$3:AV$62,$R$372))</f>
        <v/>
      </c>
      <c r="P407" s="33">
        <f>IF($R$372="","",INDEX(전체채점!AW$3:AW$62,$R$372))</f>
        <v/>
      </c>
    </row>
    <row r="408">
      <c r="A408" s="52" t="inlineStr">
        <is>
          <t>정오</t>
        </is>
      </c>
      <c r="B408" s="33">
        <f>IF($R$372="","",INDEX(전체채점!CB$3:CB$62,$R$372))</f>
        <v/>
      </c>
      <c r="C408" s="33">
        <f>IF($R$372="","",INDEX(전체채점!CC$3:CC$62,$R$372))</f>
        <v/>
      </c>
      <c r="D408" s="33">
        <f>IF($R$372="","",INDEX(전체채점!CD$3:CD$62,$R$372))</f>
        <v/>
      </c>
      <c r="E408" s="33">
        <f>IF($R$372="","",INDEX(전체채점!CE$3:CE$62,$R$372))</f>
        <v/>
      </c>
      <c r="F408" s="33">
        <f>IF($R$372="","",INDEX(전체채점!CF$3:CF$62,$R$372))</f>
        <v/>
      </c>
      <c r="G408" s="33">
        <f>IF($R$372="","",INDEX(전체채점!CG$3:CG$62,$R$372))</f>
        <v/>
      </c>
      <c r="H408" s="33">
        <f>IF($R$372="","",INDEX(전체채점!CH$3:CH$62,$R$372))</f>
        <v/>
      </c>
      <c r="I408" s="33">
        <f>IF($R$372="","",INDEX(전체채점!CI$3:CI$62,$R$372))</f>
        <v/>
      </c>
      <c r="J408" s="33">
        <f>IF($R$372="","",INDEX(전체채점!CJ$3:CJ$62,$R$372))</f>
        <v/>
      </c>
      <c r="K408" s="33">
        <f>IF($R$372="","",INDEX(전체채점!CK$3:CK$62,$R$372))</f>
        <v/>
      </c>
      <c r="L408" s="33">
        <f>IF($R$372="","",INDEX(전체채점!CL$3:CL$62,$R$372))</f>
        <v/>
      </c>
      <c r="M408" s="33">
        <f>IF($R$372="","",INDEX(전체채점!CM$3:CM$62,$R$372))</f>
        <v/>
      </c>
      <c r="N408" s="33">
        <f>IF($R$372="","",INDEX(전체채점!CN$3:CN$62,$R$372))</f>
        <v/>
      </c>
      <c r="O408" s="33">
        <f>IF($R$372="","",INDEX(전체채점!CO$3:CO$62,$R$372))</f>
        <v/>
      </c>
      <c r="P408" s="33">
        <f>IF($R$372="","",INDEX(전체채점!CP$3:CP$62,$R$372))</f>
        <v/>
      </c>
    </row>
    <row r="411" ht="34" customHeight="1">
      <c r="A411" s="36">
        <f>IF($R$413="","",회차설정!$B$2&amp;" 성적표")</f>
        <v/>
      </c>
    </row>
    <row r="413">
      <c r="A413" s="12" t="inlineStr">
        <is>
          <t>1. 학생정보</t>
        </is>
      </c>
      <c r="R413" s="37">
        <f>IF(답안입력!$A$13="","",11)</f>
        <v/>
      </c>
      <c r="S413" s="37">
        <f>IF($R$414="","",IFERROR(IF($R$414="언어와 매체",MATCH(1,회차설정!$G$13:$G$27,0),MATCH(1,회차설정!$F$13:$F$27,0)),""))</f>
        <v/>
      </c>
    </row>
    <row r="414">
      <c r="A414" s="13" t="inlineStr">
        <is>
          <t>성명</t>
        </is>
      </c>
      <c r="B414" s="7" t="n"/>
      <c r="C414" s="8" t="n"/>
      <c r="D414" s="13" t="inlineStr">
        <is>
          <t>선택과목</t>
        </is>
      </c>
      <c r="E414" s="7" t="n"/>
      <c r="F414" s="7" t="n"/>
      <c r="G414" s="8" t="n"/>
      <c r="H414" s="13" t="inlineStr">
        <is>
          <t>학년</t>
        </is>
      </c>
      <c r="I414" s="7" t="n"/>
      <c r="J414" s="7" t="n"/>
      <c r="K414" s="8" t="n"/>
      <c r="L414" s="13" t="inlineStr">
        <is>
          <t>시행일</t>
        </is>
      </c>
      <c r="M414" s="7" t="n"/>
      <c r="N414" s="7" t="n"/>
      <c r="O414" s="7" t="n"/>
      <c r="P414" s="8" t="n"/>
      <c r="R414" s="37">
        <f>IF($R$413="","",INDEX(전체채점!$B$3:$B$62,$R$413))</f>
        <v/>
      </c>
      <c r="S414" s="37">
        <f>IF($R$414="","",IFERROR(IF($R$414="언어와 매체",MATCH(2,회차설정!$G$13:$G$27,0),MATCH(2,회차설정!$F$13:$F$27,0)),""))</f>
        <v/>
      </c>
    </row>
    <row r="415" ht="26" customHeight="1">
      <c r="A415" s="39">
        <f>IF($R$413="","",INDEX(답안입력!$A$3:$A$62,$R$413))</f>
        <v/>
      </c>
      <c r="B415" s="7" t="n"/>
      <c r="C415" s="8" t="n"/>
      <c r="D415" s="39">
        <f>IF($R$413="","",INDEX(답안입력!$C$3:$C$62,$R$413))</f>
        <v/>
      </c>
      <c r="E415" s="7" t="n"/>
      <c r="F415" s="7" t="n"/>
      <c r="G415" s="8" t="n"/>
      <c r="H415" s="39">
        <f>IF($R$413="","",INDEX(답안입력!$B$3:$B$62,$R$413))</f>
        <v/>
      </c>
      <c r="I415" s="7" t="n"/>
      <c r="J415" s="7" t="n"/>
      <c r="K415" s="8" t="n"/>
      <c r="L415" s="40">
        <f>회차설정!$B$3</f>
        <v/>
      </c>
      <c r="M415" s="7" t="n"/>
      <c r="N415" s="7" t="n"/>
      <c r="O415" s="7" t="n"/>
      <c r="P415" s="8" t="n"/>
      <c r="R415" s="37">
        <f>IF($R$414="언어와 매체",회차설정!$B$9,회차설정!$B$8)</f>
        <v/>
      </c>
      <c r="S415" s="37">
        <f>IF($R$414="","",IFERROR(IF($R$414="언어와 매체",MATCH(3,회차설정!$G$13:$G$27,0),MATCH(3,회차설정!$F$13:$F$27,0)),""))</f>
        <v/>
      </c>
    </row>
    <row r="416">
      <c r="R416" s="37">
        <f>IF($R$414="언어와 매체",회차설정!$C$9,회차설정!$C$8)</f>
        <v/>
      </c>
      <c r="S416" s="37">
        <f>IF($R$414="","",IFERROR(IF($R$414="언어와 매체",MATCH(4,회차설정!$G$13:$G$27,0),MATCH(4,회차설정!$F$13:$F$27,0)),""))</f>
        <v/>
      </c>
    </row>
    <row r="417">
      <c r="A417" s="12" t="inlineStr">
        <is>
          <t>2. 성적</t>
        </is>
      </c>
      <c r="R417" s="37">
        <f>IF($R$414="언어와 매체",회차설정!$D$9,회차설정!$D$8)</f>
        <v/>
      </c>
      <c r="S417" s="37">
        <f>IF($R$414="","",IFERROR(IF($R$414="언어와 매체",MATCH(5,회차설정!$G$13:$G$27,0),MATCH(5,회차설정!$F$13:$F$27,0)),""))</f>
        <v/>
      </c>
    </row>
    <row r="418">
      <c r="A418" s="13" t="inlineStr">
        <is>
          <t>점수 (100점 만점)</t>
        </is>
      </c>
      <c r="B418" s="7" t="n"/>
      <c r="C418" s="7" t="n"/>
      <c r="D418" s="7" t="n"/>
      <c r="E418" s="8" t="n"/>
      <c r="F418" s="13" t="inlineStr">
        <is>
          <t>등급</t>
        </is>
      </c>
      <c r="G418" s="7" t="n"/>
      <c r="H418" s="8" t="n"/>
      <c r="I418" s="13" t="inlineStr">
        <is>
          <t>등급컷</t>
        </is>
      </c>
      <c r="J418" s="7" t="n"/>
      <c r="K418" s="7" t="n"/>
      <c r="L418" s="8" t="n"/>
      <c r="M418" s="13" t="inlineStr">
        <is>
          <t>같은 선택과목 평균</t>
        </is>
      </c>
      <c r="N418" s="7" t="n"/>
      <c r="O418" s="7" t="n"/>
      <c r="P418" s="8" t="n"/>
      <c r="R418" s="37">
        <f>IF($R$414="언어와 매체",회차설정!$E$9,회차설정!$E$8)</f>
        <v/>
      </c>
      <c r="S418" s="37">
        <f>IF($R$414="","",IFERROR(IF($R$414="언어와 매체",MATCH(6,회차설정!$G$13:$G$27,0),MATCH(6,회차설정!$F$13:$F$27,0)),""))</f>
        <v/>
      </c>
    </row>
    <row r="419" ht="34" customHeight="1">
      <c r="A419" s="41">
        <f>IF($R$413="","",INDEX(전체채점!$C$3:$C$62,$R$413))</f>
        <v/>
      </c>
      <c r="B419" s="7" t="n"/>
      <c r="C419" s="7" t="n"/>
      <c r="D419" s="7" t="n"/>
      <c r="E419" s="8" t="n"/>
      <c r="F419" s="42">
        <f>IF($R$413="","",INDEX(전체채점!$D$3:$D$62,$R$413))</f>
        <v/>
      </c>
      <c r="G419" s="7" t="n"/>
      <c r="H419" s="8" t="n"/>
      <c r="I419" s="43">
        <f>IF($R$413="","",$R$415&amp;"-"&amp;$R$416&amp;"-"&amp;$R$417&amp;"-"&amp;$R$418)</f>
        <v/>
      </c>
      <c r="J419" s="7" t="n"/>
      <c r="K419" s="7" t="n"/>
      <c r="L419" s="8" t="n"/>
      <c r="M419" s="44">
        <f>IFERROR(AVERAGEIF(전체채점!$B$3:$B$62,$R$414,전체채점!$C$3:$C$62),"")</f>
        <v/>
      </c>
      <c r="N419" s="7" t="n"/>
      <c r="O419" s="7" t="n"/>
      <c r="P419" s="8" t="n"/>
      <c r="S419" s="37">
        <f>IF($R$414="","",IFERROR(IF($R$414="언어와 매체",MATCH(7,회차설정!$G$13:$G$27,0),MATCH(7,회차설정!$F$13:$F$27,0)),""))</f>
        <v/>
      </c>
    </row>
    <row r="420">
      <c r="S420" s="37">
        <f>IF($R$414="","",IFERROR(IF($R$414="언어와 매체",MATCH(8,회차설정!$G$13:$G$27,0),MATCH(8,회차설정!$F$13:$F$27,0)),""))</f>
        <v/>
      </c>
    </row>
    <row r="421">
      <c r="A421" s="12" t="inlineStr">
        <is>
          <t>3. 영역분류별 성취도 분석</t>
        </is>
      </c>
      <c r="F421" s="45">
        <f>IF(OR($R$413="",$E435=""),"",IF($E435=INDEX(전체채점!$C$3:$C$62,$R$413),"","※ 회차설정의 영역 표를 확인하세요 — 영역 합계와 점수가 다릅니다"))</f>
        <v/>
      </c>
      <c r="S421" s="37">
        <f>IF($R$414="","",IFERROR(IF($R$414="언어와 매체",MATCH(9,회차설정!$G$13:$G$27,0),MATCH(9,회차설정!$F$13:$F$27,0)),""))</f>
        <v/>
      </c>
    </row>
    <row r="422">
      <c r="A422" s="13" t="inlineStr">
        <is>
          <t>분류</t>
        </is>
      </c>
      <c r="B422" s="13" t="inlineStr">
        <is>
          <t>영역</t>
        </is>
      </c>
      <c r="C422" s="8" t="n"/>
      <c r="D422" s="13" t="inlineStr">
        <is>
          <t>배점</t>
        </is>
      </c>
      <c r="E422" s="13" t="inlineStr">
        <is>
          <t>득점</t>
        </is>
      </c>
      <c r="F422" s="13" t="inlineStr">
        <is>
          <t>성취도(%)</t>
        </is>
      </c>
      <c r="G422" s="8" t="n"/>
      <c r="H422" s="13" t="inlineStr"/>
      <c r="I422" s="7" t="n"/>
      <c r="J422" s="7" t="n"/>
      <c r="K422" s="7" t="n"/>
      <c r="L422" s="7" t="n"/>
      <c r="M422" s="7" t="n"/>
      <c r="N422" s="7" t="n"/>
      <c r="O422" s="7" t="n"/>
      <c r="P422" s="8" t="n"/>
      <c r="S422" s="37">
        <f>IF($R$414="","",IFERROR(IF($R$414="언어와 매체",MATCH(10,회차설정!$G$13:$G$27,0),MATCH(10,회차설정!$F$13:$F$27,0)),""))</f>
        <v/>
      </c>
    </row>
    <row r="423">
      <c r="A423" s="14">
        <f>IF($S$413="","",INDEX(회차설정!$A$13:$A$27,$S$413))</f>
        <v/>
      </c>
      <c r="B423" s="14">
        <f>IF($S$413="","",INDEX(회차설정!$B$13:$B$27,$S$413))</f>
        <v/>
      </c>
      <c r="C423" s="8" t="n"/>
      <c r="D423" s="14">
        <f>IF($S$413="","",IF($R$414="언어와 매체",SUMPRODUCT((자동계산!$A$4:$A$48&gt;=INDEX(회차설정!$C$13:$C$27,$S$413))*(자동계산!$A$4:$A$48&lt;=INDEX(회차설정!$D$13:$D$27,$S$413))*자동계산!$E$4:$E$48),SUMPRODUCT((자동계산!$A$4:$A$48&gt;=INDEX(회차설정!$C$13:$C$27,$S$413))*(자동계산!$A$4:$A$48&lt;=INDEX(회차설정!$D$13:$D$27,$S$413))*자동계산!$C$4:$C$48)))</f>
        <v/>
      </c>
      <c r="E423" s="14">
        <f>IF(OR($S$413="",$R$413=""),"",SUM(OFFSET(전체채점!$AW$2,$R$413,INDEX(회차설정!$C$13:$C$27,$S$413),1,INDEX(회차설정!$D$13:$D$27,$S$413)-INDEX(회차설정!$C$13:$C$27,$S$413)+1)))</f>
        <v/>
      </c>
      <c r="F423" s="46">
        <f>IF(OR($S$413="",$D423=0,$D423="",$E423=""),"",$E423/$D423*100)</f>
        <v/>
      </c>
      <c r="G423" s="8" t="n"/>
      <c r="H423" s="47">
        <f>IF($F423="","",REPT("■",ROUND($F423/5,0)))</f>
        <v/>
      </c>
      <c r="I423" s="7" t="n"/>
      <c r="J423" s="7" t="n"/>
      <c r="K423" s="7" t="n"/>
      <c r="L423" s="7" t="n"/>
      <c r="M423" s="7" t="n"/>
      <c r="N423" s="7" t="n"/>
      <c r="O423" s="7" t="n"/>
      <c r="P423" s="8" t="n"/>
      <c r="S423" s="37">
        <f>IF($R$414="","",IFERROR(IF($R$414="언어와 매체",MATCH(11,회차설정!$G$13:$G$27,0),MATCH(11,회차설정!$F$13:$F$27,0)),""))</f>
        <v/>
      </c>
    </row>
    <row r="424">
      <c r="A424" s="14">
        <f>IF($S$414="","",INDEX(회차설정!$A$13:$A$27,$S$414))</f>
        <v/>
      </c>
      <c r="B424" s="14">
        <f>IF($S$414="","",INDEX(회차설정!$B$13:$B$27,$S$414))</f>
        <v/>
      </c>
      <c r="C424" s="8" t="n"/>
      <c r="D424" s="14">
        <f>IF($S$414="","",IF($R$414="언어와 매체",SUMPRODUCT((자동계산!$A$4:$A$48&gt;=INDEX(회차설정!$C$13:$C$27,$S$414))*(자동계산!$A$4:$A$48&lt;=INDEX(회차설정!$D$13:$D$27,$S$414))*자동계산!$E$4:$E$48),SUMPRODUCT((자동계산!$A$4:$A$48&gt;=INDEX(회차설정!$C$13:$C$27,$S$414))*(자동계산!$A$4:$A$48&lt;=INDEX(회차설정!$D$13:$D$27,$S$414))*자동계산!$C$4:$C$48)))</f>
        <v/>
      </c>
      <c r="E424" s="14">
        <f>IF(OR($S$414="",$R$413=""),"",SUM(OFFSET(전체채점!$AW$2,$R$413,INDEX(회차설정!$C$13:$C$27,$S$414),1,INDEX(회차설정!$D$13:$D$27,$S$414)-INDEX(회차설정!$C$13:$C$27,$S$414)+1)))</f>
        <v/>
      </c>
      <c r="F424" s="46">
        <f>IF(OR($S$414="",$D424=0,$D424="",$E424=""),"",$E424/$D424*100)</f>
        <v/>
      </c>
      <c r="G424" s="8" t="n"/>
      <c r="H424" s="47">
        <f>IF($F424="","",REPT("■",ROUND($F424/5,0)))</f>
        <v/>
      </c>
      <c r="I424" s="7" t="n"/>
      <c r="J424" s="7" t="n"/>
      <c r="K424" s="7" t="n"/>
      <c r="L424" s="7" t="n"/>
      <c r="M424" s="7" t="n"/>
      <c r="N424" s="7" t="n"/>
      <c r="O424" s="7" t="n"/>
      <c r="P424" s="8" t="n"/>
      <c r="S424" s="37">
        <f>IF($R$414="","",IFERROR(IF($R$414="언어와 매체",MATCH(12,회차설정!$G$13:$G$27,0),MATCH(12,회차설정!$F$13:$F$27,0)),""))</f>
        <v/>
      </c>
    </row>
    <row r="425">
      <c r="A425" s="14">
        <f>IF($S$415="","",INDEX(회차설정!$A$13:$A$27,$S$415))</f>
        <v/>
      </c>
      <c r="B425" s="14">
        <f>IF($S$415="","",INDEX(회차설정!$B$13:$B$27,$S$415))</f>
        <v/>
      </c>
      <c r="C425" s="8" t="n"/>
      <c r="D425" s="14">
        <f>IF($S$415="","",IF($R$414="언어와 매체",SUMPRODUCT((자동계산!$A$4:$A$48&gt;=INDEX(회차설정!$C$13:$C$27,$S$415))*(자동계산!$A$4:$A$48&lt;=INDEX(회차설정!$D$13:$D$27,$S$415))*자동계산!$E$4:$E$48),SUMPRODUCT((자동계산!$A$4:$A$48&gt;=INDEX(회차설정!$C$13:$C$27,$S$415))*(자동계산!$A$4:$A$48&lt;=INDEX(회차설정!$D$13:$D$27,$S$415))*자동계산!$C$4:$C$48)))</f>
        <v/>
      </c>
      <c r="E425" s="14">
        <f>IF(OR($S$415="",$R$413=""),"",SUM(OFFSET(전체채점!$AW$2,$R$413,INDEX(회차설정!$C$13:$C$27,$S$415),1,INDEX(회차설정!$D$13:$D$27,$S$415)-INDEX(회차설정!$C$13:$C$27,$S$415)+1)))</f>
        <v/>
      </c>
      <c r="F425" s="46">
        <f>IF(OR($S$415="",$D425=0,$D425="",$E425=""),"",$E425/$D425*100)</f>
        <v/>
      </c>
      <c r="G425" s="8" t="n"/>
      <c r="H425" s="47">
        <f>IF($F425="","",REPT("■",ROUND($F425/5,0)))</f>
        <v/>
      </c>
      <c r="I425" s="7" t="n"/>
      <c r="J425" s="7" t="n"/>
      <c r="K425" s="7" t="n"/>
      <c r="L425" s="7" t="n"/>
      <c r="M425" s="7" t="n"/>
      <c r="N425" s="7" t="n"/>
      <c r="O425" s="7" t="n"/>
      <c r="P425" s="8" t="n"/>
    </row>
    <row r="426">
      <c r="A426" s="14">
        <f>IF($S$416="","",INDEX(회차설정!$A$13:$A$27,$S$416))</f>
        <v/>
      </c>
      <c r="B426" s="14">
        <f>IF($S$416="","",INDEX(회차설정!$B$13:$B$27,$S$416))</f>
        <v/>
      </c>
      <c r="C426" s="8" t="n"/>
      <c r="D426" s="14">
        <f>IF($S$416="","",IF($R$414="언어와 매체",SUMPRODUCT((자동계산!$A$4:$A$48&gt;=INDEX(회차설정!$C$13:$C$27,$S$416))*(자동계산!$A$4:$A$48&lt;=INDEX(회차설정!$D$13:$D$27,$S$416))*자동계산!$E$4:$E$48),SUMPRODUCT((자동계산!$A$4:$A$48&gt;=INDEX(회차설정!$C$13:$C$27,$S$416))*(자동계산!$A$4:$A$48&lt;=INDEX(회차설정!$D$13:$D$27,$S$416))*자동계산!$C$4:$C$48)))</f>
        <v/>
      </c>
      <c r="E426" s="14">
        <f>IF(OR($S$416="",$R$413=""),"",SUM(OFFSET(전체채점!$AW$2,$R$413,INDEX(회차설정!$C$13:$C$27,$S$416),1,INDEX(회차설정!$D$13:$D$27,$S$416)-INDEX(회차설정!$C$13:$C$27,$S$416)+1)))</f>
        <v/>
      </c>
      <c r="F426" s="46">
        <f>IF(OR($S$416="",$D426=0,$D426="",$E426=""),"",$E426/$D426*100)</f>
        <v/>
      </c>
      <c r="G426" s="8" t="n"/>
      <c r="H426" s="47">
        <f>IF($F426="","",REPT("■",ROUND($F426/5,0)))</f>
        <v/>
      </c>
      <c r="I426" s="7" t="n"/>
      <c r="J426" s="7" t="n"/>
      <c r="K426" s="7" t="n"/>
      <c r="L426" s="7" t="n"/>
      <c r="M426" s="7" t="n"/>
      <c r="N426" s="7" t="n"/>
      <c r="O426" s="7" t="n"/>
      <c r="P426" s="8" t="n"/>
    </row>
    <row r="427">
      <c r="A427" s="14">
        <f>IF($S$417="","",INDEX(회차설정!$A$13:$A$27,$S$417))</f>
        <v/>
      </c>
      <c r="B427" s="14">
        <f>IF($S$417="","",INDEX(회차설정!$B$13:$B$27,$S$417))</f>
        <v/>
      </c>
      <c r="C427" s="8" t="n"/>
      <c r="D427" s="14">
        <f>IF($S$417="","",IF($R$414="언어와 매체",SUMPRODUCT((자동계산!$A$4:$A$48&gt;=INDEX(회차설정!$C$13:$C$27,$S$417))*(자동계산!$A$4:$A$48&lt;=INDEX(회차설정!$D$13:$D$27,$S$417))*자동계산!$E$4:$E$48),SUMPRODUCT((자동계산!$A$4:$A$48&gt;=INDEX(회차설정!$C$13:$C$27,$S$417))*(자동계산!$A$4:$A$48&lt;=INDEX(회차설정!$D$13:$D$27,$S$417))*자동계산!$C$4:$C$48)))</f>
        <v/>
      </c>
      <c r="E427" s="14">
        <f>IF(OR($S$417="",$R$413=""),"",SUM(OFFSET(전체채점!$AW$2,$R$413,INDEX(회차설정!$C$13:$C$27,$S$417),1,INDEX(회차설정!$D$13:$D$27,$S$417)-INDEX(회차설정!$C$13:$C$27,$S$417)+1)))</f>
        <v/>
      </c>
      <c r="F427" s="46">
        <f>IF(OR($S$417="",$D427=0,$D427="",$E427=""),"",$E427/$D427*100)</f>
        <v/>
      </c>
      <c r="G427" s="8" t="n"/>
      <c r="H427" s="47">
        <f>IF($F427="","",REPT("■",ROUND($F427/5,0)))</f>
        <v/>
      </c>
      <c r="I427" s="7" t="n"/>
      <c r="J427" s="7" t="n"/>
      <c r="K427" s="7" t="n"/>
      <c r="L427" s="7" t="n"/>
      <c r="M427" s="7" t="n"/>
      <c r="N427" s="7" t="n"/>
      <c r="O427" s="7" t="n"/>
      <c r="P427" s="8" t="n"/>
    </row>
    <row r="428">
      <c r="A428" s="14">
        <f>IF($S$418="","",INDEX(회차설정!$A$13:$A$27,$S$418))</f>
        <v/>
      </c>
      <c r="B428" s="14">
        <f>IF($S$418="","",INDEX(회차설정!$B$13:$B$27,$S$418))</f>
        <v/>
      </c>
      <c r="C428" s="8" t="n"/>
      <c r="D428" s="14">
        <f>IF($S$418="","",IF($R$414="언어와 매체",SUMPRODUCT((자동계산!$A$4:$A$48&gt;=INDEX(회차설정!$C$13:$C$27,$S$418))*(자동계산!$A$4:$A$48&lt;=INDEX(회차설정!$D$13:$D$27,$S$418))*자동계산!$E$4:$E$48),SUMPRODUCT((자동계산!$A$4:$A$48&gt;=INDEX(회차설정!$C$13:$C$27,$S$418))*(자동계산!$A$4:$A$48&lt;=INDEX(회차설정!$D$13:$D$27,$S$418))*자동계산!$C$4:$C$48)))</f>
        <v/>
      </c>
      <c r="E428" s="14">
        <f>IF(OR($S$418="",$R$413=""),"",SUM(OFFSET(전체채점!$AW$2,$R$413,INDEX(회차설정!$C$13:$C$27,$S$418),1,INDEX(회차설정!$D$13:$D$27,$S$418)-INDEX(회차설정!$C$13:$C$27,$S$418)+1)))</f>
        <v/>
      </c>
      <c r="F428" s="46">
        <f>IF(OR($S$418="",$D428=0,$D428="",$E428=""),"",$E428/$D428*100)</f>
        <v/>
      </c>
      <c r="G428" s="8" t="n"/>
      <c r="H428" s="47">
        <f>IF($F428="","",REPT("■",ROUND($F428/5,0)))</f>
        <v/>
      </c>
      <c r="I428" s="7" t="n"/>
      <c r="J428" s="7" t="n"/>
      <c r="K428" s="7" t="n"/>
      <c r="L428" s="7" t="n"/>
      <c r="M428" s="7" t="n"/>
      <c r="N428" s="7" t="n"/>
      <c r="O428" s="7" t="n"/>
      <c r="P428" s="8" t="n"/>
    </row>
    <row r="429">
      <c r="A429" s="14">
        <f>IF($S$419="","",INDEX(회차설정!$A$13:$A$27,$S$419))</f>
        <v/>
      </c>
      <c r="B429" s="14">
        <f>IF($S$419="","",INDEX(회차설정!$B$13:$B$27,$S$419))</f>
        <v/>
      </c>
      <c r="C429" s="8" t="n"/>
      <c r="D429" s="14">
        <f>IF($S$419="","",IF($R$414="언어와 매체",SUMPRODUCT((자동계산!$A$4:$A$48&gt;=INDEX(회차설정!$C$13:$C$27,$S$419))*(자동계산!$A$4:$A$48&lt;=INDEX(회차설정!$D$13:$D$27,$S$419))*자동계산!$E$4:$E$48),SUMPRODUCT((자동계산!$A$4:$A$48&gt;=INDEX(회차설정!$C$13:$C$27,$S$419))*(자동계산!$A$4:$A$48&lt;=INDEX(회차설정!$D$13:$D$27,$S$419))*자동계산!$C$4:$C$48)))</f>
        <v/>
      </c>
      <c r="E429" s="14">
        <f>IF(OR($S$419="",$R$413=""),"",SUM(OFFSET(전체채점!$AW$2,$R$413,INDEX(회차설정!$C$13:$C$27,$S$419),1,INDEX(회차설정!$D$13:$D$27,$S$419)-INDEX(회차설정!$C$13:$C$27,$S$419)+1)))</f>
        <v/>
      </c>
      <c r="F429" s="46">
        <f>IF(OR($S$419="",$D429=0,$D429="",$E429=""),"",$E429/$D429*100)</f>
        <v/>
      </c>
      <c r="G429" s="8" t="n"/>
      <c r="H429" s="47">
        <f>IF($F429="","",REPT("■",ROUND($F429/5,0)))</f>
        <v/>
      </c>
      <c r="I429" s="7" t="n"/>
      <c r="J429" s="7" t="n"/>
      <c r="K429" s="7" t="n"/>
      <c r="L429" s="7" t="n"/>
      <c r="M429" s="7" t="n"/>
      <c r="N429" s="7" t="n"/>
      <c r="O429" s="7" t="n"/>
      <c r="P429" s="8" t="n"/>
    </row>
    <row r="430">
      <c r="A430" s="14">
        <f>IF($S$420="","",INDEX(회차설정!$A$13:$A$27,$S$420))</f>
        <v/>
      </c>
      <c r="B430" s="14">
        <f>IF($S$420="","",INDEX(회차설정!$B$13:$B$27,$S$420))</f>
        <v/>
      </c>
      <c r="C430" s="8" t="n"/>
      <c r="D430" s="14">
        <f>IF($S$420="","",IF($R$414="언어와 매체",SUMPRODUCT((자동계산!$A$4:$A$48&gt;=INDEX(회차설정!$C$13:$C$27,$S$420))*(자동계산!$A$4:$A$48&lt;=INDEX(회차설정!$D$13:$D$27,$S$420))*자동계산!$E$4:$E$48),SUMPRODUCT((자동계산!$A$4:$A$48&gt;=INDEX(회차설정!$C$13:$C$27,$S$420))*(자동계산!$A$4:$A$48&lt;=INDEX(회차설정!$D$13:$D$27,$S$420))*자동계산!$C$4:$C$48)))</f>
        <v/>
      </c>
      <c r="E430" s="14">
        <f>IF(OR($S$420="",$R$413=""),"",SUM(OFFSET(전체채점!$AW$2,$R$413,INDEX(회차설정!$C$13:$C$27,$S$420),1,INDEX(회차설정!$D$13:$D$27,$S$420)-INDEX(회차설정!$C$13:$C$27,$S$420)+1)))</f>
        <v/>
      </c>
      <c r="F430" s="46">
        <f>IF(OR($S$420="",$D430=0,$D430="",$E430=""),"",$E430/$D430*100)</f>
        <v/>
      </c>
      <c r="G430" s="8" t="n"/>
      <c r="H430" s="47">
        <f>IF($F430="","",REPT("■",ROUND($F430/5,0)))</f>
        <v/>
      </c>
      <c r="I430" s="7" t="n"/>
      <c r="J430" s="7" t="n"/>
      <c r="K430" s="7" t="n"/>
      <c r="L430" s="7" t="n"/>
      <c r="M430" s="7" t="n"/>
      <c r="N430" s="7" t="n"/>
      <c r="O430" s="7" t="n"/>
      <c r="P430" s="8" t="n"/>
    </row>
    <row r="431">
      <c r="A431" s="14">
        <f>IF($S$421="","",INDEX(회차설정!$A$13:$A$27,$S$421))</f>
        <v/>
      </c>
      <c r="B431" s="14">
        <f>IF($S$421="","",INDEX(회차설정!$B$13:$B$27,$S$421))</f>
        <v/>
      </c>
      <c r="C431" s="8" t="n"/>
      <c r="D431" s="14">
        <f>IF($S$421="","",IF($R$414="언어와 매체",SUMPRODUCT((자동계산!$A$4:$A$48&gt;=INDEX(회차설정!$C$13:$C$27,$S$421))*(자동계산!$A$4:$A$48&lt;=INDEX(회차설정!$D$13:$D$27,$S$421))*자동계산!$E$4:$E$48),SUMPRODUCT((자동계산!$A$4:$A$48&gt;=INDEX(회차설정!$C$13:$C$27,$S$421))*(자동계산!$A$4:$A$48&lt;=INDEX(회차설정!$D$13:$D$27,$S$421))*자동계산!$C$4:$C$48)))</f>
        <v/>
      </c>
      <c r="E431" s="14">
        <f>IF(OR($S$421="",$R$413=""),"",SUM(OFFSET(전체채점!$AW$2,$R$413,INDEX(회차설정!$C$13:$C$27,$S$421),1,INDEX(회차설정!$D$13:$D$27,$S$421)-INDEX(회차설정!$C$13:$C$27,$S$421)+1)))</f>
        <v/>
      </c>
      <c r="F431" s="46">
        <f>IF(OR($S$421="",$D431=0,$D431="",$E431=""),"",$E431/$D431*100)</f>
        <v/>
      </c>
      <c r="G431" s="8" t="n"/>
      <c r="H431" s="47">
        <f>IF($F431="","",REPT("■",ROUND($F431/5,0)))</f>
        <v/>
      </c>
      <c r="I431" s="7" t="n"/>
      <c r="J431" s="7" t="n"/>
      <c r="K431" s="7" t="n"/>
      <c r="L431" s="7" t="n"/>
      <c r="M431" s="7" t="n"/>
      <c r="N431" s="7" t="n"/>
      <c r="O431" s="7" t="n"/>
      <c r="P431" s="8" t="n"/>
    </row>
    <row r="432">
      <c r="A432" s="14">
        <f>IF($S$422="","",INDEX(회차설정!$A$13:$A$27,$S$422))</f>
        <v/>
      </c>
      <c r="B432" s="14">
        <f>IF($S$422="","",INDEX(회차설정!$B$13:$B$27,$S$422))</f>
        <v/>
      </c>
      <c r="C432" s="8" t="n"/>
      <c r="D432" s="14">
        <f>IF($S$422="","",IF($R$414="언어와 매체",SUMPRODUCT((자동계산!$A$4:$A$48&gt;=INDEX(회차설정!$C$13:$C$27,$S$422))*(자동계산!$A$4:$A$48&lt;=INDEX(회차설정!$D$13:$D$27,$S$422))*자동계산!$E$4:$E$48),SUMPRODUCT((자동계산!$A$4:$A$48&gt;=INDEX(회차설정!$C$13:$C$27,$S$422))*(자동계산!$A$4:$A$48&lt;=INDEX(회차설정!$D$13:$D$27,$S$422))*자동계산!$C$4:$C$48)))</f>
        <v/>
      </c>
      <c r="E432" s="14">
        <f>IF(OR($S$422="",$R$413=""),"",SUM(OFFSET(전체채점!$AW$2,$R$413,INDEX(회차설정!$C$13:$C$27,$S$422),1,INDEX(회차설정!$D$13:$D$27,$S$422)-INDEX(회차설정!$C$13:$C$27,$S$422)+1)))</f>
        <v/>
      </c>
      <c r="F432" s="46">
        <f>IF(OR($S$422="",$D432=0,$D432="",$E432=""),"",$E432/$D432*100)</f>
        <v/>
      </c>
      <c r="G432" s="8" t="n"/>
      <c r="H432" s="47">
        <f>IF($F432="","",REPT("■",ROUND($F432/5,0)))</f>
        <v/>
      </c>
      <c r="I432" s="7" t="n"/>
      <c r="J432" s="7" t="n"/>
      <c r="K432" s="7" t="n"/>
      <c r="L432" s="7" t="n"/>
      <c r="M432" s="7" t="n"/>
      <c r="N432" s="7" t="n"/>
      <c r="O432" s="7" t="n"/>
      <c r="P432" s="8" t="n"/>
    </row>
    <row r="433">
      <c r="A433" s="14">
        <f>IF($S$423="","",INDEX(회차설정!$A$13:$A$27,$S$423))</f>
        <v/>
      </c>
      <c r="B433" s="14">
        <f>IF($S$423="","",INDEX(회차설정!$B$13:$B$27,$S$423))</f>
        <v/>
      </c>
      <c r="C433" s="8" t="n"/>
      <c r="D433" s="14">
        <f>IF($S$423="","",IF($R$414="언어와 매체",SUMPRODUCT((자동계산!$A$4:$A$48&gt;=INDEX(회차설정!$C$13:$C$27,$S$423))*(자동계산!$A$4:$A$48&lt;=INDEX(회차설정!$D$13:$D$27,$S$423))*자동계산!$E$4:$E$48),SUMPRODUCT((자동계산!$A$4:$A$48&gt;=INDEX(회차설정!$C$13:$C$27,$S$423))*(자동계산!$A$4:$A$48&lt;=INDEX(회차설정!$D$13:$D$27,$S$423))*자동계산!$C$4:$C$48)))</f>
        <v/>
      </c>
      <c r="E433" s="14">
        <f>IF(OR($S$423="",$R$413=""),"",SUM(OFFSET(전체채점!$AW$2,$R$413,INDEX(회차설정!$C$13:$C$27,$S$423),1,INDEX(회차설정!$D$13:$D$27,$S$423)-INDEX(회차설정!$C$13:$C$27,$S$423)+1)))</f>
        <v/>
      </c>
      <c r="F433" s="46">
        <f>IF(OR($S$423="",$D433=0,$D433="",$E433=""),"",$E433/$D433*100)</f>
        <v/>
      </c>
      <c r="G433" s="8" t="n"/>
      <c r="H433" s="47">
        <f>IF($F433="","",REPT("■",ROUND($F433/5,0)))</f>
        <v/>
      </c>
      <c r="I433" s="7" t="n"/>
      <c r="J433" s="7" t="n"/>
      <c r="K433" s="7" t="n"/>
      <c r="L433" s="7" t="n"/>
      <c r="M433" s="7" t="n"/>
      <c r="N433" s="7" t="n"/>
      <c r="O433" s="7" t="n"/>
      <c r="P433" s="8" t="n"/>
    </row>
    <row r="434">
      <c r="A434" s="14">
        <f>IF($S$424="","",INDEX(회차설정!$A$13:$A$27,$S$424))</f>
        <v/>
      </c>
      <c r="B434" s="14">
        <f>IF($S$424="","",INDEX(회차설정!$B$13:$B$27,$S$424))</f>
        <v/>
      </c>
      <c r="C434" s="8" t="n"/>
      <c r="D434" s="14">
        <f>IF($S$424="","",IF($R$414="언어와 매체",SUMPRODUCT((자동계산!$A$4:$A$48&gt;=INDEX(회차설정!$C$13:$C$27,$S$424))*(자동계산!$A$4:$A$48&lt;=INDEX(회차설정!$D$13:$D$27,$S$424))*자동계산!$E$4:$E$48),SUMPRODUCT((자동계산!$A$4:$A$48&gt;=INDEX(회차설정!$C$13:$C$27,$S$424))*(자동계산!$A$4:$A$48&lt;=INDEX(회차설정!$D$13:$D$27,$S$424))*자동계산!$C$4:$C$48)))</f>
        <v/>
      </c>
      <c r="E434" s="14">
        <f>IF(OR($S$424="",$R$413=""),"",SUM(OFFSET(전체채점!$AW$2,$R$413,INDEX(회차설정!$C$13:$C$27,$S$424),1,INDEX(회차설정!$D$13:$D$27,$S$424)-INDEX(회차설정!$C$13:$C$27,$S$424)+1)))</f>
        <v/>
      </c>
      <c r="F434" s="46">
        <f>IF(OR($S$424="",$D434=0,$D434="",$E434=""),"",$E434/$D434*100)</f>
        <v/>
      </c>
      <c r="G434" s="8" t="n"/>
      <c r="H434" s="47">
        <f>IF($F434="","",REPT("■",ROUND($F434/5,0)))</f>
        <v/>
      </c>
      <c r="I434" s="7" t="n"/>
      <c r="J434" s="7" t="n"/>
      <c r="K434" s="7" t="n"/>
      <c r="L434" s="7" t="n"/>
      <c r="M434" s="7" t="n"/>
      <c r="N434" s="7" t="n"/>
      <c r="O434" s="7" t="n"/>
      <c r="P434" s="8" t="n"/>
    </row>
    <row r="435">
      <c r="A435" s="5">
        <f>IF($R$413="","","합계")</f>
        <v/>
      </c>
      <c r="B435" s="7" t="n"/>
      <c r="C435" s="8" t="n"/>
      <c r="D435" s="5">
        <f>IF($R$413="","",SUM(D423:D434))</f>
        <v/>
      </c>
      <c r="E435" s="5">
        <f>IF($R$413="","",SUM(E423:E434))</f>
        <v/>
      </c>
      <c r="F435" s="48">
        <f>IF(OR($D435=0,$D435=""),"",$E435/$D435*100)</f>
        <v/>
      </c>
      <c r="G435" s="8" t="n"/>
      <c r="H435" s="49">
        <f>IF($F435="","",REPT("■",ROUND($F435/5,0)))</f>
        <v/>
      </c>
      <c r="I435" s="7" t="n"/>
      <c r="J435" s="7" t="n"/>
      <c r="K435" s="7" t="n"/>
      <c r="L435" s="7" t="n"/>
      <c r="M435" s="7" t="n"/>
      <c r="N435" s="7" t="n"/>
      <c r="O435" s="7" t="n"/>
      <c r="P435" s="8" t="n"/>
    </row>
    <row r="437">
      <c r="A437" s="12" t="inlineStr">
        <is>
          <t>4. 문항 채점표</t>
        </is>
      </c>
    </row>
    <row r="438">
      <c r="A438" s="50" t="inlineStr">
        <is>
          <t>문항 번호</t>
        </is>
      </c>
      <c r="B438" s="51" t="n">
        <v>1</v>
      </c>
      <c r="C438" s="51" t="n">
        <v>2</v>
      </c>
      <c r="D438" s="51" t="n">
        <v>3</v>
      </c>
      <c r="E438" s="51" t="n">
        <v>4</v>
      </c>
      <c r="F438" s="51" t="n">
        <v>5</v>
      </c>
      <c r="G438" s="51" t="n">
        <v>6</v>
      </c>
      <c r="H438" s="51" t="n">
        <v>7</v>
      </c>
      <c r="I438" s="51" t="n">
        <v>8</v>
      </c>
      <c r="J438" s="51" t="n">
        <v>9</v>
      </c>
      <c r="K438" s="51" t="n">
        <v>10</v>
      </c>
      <c r="L438" s="51" t="n">
        <v>11</v>
      </c>
      <c r="M438" s="51" t="n">
        <v>12</v>
      </c>
      <c r="N438" s="51" t="n">
        <v>13</v>
      </c>
      <c r="O438" s="51" t="n">
        <v>14</v>
      </c>
      <c r="P438" s="51" t="n">
        <v>15</v>
      </c>
    </row>
    <row r="439">
      <c r="A439" s="52" t="inlineStr">
        <is>
          <t>정답</t>
        </is>
      </c>
      <c r="B439" s="33">
        <f>IF($R$414="","",IF($R$414="언어와 매체",자동계산!$D$4,자동계산!$B$4))</f>
        <v/>
      </c>
      <c r="C439" s="33">
        <f>IF($R$414="","",IF($R$414="언어와 매체",자동계산!$D$5,자동계산!$B$5))</f>
        <v/>
      </c>
      <c r="D439" s="33">
        <f>IF($R$414="","",IF($R$414="언어와 매체",자동계산!$D$6,자동계산!$B$6))</f>
        <v/>
      </c>
      <c r="E439" s="33">
        <f>IF($R$414="","",IF($R$414="언어와 매체",자동계산!$D$7,자동계산!$B$7))</f>
        <v/>
      </c>
      <c r="F439" s="33">
        <f>IF($R$414="","",IF($R$414="언어와 매체",자동계산!$D$8,자동계산!$B$8))</f>
        <v/>
      </c>
      <c r="G439" s="33">
        <f>IF($R$414="","",IF($R$414="언어와 매체",자동계산!$D$9,자동계산!$B$9))</f>
        <v/>
      </c>
      <c r="H439" s="33">
        <f>IF($R$414="","",IF($R$414="언어와 매체",자동계산!$D$10,자동계산!$B$10))</f>
        <v/>
      </c>
      <c r="I439" s="33">
        <f>IF($R$414="","",IF($R$414="언어와 매체",자동계산!$D$11,자동계산!$B$11))</f>
        <v/>
      </c>
      <c r="J439" s="33">
        <f>IF($R$414="","",IF($R$414="언어와 매체",자동계산!$D$12,자동계산!$B$12))</f>
        <v/>
      </c>
      <c r="K439" s="33">
        <f>IF($R$414="","",IF($R$414="언어와 매체",자동계산!$D$13,자동계산!$B$13))</f>
        <v/>
      </c>
      <c r="L439" s="33">
        <f>IF($R$414="","",IF($R$414="언어와 매체",자동계산!$D$14,자동계산!$B$14))</f>
        <v/>
      </c>
      <c r="M439" s="33">
        <f>IF($R$414="","",IF($R$414="언어와 매체",자동계산!$D$15,자동계산!$B$15))</f>
        <v/>
      </c>
      <c r="N439" s="33">
        <f>IF($R$414="","",IF($R$414="언어와 매체",자동계산!$D$16,자동계산!$B$16))</f>
        <v/>
      </c>
      <c r="O439" s="33">
        <f>IF($R$414="","",IF($R$414="언어와 매체",자동계산!$D$17,자동계산!$B$17))</f>
        <v/>
      </c>
      <c r="P439" s="33">
        <f>IF($R$414="","",IF($R$414="언어와 매체",자동계산!$D$18,자동계산!$B$18))</f>
        <v/>
      </c>
    </row>
    <row r="440">
      <c r="A440" s="52" t="inlineStr">
        <is>
          <t>학생답안</t>
        </is>
      </c>
      <c r="B440" s="33">
        <f>IF($R$413="","",INDEX(전체채점!E$3:E$62,$R$413))</f>
        <v/>
      </c>
      <c r="C440" s="33">
        <f>IF($R$413="","",INDEX(전체채점!F$3:F$62,$R$413))</f>
        <v/>
      </c>
      <c r="D440" s="33">
        <f>IF($R$413="","",INDEX(전체채점!G$3:G$62,$R$413))</f>
        <v/>
      </c>
      <c r="E440" s="33">
        <f>IF($R$413="","",INDEX(전체채점!H$3:H$62,$R$413))</f>
        <v/>
      </c>
      <c r="F440" s="33">
        <f>IF($R$413="","",INDEX(전체채점!I$3:I$62,$R$413))</f>
        <v/>
      </c>
      <c r="G440" s="33">
        <f>IF($R$413="","",INDEX(전체채점!J$3:J$62,$R$413))</f>
        <v/>
      </c>
      <c r="H440" s="33">
        <f>IF($R$413="","",INDEX(전체채점!K$3:K$62,$R$413))</f>
        <v/>
      </c>
      <c r="I440" s="33">
        <f>IF($R$413="","",INDEX(전체채점!L$3:L$62,$R$413))</f>
        <v/>
      </c>
      <c r="J440" s="33">
        <f>IF($R$413="","",INDEX(전체채점!M$3:M$62,$R$413))</f>
        <v/>
      </c>
      <c r="K440" s="33">
        <f>IF($R$413="","",INDEX(전체채점!N$3:N$62,$R$413))</f>
        <v/>
      </c>
      <c r="L440" s="33">
        <f>IF($R$413="","",INDEX(전체채점!O$3:O$62,$R$413))</f>
        <v/>
      </c>
      <c r="M440" s="33">
        <f>IF($R$413="","",INDEX(전체채점!P$3:P$62,$R$413))</f>
        <v/>
      </c>
      <c r="N440" s="33">
        <f>IF($R$413="","",INDEX(전체채점!Q$3:Q$62,$R$413))</f>
        <v/>
      </c>
      <c r="O440" s="33">
        <f>IF($R$413="","",INDEX(전체채점!R$3:R$62,$R$413))</f>
        <v/>
      </c>
      <c r="P440" s="33">
        <f>IF($R$413="","",INDEX(전체채점!S$3:S$62,$R$413))</f>
        <v/>
      </c>
    </row>
    <row r="441">
      <c r="A441" s="52" t="inlineStr">
        <is>
          <t>정오</t>
        </is>
      </c>
      <c r="B441" s="33">
        <f>IF($R$413="","",INDEX(전체채점!AX$3:AX$62,$R$413))</f>
        <v/>
      </c>
      <c r="C441" s="33">
        <f>IF($R$413="","",INDEX(전체채점!AY$3:AY$62,$R$413))</f>
        <v/>
      </c>
      <c r="D441" s="33">
        <f>IF($R$413="","",INDEX(전체채점!AZ$3:AZ$62,$R$413))</f>
        <v/>
      </c>
      <c r="E441" s="33">
        <f>IF($R$413="","",INDEX(전체채점!BA$3:BA$62,$R$413))</f>
        <v/>
      </c>
      <c r="F441" s="33">
        <f>IF($R$413="","",INDEX(전체채점!BB$3:BB$62,$R$413))</f>
        <v/>
      </c>
      <c r="G441" s="33">
        <f>IF($R$413="","",INDEX(전체채점!BC$3:BC$62,$R$413))</f>
        <v/>
      </c>
      <c r="H441" s="33">
        <f>IF($R$413="","",INDEX(전체채점!BD$3:BD$62,$R$413))</f>
        <v/>
      </c>
      <c r="I441" s="33">
        <f>IF($R$413="","",INDEX(전체채점!BE$3:BE$62,$R$413))</f>
        <v/>
      </c>
      <c r="J441" s="33">
        <f>IF($R$413="","",INDEX(전체채점!BF$3:BF$62,$R$413))</f>
        <v/>
      </c>
      <c r="K441" s="33">
        <f>IF($R$413="","",INDEX(전체채점!BG$3:BG$62,$R$413))</f>
        <v/>
      </c>
      <c r="L441" s="33">
        <f>IF($R$413="","",INDEX(전체채점!BH$3:BH$62,$R$413))</f>
        <v/>
      </c>
      <c r="M441" s="33">
        <f>IF($R$413="","",INDEX(전체채점!BI$3:BI$62,$R$413))</f>
        <v/>
      </c>
      <c r="N441" s="33">
        <f>IF($R$413="","",INDEX(전체채점!BJ$3:BJ$62,$R$413))</f>
        <v/>
      </c>
      <c r="O441" s="33">
        <f>IF($R$413="","",INDEX(전체채점!BK$3:BK$62,$R$413))</f>
        <v/>
      </c>
      <c r="P441" s="33">
        <f>IF($R$413="","",INDEX(전체채점!BL$3:BL$62,$R$413))</f>
        <v/>
      </c>
    </row>
    <row r="442">
      <c r="A442" s="50" t="inlineStr">
        <is>
          <t>문항 번호</t>
        </is>
      </c>
      <c r="B442" s="51" t="n">
        <v>16</v>
      </c>
      <c r="C442" s="51" t="n">
        <v>17</v>
      </c>
      <c r="D442" s="51" t="n">
        <v>18</v>
      </c>
      <c r="E442" s="51" t="n">
        <v>19</v>
      </c>
      <c r="F442" s="51" t="n">
        <v>20</v>
      </c>
      <c r="G442" s="51" t="n">
        <v>21</v>
      </c>
      <c r="H442" s="51" t="n">
        <v>22</v>
      </c>
      <c r="I442" s="51" t="n">
        <v>23</v>
      </c>
      <c r="J442" s="51" t="n">
        <v>24</v>
      </c>
      <c r="K442" s="51" t="n">
        <v>25</v>
      </c>
      <c r="L442" s="51" t="n">
        <v>26</v>
      </c>
      <c r="M442" s="51" t="n">
        <v>27</v>
      </c>
      <c r="N442" s="51" t="n">
        <v>28</v>
      </c>
      <c r="O442" s="51" t="n">
        <v>29</v>
      </c>
      <c r="P442" s="51" t="n">
        <v>30</v>
      </c>
    </row>
    <row r="443">
      <c r="A443" s="52" t="inlineStr">
        <is>
          <t>정답</t>
        </is>
      </c>
      <c r="B443" s="33">
        <f>IF($R$414="","",IF($R$414="언어와 매체",자동계산!$D$19,자동계산!$B$19))</f>
        <v/>
      </c>
      <c r="C443" s="33">
        <f>IF($R$414="","",IF($R$414="언어와 매체",자동계산!$D$20,자동계산!$B$20))</f>
        <v/>
      </c>
      <c r="D443" s="33">
        <f>IF($R$414="","",IF($R$414="언어와 매체",자동계산!$D$21,자동계산!$B$21))</f>
        <v/>
      </c>
      <c r="E443" s="33">
        <f>IF($R$414="","",IF($R$414="언어와 매체",자동계산!$D$22,자동계산!$B$22))</f>
        <v/>
      </c>
      <c r="F443" s="33">
        <f>IF($R$414="","",IF($R$414="언어와 매체",자동계산!$D$23,자동계산!$B$23))</f>
        <v/>
      </c>
      <c r="G443" s="33">
        <f>IF($R$414="","",IF($R$414="언어와 매체",자동계산!$D$24,자동계산!$B$24))</f>
        <v/>
      </c>
      <c r="H443" s="33">
        <f>IF($R$414="","",IF($R$414="언어와 매체",자동계산!$D$25,자동계산!$B$25))</f>
        <v/>
      </c>
      <c r="I443" s="33">
        <f>IF($R$414="","",IF($R$414="언어와 매체",자동계산!$D$26,자동계산!$B$26))</f>
        <v/>
      </c>
      <c r="J443" s="33">
        <f>IF($R$414="","",IF($R$414="언어와 매체",자동계산!$D$27,자동계산!$B$27))</f>
        <v/>
      </c>
      <c r="K443" s="33">
        <f>IF($R$414="","",IF($R$414="언어와 매체",자동계산!$D$28,자동계산!$B$28))</f>
        <v/>
      </c>
      <c r="L443" s="33">
        <f>IF($R$414="","",IF($R$414="언어와 매체",자동계산!$D$29,자동계산!$B$29))</f>
        <v/>
      </c>
      <c r="M443" s="33">
        <f>IF($R$414="","",IF($R$414="언어와 매체",자동계산!$D$30,자동계산!$B$30))</f>
        <v/>
      </c>
      <c r="N443" s="33">
        <f>IF($R$414="","",IF($R$414="언어와 매체",자동계산!$D$31,자동계산!$B$31))</f>
        <v/>
      </c>
      <c r="O443" s="33">
        <f>IF($R$414="","",IF($R$414="언어와 매체",자동계산!$D$32,자동계산!$B$32))</f>
        <v/>
      </c>
      <c r="P443" s="33">
        <f>IF($R$414="","",IF($R$414="언어와 매체",자동계산!$D$33,자동계산!$B$33))</f>
        <v/>
      </c>
    </row>
    <row r="444">
      <c r="A444" s="52" t="inlineStr">
        <is>
          <t>학생답안</t>
        </is>
      </c>
      <c r="B444" s="33">
        <f>IF($R$413="","",INDEX(전체채점!T$3:T$62,$R$413))</f>
        <v/>
      </c>
      <c r="C444" s="33">
        <f>IF($R$413="","",INDEX(전체채점!U$3:U$62,$R$413))</f>
        <v/>
      </c>
      <c r="D444" s="33">
        <f>IF($R$413="","",INDEX(전체채점!V$3:V$62,$R$413))</f>
        <v/>
      </c>
      <c r="E444" s="33">
        <f>IF($R$413="","",INDEX(전체채점!W$3:W$62,$R$413))</f>
        <v/>
      </c>
      <c r="F444" s="33">
        <f>IF($R$413="","",INDEX(전체채점!X$3:X$62,$R$413))</f>
        <v/>
      </c>
      <c r="G444" s="33">
        <f>IF($R$413="","",INDEX(전체채점!Y$3:Y$62,$R$413))</f>
        <v/>
      </c>
      <c r="H444" s="33">
        <f>IF($R$413="","",INDEX(전체채점!Z$3:Z$62,$R$413))</f>
        <v/>
      </c>
      <c r="I444" s="33">
        <f>IF($R$413="","",INDEX(전체채점!AA$3:AA$62,$R$413))</f>
        <v/>
      </c>
      <c r="J444" s="33">
        <f>IF($R$413="","",INDEX(전체채점!AB$3:AB$62,$R$413))</f>
        <v/>
      </c>
      <c r="K444" s="33">
        <f>IF($R$413="","",INDEX(전체채점!AC$3:AC$62,$R$413))</f>
        <v/>
      </c>
      <c r="L444" s="33">
        <f>IF($R$413="","",INDEX(전체채점!AD$3:AD$62,$R$413))</f>
        <v/>
      </c>
      <c r="M444" s="33">
        <f>IF($R$413="","",INDEX(전체채점!AE$3:AE$62,$R$413))</f>
        <v/>
      </c>
      <c r="N444" s="33">
        <f>IF($R$413="","",INDEX(전체채점!AF$3:AF$62,$R$413))</f>
        <v/>
      </c>
      <c r="O444" s="33">
        <f>IF($R$413="","",INDEX(전체채점!AG$3:AG$62,$R$413))</f>
        <v/>
      </c>
      <c r="P444" s="33">
        <f>IF($R$413="","",INDEX(전체채점!AH$3:AH$62,$R$413))</f>
        <v/>
      </c>
    </row>
    <row r="445">
      <c r="A445" s="52" t="inlineStr">
        <is>
          <t>정오</t>
        </is>
      </c>
      <c r="B445" s="33">
        <f>IF($R$413="","",INDEX(전체채점!BM$3:BM$62,$R$413))</f>
        <v/>
      </c>
      <c r="C445" s="33">
        <f>IF($R$413="","",INDEX(전체채점!BN$3:BN$62,$R$413))</f>
        <v/>
      </c>
      <c r="D445" s="33">
        <f>IF($R$413="","",INDEX(전체채점!BO$3:BO$62,$R$413))</f>
        <v/>
      </c>
      <c r="E445" s="33">
        <f>IF($R$413="","",INDEX(전체채점!BP$3:BP$62,$R$413))</f>
        <v/>
      </c>
      <c r="F445" s="33">
        <f>IF($R$413="","",INDEX(전체채점!BQ$3:BQ$62,$R$413))</f>
        <v/>
      </c>
      <c r="G445" s="33">
        <f>IF($R$413="","",INDEX(전체채점!BR$3:BR$62,$R$413))</f>
        <v/>
      </c>
      <c r="H445" s="33">
        <f>IF($R$413="","",INDEX(전체채점!BS$3:BS$62,$R$413))</f>
        <v/>
      </c>
      <c r="I445" s="33">
        <f>IF($R$413="","",INDEX(전체채점!BT$3:BT$62,$R$413))</f>
        <v/>
      </c>
      <c r="J445" s="33">
        <f>IF($R$413="","",INDEX(전체채점!BU$3:BU$62,$R$413))</f>
        <v/>
      </c>
      <c r="K445" s="33">
        <f>IF($R$413="","",INDEX(전체채점!BV$3:BV$62,$R$413))</f>
        <v/>
      </c>
      <c r="L445" s="33">
        <f>IF($R$413="","",INDEX(전체채점!BW$3:BW$62,$R$413))</f>
        <v/>
      </c>
      <c r="M445" s="33">
        <f>IF($R$413="","",INDEX(전체채점!BX$3:BX$62,$R$413))</f>
        <v/>
      </c>
      <c r="N445" s="33">
        <f>IF($R$413="","",INDEX(전체채점!BY$3:BY$62,$R$413))</f>
        <v/>
      </c>
      <c r="O445" s="33">
        <f>IF($R$413="","",INDEX(전체채점!BZ$3:BZ$62,$R$413))</f>
        <v/>
      </c>
      <c r="P445" s="33">
        <f>IF($R$413="","",INDEX(전체채점!CA$3:CA$62,$R$413))</f>
        <v/>
      </c>
    </row>
    <row r="446">
      <c r="A446" s="50" t="inlineStr">
        <is>
          <t>문항 번호</t>
        </is>
      </c>
      <c r="B446" s="51" t="n">
        <v>31</v>
      </c>
      <c r="C446" s="51" t="n">
        <v>32</v>
      </c>
      <c r="D446" s="51" t="n">
        <v>33</v>
      </c>
      <c r="E446" s="51" t="n">
        <v>34</v>
      </c>
      <c r="F446" s="51" t="n">
        <v>35</v>
      </c>
      <c r="G446" s="51" t="n">
        <v>36</v>
      </c>
      <c r="H446" s="51" t="n">
        <v>37</v>
      </c>
      <c r="I446" s="51" t="n">
        <v>38</v>
      </c>
      <c r="J446" s="51" t="n">
        <v>39</v>
      </c>
      <c r="K446" s="51" t="n">
        <v>40</v>
      </c>
      <c r="L446" s="51" t="n">
        <v>41</v>
      </c>
      <c r="M446" s="51" t="n">
        <v>42</v>
      </c>
      <c r="N446" s="51" t="n">
        <v>43</v>
      </c>
      <c r="O446" s="51" t="n">
        <v>44</v>
      </c>
      <c r="P446" s="51" t="n">
        <v>45</v>
      </c>
    </row>
    <row r="447">
      <c r="A447" s="52" t="inlineStr">
        <is>
          <t>정답</t>
        </is>
      </c>
      <c r="B447" s="33">
        <f>IF($R$414="","",IF($R$414="언어와 매체",자동계산!$D$34,자동계산!$B$34))</f>
        <v/>
      </c>
      <c r="C447" s="33">
        <f>IF($R$414="","",IF($R$414="언어와 매체",자동계산!$D$35,자동계산!$B$35))</f>
        <v/>
      </c>
      <c r="D447" s="33">
        <f>IF($R$414="","",IF($R$414="언어와 매체",자동계산!$D$36,자동계산!$B$36))</f>
        <v/>
      </c>
      <c r="E447" s="33">
        <f>IF($R$414="","",IF($R$414="언어와 매체",자동계산!$D$37,자동계산!$B$37))</f>
        <v/>
      </c>
      <c r="F447" s="33">
        <f>IF($R$414="","",IF($R$414="언어와 매체",자동계산!$D$38,자동계산!$B$38))</f>
        <v/>
      </c>
      <c r="G447" s="33">
        <f>IF($R$414="","",IF($R$414="언어와 매체",자동계산!$D$39,자동계산!$B$39))</f>
        <v/>
      </c>
      <c r="H447" s="33">
        <f>IF($R$414="","",IF($R$414="언어와 매체",자동계산!$D$40,자동계산!$B$40))</f>
        <v/>
      </c>
      <c r="I447" s="33">
        <f>IF($R$414="","",IF($R$414="언어와 매체",자동계산!$D$41,자동계산!$B$41))</f>
        <v/>
      </c>
      <c r="J447" s="33">
        <f>IF($R$414="","",IF($R$414="언어와 매체",자동계산!$D$42,자동계산!$B$42))</f>
        <v/>
      </c>
      <c r="K447" s="33">
        <f>IF($R$414="","",IF($R$414="언어와 매체",자동계산!$D$43,자동계산!$B$43))</f>
        <v/>
      </c>
      <c r="L447" s="33">
        <f>IF($R$414="","",IF($R$414="언어와 매체",자동계산!$D$44,자동계산!$B$44))</f>
        <v/>
      </c>
      <c r="M447" s="33">
        <f>IF($R$414="","",IF($R$414="언어와 매체",자동계산!$D$45,자동계산!$B$45))</f>
        <v/>
      </c>
      <c r="N447" s="33">
        <f>IF($R$414="","",IF($R$414="언어와 매체",자동계산!$D$46,자동계산!$B$46))</f>
        <v/>
      </c>
      <c r="O447" s="33">
        <f>IF($R$414="","",IF($R$414="언어와 매체",자동계산!$D$47,자동계산!$B$47))</f>
        <v/>
      </c>
      <c r="P447" s="33">
        <f>IF($R$414="","",IF($R$414="언어와 매체",자동계산!$D$48,자동계산!$B$48))</f>
        <v/>
      </c>
    </row>
    <row r="448">
      <c r="A448" s="52" t="inlineStr">
        <is>
          <t>학생답안</t>
        </is>
      </c>
      <c r="B448" s="33">
        <f>IF($R$413="","",INDEX(전체채점!AI$3:AI$62,$R$413))</f>
        <v/>
      </c>
      <c r="C448" s="33">
        <f>IF($R$413="","",INDEX(전체채점!AJ$3:AJ$62,$R$413))</f>
        <v/>
      </c>
      <c r="D448" s="33">
        <f>IF($R$413="","",INDEX(전체채점!AK$3:AK$62,$R$413))</f>
        <v/>
      </c>
      <c r="E448" s="33">
        <f>IF($R$413="","",INDEX(전체채점!AL$3:AL$62,$R$413))</f>
        <v/>
      </c>
      <c r="F448" s="33">
        <f>IF($R$413="","",INDEX(전체채점!AM$3:AM$62,$R$413))</f>
        <v/>
      </c>
      <c r="G448" s="33">
        <f>IF($R$413="","",INDEX(전체채점!AN$3:AN$62,$R$413))</f>
        <v/>
      </c>
      <c r="H448" s="33">
        <f>IF($R$413="","",INDEX(전체채점!AO$3:AO$62,$R$413))</f>
        <v/>
      </c>
      <c r="I448" s="33">
        <f>IF($R$413="","",INDEX(전체채점!AP$3:AP$62,$R$413))</f>
        <v/>
      </c>
      <c r="J448" s="33">
        <f>IF($R$413="","",INDEX(전체채점!AQ$3:AQ$62,$R$413))</f>
        <v/>
      </c>
      <c r="K448" s="33">
        <f>IF($R$413="","",INDEX(전체채점!AR$3:AR$62,$R$413))</f>
        <v/>
      </c>
      <c r="L448" s="33">
        <f>IF($R$413="","",INDEX(전체채점!AS$3:AS$62,$R$413))</f>
        <v/>
      </c>
      <c r="M448" s="33">
        <f>IF($R$413="","",INDEX(전체채점!AT$3:AT$62,$R$413))</f>
        <v/>
      </c>
      <c r="N448" s="33">
        <f>IF($R$413="","",INDEX(전체채점!AU$3:AU$62,$R$413))</f>
        <v/>
      </c>
      <c r="O448" s="33">
        <f>IF($R$413="","",INDEX(전체채점!AV$3:AV$62,$R$413))</f>
        <v/>
      </c>
      <c r="P448" s="33">
        <f>IF($R$413="","",INDEX(전체채점!AW$3:AW$62,$R$413))</f>
        <v/>
      </c>
    </row>
    <row r="449">
      <c r="A449" s="52" t="inlineStr">
        <is>
          <t>정오</t>
        </is>
      </c>
      <c r="B449" s="33">
        <f>IF($R$413="","",INDEX(전체채점!CB$3:CB$62,$R$413))</f>
        <v/>
      </c>
      <c r="C449" s="33">
        <f>IF($R$413="","",INDEX(전체채점!CC$3:CC$62,$R$413))</f>
        <v/>
      </c>
      <c r="D449" s="33">
        <f>IF($R$413="","",INDEX(전체채점!CD$3:CD$62,$R$413))</f>
        <v/>
      </c>
      <c r="E449" s="33">
        <f>IF($R$413="","",INDEX(전체채점!CE$3:CE$62,$R$413))</f>
        <v/>
      </c>
      <c r="F449" s="33">
        <f>IF($R$413="","",INDEX(전체채점!CF$3:CF$62,$R$413))</f>
        <v/>
      </c>
      <c r="G449" s="33">
        <f>IF($R$413="","",INDEX(전체채점!CG$3:CG$62,$R$413))</f>
        <v/>
      </c>
      <c r="H449" s="33">
        <f>IF($R$413="","",INDEX(전체채점!CH$3:CH$62,$R$413))</f>
        <v/>
      </c>
      <c r="I449" s="33">
        <f>IF($R$413="","",INDEX(전체채점!CI$3:CI$62,$R$413))</f>
        <v/>
      </c>
      <c r="J449" s="33">
        <f>IF($R$413="","",INDEX(전체채점!CJ$3:CJ$62,$R$413))</f>
        <v/>
      </c>
      <c r="K449" s="33">
        <f>IF($R$413="","",INDEX(전체채점!CK$3:CK$62,$R$413))</f>
        <v/>
      </c>
      <c r="L449" s="33">
        <f>IF($R$413="","",INDEX(전체채점!CL$3:CL$62,$R$413))</f>
        <v/>
      </c>
      <c r="M449" s="33">
        <f>IF($R$413="","",INDEX(전체채점!CM$3:CM$62,$R$413))</f>
        <v/>
      </c>
      <c r="N449" s="33">
        <f>IF($R$413="","",INDEX(전체채점!CN$3:CN$62,$R$413))</f>
        <v/>
      </c>
      <c r="O449" s="33">
        <f>IF($R$413="","",INDEX(전체채점!CO$3:CO$62,$R$413))</f>
        <v/>
      </c>
      <c r="P449" s="33">
        <f>IF($R$413="","",INDEX(전체채점!CP$3:CP$62,$R$413))</f>
        <v/>
      </c>
    </row>
    <row r="452" ht="34" customHeight="1">
      <c r="A452" s="36">
        <f>IF($R$454="","",회차설정!$B$2&amp;" 성적표")</f>
        <v/>
      </c>
    </row>
    <row r="454">
      <c r="A454" s="12" t="inlineStr">
        <is>
          <t>1. 학생정보</t>
        </is>
      </c>
      <c r="R454" s="37">
        <f>IF(답안입력!$A$14="","",12)</f>
        <v/>
      </c>
      <c r="S454" s="37">
        <f>IF($R$455="","",IFERROR(IF($R$455="언어와 매체",MATCH(1,회차설정!$G$13:$G$27,0),MATCH(1,회차설정!$F$13:$F$27,0)),""))</f>
        <v/>
      </c>
    </row>
    <row r="455">
      <c r="A455" s="13" t="inlineStr">
        <is>
          <t>성명</t>
        </is>
      </c>
      <c r="B455" s="7" t="n"/>
      <c r="C455" s="8" t="n"/>
      <c r="D455" s="13" t="inlineStr">
        <is>
          <t>선택과목</t>
        </is>
      </c>
      <c r="E455" s="7" t="n"/>
      <c r="F455" s="7" t="n"/>
      <c r="G455" s="8" t="n"/>
      <c r="H455" s="13" t="inlineStr">
        <is>
          <t>학년</t>
        </is>
      </c>
      <c r="I455" s="7" t="n"/>
      <c r="J455" s="7" t="n"/>
      <c r="K455" s="8" t="n"/>
      <c r="L455" s="13" t="inlineStr">
        <is>
          <t>시행일</t>
        </is>
      </c>
      <c r="M455" s="7" t="n"/>
      <c r="N455" s="7" t="n"/>
      <c r="O455" s="7" t="n"/>
      <c r="P455" s="8" t="n"/>
      <c r="R455" s="37">
        <f>IF($R$454="","",INDEX(전체채점!$B$3:$B$62,$R$454))</f>
        <v/>
      </c>
      <c r="S455" s="37">
        <f>IF($R$455="","",IFERROR(IF($R$455="언어와 매체",MATCH(2,회차설정!$G$13:$G$27,0),MATCH(2,회차설정!$F$13:$F$27,0)),""))</f>
        <v/>
      </c>
    </row>
    <row r="456" ht="26" customHeight="1">
      <c r="A456" s="39">
        <f>IF($R$454="","",INDEX(답안입력!$A$3:$A$62,$R$454))</f>
        <v/>
      </c>
      <c r="B456" s="7" t="n"/>
      <c r="C456" s="8" t="n"/>
      <c r="D456" s="39">
        <f>IF($R$454="","",INDEX(답안입력!$C$3:$C$62,$R$454))</f>
        <v/>
      </c>
      <c r="E456" s="7" t="n"/>
      <c r="F456" s="7" t="n"/>
      <c r="G456" s="8" t="n"/>
      <c r="H456" s="39">
        <f>IF($R$454="","",INDEX(답안입력!$B$3:$B$62,$R$454))</f>
        <v/>
      </c>
      <c r="I456" s="7" t="n"/>
      <c r="J456" s="7" t="n"/>
      <c r="K456" s="8" t="n"/>
      <c r="L456" s="40">
        <f>회차설정!$B$3</f>
        <v/>
      </c>
      <c r="M456" s="7" t="n"/>
      <c r="N456" s="7" t="n"/>
      <c r="O456" s="7" t="n"/>
      <c r="P456" s="8" t="n"/>
      <c r="R456" s="37">
        <f>IF($R$455="언어와 매체",회차설정!$B$9,회차설정!$B$8)</f>
        <v/>
      </c>
      <c r="S456" s="37">
        <f>IF($R$455="","",IFERROR(IF($R$455="언어와 매체",MATCH(3,회차설정!$G$13:$G$27,0),MATCH(3,회차설정!$F$13:$F$27,0)),""))</f>
        <v/>
      </c>
    </row>
    <row r="457">
      <c r="R457" s="37">
        <f>IF($R$455="언어와 매체",회차설정!$C$9,회차설정!$C$8)</f>
        <v/>
      </c>
      <c r="S457" s="37">
        <f>IF($R$455="","",IFERROR(IF($R$455="언어와 매체",MATCH(4,회차설정!$G$13:$G$27,0),MATCH(4,회차설정!$F$13:$F$27,0)),""))</f>
        <v/>
      </c>
    </row>
    <row r="458">
      <c r="A458" s="12" t="inlineStr">
        <is>
          <t>2. 성적</t>
        </is>
      </c>
      <c r="R458" s="37">
        <f>IF($R$455="언어와 매체",회차설정!$D$9,회차설정!$D$8)</f>
        <v/>
      </c>
      <c r="S458" s="37">
        <f>IF($R$455="","",IFERROR(IF($R$455="언어와 매체",MATCH(5,회차설정!$G$13:$G$27,0),MATCH(5,회차설정!$F$13:$F$27,0)),""))</f>
        <v/>
      </c>
    </row>
    <row r="459">
      <c r="A459" s="13" t="inlineStr">
        <is>
          <t>점수 (100점 만점)</t>
        </is>
      </c>
      <c r="B459" s="7" t="n"/>
      <c r="C459" s="7" t="n"/>
      <c r="D459" s="7" t="n"/>
      <c r="E459" s="8" t="n"/>
      <c r="F459" s="13" t="inlineStr">
        <is>
          <t>등급</t>
        </is>
      </c>
      <c r="G459" s="7" t="n"/>
      <c r="H459" s="8" t="n"/>
      <c r="I459" s="13" t="inlineStr">
        <is>
          <t>등급컷</t>
        </is>
      </c>
      <c r="J459" s="7" t="n"/>
      <c r="K459" s="7" t="n"/>
      <c r="L459" s="8" t="n"/>
      <c r="M459" s="13" t="inlineStr">
        <is>
          <t>같은 선택과목 평균</t>
        </is>
      </c>
      <c r="N459" s="7" t="n"/>
      <c r="O459" s="7" t="n"/>
      <c r="P459" s="8" t="n"/>
      <c r="R459" s="37">
        <f>IF($R$455="언어와 매체",회차설정!$E$9,회차설정!$E$8)</f>
        <v/>
      </c>
      <c r="S459" s="37">
        <f>IF($R$455="","",IFERROR(IF($R$455="언어와 매체",MATCH(6,회차설정!$G$13:$G$27,0),MATCH(6,회차설정!$F$13:$F$27,0)),""))</f>
        <v/>
      </c>
    </row>
    <row r="460" ht="34" customHeight="1">
      <c r="A460" s="41">
        <f>IF($R$454="","",INDEX(전체채점!$C$3:$C$62,$R$454))</f>
        <v/>
      </c>
      <c r="B460" s="7" t="n"/>
      <c r="C460" s="7" t="n"/>
      <c r="D460" s="7" t="n"/>
      <c r="E460" s="8" t="n"/>
      <c r="F460" s="42">
        <f>IF($R$454="","",INDEX(전체채점!$D$3:$D$62,$R$454))</f>
        <v/>
      </c>
      <c r="G460" s="7" t="n"/>
      <c r="H460" s="8" t="n"/>
      <c r="I460" s="43">
        <f>IF($R$454="","",$R$456&amp;"-"&amp;$R$457&amp;"-"&amp;$R$458&amp;"-"&amp;$R$459)</f>
        <v/>
      </c>
      <c r="J460" s="7" t="n"/>
      <c r="K460" s="7" t="n"/>
      <c r="L460" s="8" t="n"/>
      <c r="M460" s="44">
        <f>IFERROR(AVERAGEIF(전체채점!$B$3:$B$62,$R$455,전체채점!$C$3:$C$62),"")</f>
        <v/>
      </c>
      <c r="N460" s="7" t="n"/>
      <c r="O460" s="7" t="n"/>
      <c r="P460" s="8" t="n"/>
      <c r="S460" s="37">
        <f>IF($R$455="","",IFERROR(IF($R$455="언어와 매체",MATCH(7,회차설정!$G$13:$G$27,0),MATCH(7,회차설정!$F$13:$F$27,0)),""))</f>
        <v/>
      </c>
    </row>
    <row r="461">
      <c r="S461" s="37">
        <f>IF($R$455="","",IFERROR(IF($R$455="언어와 매체",MATCH(8,회차설정!$G$13:$G$27,0),MATCH(8,회차설정!$F$13:$F$27,0)),""))</f>
        <v/>
      </c>
    </row>
    <row r="462">
      <c r="A462" s="12" t="inlineStr">
        <is>
          <t>3. 영역분류별 성취도 분석</t>
        </is>
      </c>
      <c r="F462" s="45">
        <f>IF(OR($R$454="",$E476=""),"",IF($E476=INDEX(전체채점!$C$3:$C$62,$R$454),"","※ 회차설정의 영역 표를 확인하세요 — 영역 합계와 점수가 다릅니다"))</f>
        <v/>
      </c>
      <c r="S462" s="37">
        <f>IF($R$455="","",IFERROR(IF($R$455="언어와 매체",MATCH(9,회차설정!$G$13:$G$27,0),MATCH(9,회차설정!$F$13:$F$27,0)),""))</f>
        <v/>
      </c>
    </row>
    <row r="463">
      <c r="A463" s="13" t="inlineStr">
        <is>
          <t>분류</t>
        </is>
      </c>
      <c r="B463" s="13" t="inlineStr">
        <is>
          <t>영역</t>
        </is>
      </c>
      <c r="C463" s="8" t="n"/>
      <c r="D463" s="13" t="inlineStr">
        <is>
          <t>배점</t>
        </is>
      </c>
      <c r="E463" s="13" t="inlineStr">
        <is>
          <t>득점</t>
        </is>
      </c>
      <c r="F463" s="13" t="inlineStr">
        <is>
          <t>성취도(%)</t>
        </is>
      </c>
      <c r="G463" s="8" t="n"/>
      <c r="H463" s="13" t="inlineStr"/>
      <c r="I463" s="7" t="n"/>
      <c r="J463" s="7" t="n"/>
      <c r="K463" s="7" t="n"/>
      <c r="L463" s="7" t="n"/>
      <c r="M463" s="7" t="n"/>
      <c r="N463" s="7" t="n"/>
      <c r="O463" s="7" t="n"/>
      <c r="P463" s="8" t="n"/>
      <c r="S463" s="37">
        <f>IF($R$455="","",IFERROR(IF($R$455="언어와 매체",MATCH(10,회차설정!$G$13:$G$27,0),MATCH(10,회차설정!$F$13:$F$27,0)),""))</f>
        <v/>
      </c>
    </row>
    <row r="464">
      <c r="A464" s="14">
        <f>IF($S$454="","",INDEX(회차설정!$A$13:$A$27,$S$454))</f>
        <v/>
      </c>
      <c r="B464" s="14">
        <f>IF($S$454="","",INDEX(회차설정!$B$13:$B$27,$S$454))</f>
        <v/>
      </c>
      <c r="C464" s="8" t="n"/>
      <c r="D464" s="14">
        <f>IF($S$454="","",IF($R$455="언어와 매체",SUMPRODUCT((자동계산!$A$4:$A$48&gt;=INDEX(회차설정!$C$13:$C$27,$S$454))*(자동계산!$A$4:$A$48&lt;=INDEX(회차설정!$D$13:$D$27,$S$454))*자동계산!$E$4:$E$48),SUMPRODUCT((자동계산!$A$4:$A$48&gt;=INDEX(회차설정!$C$13:$C$27,$S$454))*(자동계산!$A$4:$A$48&lt;=INDEX(회차설정!$D$13:$D$27,$S$454))*자동계산!$C$4:$C$48)))</f>
        <v/>
      </c>
      <c r="E464" s="14">
        <f>IF(OR($S$454="",$R$454=""),"",SUM(OFFSET(전체채점!$AW$2,$R$454,INDEX(회차설정!$C$13:$C$27,$S$454),1,INDEX(회차설정!$D$13:$D$27,$S$454)-INDEX(회차설정!$C$13:$C$27,$S$454)+1)))</f>
        <v/>
      </c>
      <c r="F464" s="46">
        <f>IF(OR($S$454="",$D464=0,$D464="",$E464=""),"",$E464/$D464*100)</f>
        <v/>
      </c>
      <c r="G464" s="8" t="n"/>
      <c r="H464" s="47">
        <f>IF($F464="","",REPT("■",ROUND($F464/5,0)))</f>
        <v/>
      </c>
      <c r="I464" s="7" t="n"/>
      <c r="J464" s="7" t="n"/>
      <c r="K464" s="7" t="n"/>
      <c r="L464" s="7" t="n"/>
      <c r="M464" s="7" t="n"/>
      <c r="N464" s="7" t="n"/>
      <c r="O464" s="7" t="n"/>
      <c r="P464" s="8" t="n"/>
      <c r="S464" s="37">
        <f>IF($R$455="","",IFERROR(IF($R$455="언어와 매체",MATCH(11,회차설정!$G$13:$G$27,0),MATCH(11,회차설정!$F$13:$F$27,0)),""))</f>
        <v/>
      </c>
    </row>
    <row r="465">
      <c r="A465" s="14">
        <f>IF($S$455="","",INDEX(회차설정!$A$13:$A$27,$S$455))</f>
        <v/>
      </c>
      <c r="B465" s="14">
        <f>IF($S$455="","",INDEX(회차설정!$B$13:$B$27,$S$455))</f>
        <v/>
      </c>
      <c r="C465" s="8" t="n"/>
      <c r="D465" s="14">
        <f>IF($S$455="","",IF($R$455="언어와 매체",SUMPRODUCT((자동계산!$A$4:$A$48&gt;=INDEX(회차설정!$C$13:$C$27,$S$455))*(자동계산!$A$4:$A$48&lt;=INDEX(회차설정!$D$13:$D$27,$S$455))*자동계산!$E$4:$E$48),SUMPRODUCT((자동계산!$A$4:$A$48&gt;=INDEX(회차설정!$C$13:$C$27,$S$455))*(자동계산!$A$4:$A$48&lt;=INDEX(회차설정!$D$13:$D$27,$S$455))*자동계산!$C$4:$C$48)))</f>
        <v/>
      </c>
      <c r="E465" s="14">
        <f>IF(OR($S$455="",$R$454=""),"",SUM(OFFSET(전체채점!$AW$2,$R$454,INDEX(회차설정!$C$13:$C$27,$S$455),1,INDEX(회차설정!$D$13:$D$27,$S$455)-INDEX(회차설정!$C$13:$C$27,$S$455)+1)))</f>
        <v/>
      </c>
      <c r="F465" s="46">
        <f>IF(OR($S$455="",$D465=0,$D465="",$E465=""),"",$E465/$D465*100)</f>
        <v/>
      </c>
      <c r="G465" s="8" t="n"/>
      <c r="H465" s="47">
        <f>IF($F465="","",REPT("■",ROUND($F465/5,0)))</f>
        <v/>
      </c>
      <c r="I465" s="7" t="n"/>
      <c r="J465" s="7" t="n"/>
      <c r="K465" s="7" t="n"/>
      <c r="L465" s="7" t="n"/>
      <c r="M465" s="7" t="n"/>
      <c r="N465" s="7" t="n"/>
      <c r="O465" s="7" t="n"/>
      <c r="P465" s="8" t="n"/>
      <c r="S465" s="37">
        <f>IF($R$455="","",IFERROR(IF($R$455="언어와 매체",MATCH(12,회차설정!$G$13:$G$27,0),MATCH(12,회차설정!$F$13:$F$27,0)),""))</f>
        <v/>
      </c>
    </row>
    <row r="466">
      <c r="A466" s="14">
        <f>IF($S$456="","",INDEX(회차설정!$A$13:$A$27,$S$456))</f>
        <v/>
      </c>
      <c r="B466" s="14">
        <f>IF($S$456="","",INDEX(회차설정!$B$13:$B$27,$S$456))</f>
        <v/>
      </c>
      <c r="C466" s="8" t="n"/>
      <c r="D466" s="14">
        <f>IF($S$456="","",IF($R$455="언어와 매체",SUMPRODUCT((자동계산!$A$4:$A$48&gt;=INDEX(회차설정!$C$13:$C$27,$S$456))*(자동계산!$A$4:$A$48&lt;=INDEX(회차설정!$D$13:$D$27,$S$456))*자동계산!$E$4:$E$48),SUMPRODUCT((자동계산!$A$4:$A$48&gt;=INDEX(회차설정!$C$13:$C$27,$S$456))*(자동계산!$A$4:$A$48&lt;=INDEX(회차설정!$D$13:$D$27,$S$456))*자동계산!$C$4:$C$48)))</f>
        <v/>
      </c>
      <c r="E466" s="14">
        <f>IF(OR($S$456="",$R$454=""),"",SUM(OFFSET(전체채점!$AW$2,$R$454,INDEX(회차설정!$C$13:$C$27,$S$456),1,INDEX(회차설정!$D$13:$D$27,$S$456)-INDEX(회차설정!$C$13:$C$27,$S$456)+1)))</f>
        <v/>
      </c>
      <c r="F466" s="46">
        <f>IF(OR($S$456="",$D466=0,$D466="",$E466=""),"",$E466/$D466*100)</f>
        <v/>
      </c>
      <c r="G466" s="8" t="n"/>
      <c r="H466" s="47">
        <f>IF($F466="","",REPT("■",ROUND($F466/5,0)))</f>
        <v/>
      </c>
      <c r="I466" s="7" t="n"/>
      <c r="J466" s="7" t="n"/>
      <c r="K466" s="7" t="n"/>
      <c r="L466" s="7" t="n"/>
      <c r="M466" s="7" t="n"/>
      <c r="N466" s="7" t="n"/>
      <c r="O466" s="7" t="n"/>
      <c r="P466" s="8" t="n"/>
    </row>
    <row r="467">
      <c r="A467" s="14">
        <f>IF($S$457="","",INDEX(회차설정!$A$13:$A$27,$S$457))</f>
        <v/>
      </c>
      <c r="B467" s="14">
        <f>IF($S$457="","",INDEX(회차설정!$B$13:$B$27,$S$457))</f>
        <v/>
      </c>
      <c r="C467" s="8" t="n"/>
      <c r="D467" s="14">
        <f>IF($S$457="","",IF($R$455="언어와 매체",SUMPRODUCT((자동계산!$A$4:$A$48&gt;=INDEX(회차설정!$C$13:$C$27,$S$457))*(자동계산!$A$4:$A$48&lt;=INDEX(회차설정!$D$13:$D$27,$S$457))*자동계산!$E$4:$E$48),SUMPRODUCT((자동계산!$A$4:$A$48&gt;=INDEX(회차설정!$C$13:$C$27,$S$457))*(자동계산!$A$4:$A$48&lt;=INDEX(회차설정!$D$13:$D$27,$S$457))*자동계산!$C$4:$C$48)))</f>
        <v/>
      </c>
      <c r="E467" s="14">
        <f>IF(OR($S$457="",$R$454=""),"",SUM(OFFSET(전체채점!$AW$2,$R$454,INDEX(회차설정!$C$13:$C$27,$S$457),1,INDEX(회차설정!$D$13:$D$27,$S$457)-INDEX(회차설정!$C$13:$C$27,$S$457)+1)))</f>
        <v/>
      </c>
      <c r="F467" s="46">
        <f>IF(OR($S$457="",$D467=0,$D467="",$E467=""),"",$E467/$D467*100)</f>
        <v/>
      </c>
      <c r="G467" s="8" t="n"/>
      <c r="H467" s="47">
        <f>IF($F467="","",REPT("■",ROUND($F467/5,0)))</f>
        <v/>
      </c>
      <c r="I467" s="7" t="n"/>
      <c r="J467" s="7" t="n"/>
      <c r="K467" s="7" t="n"/>
      <c r="L467" s="7" t="n"/>
      <c r="M467" s="7" t="n"/>
      <c r="N467" s="7" t="n"/>
      <c r="O467" s="7" t="n"/>
      <c r="P467" s="8" t="n"/>
    </row>
    <row r="468">
      <c r="A468" s="14">
        <f>IF($S$458="","",INDEX(회차설정!$A$13:$A$27,$S$458))</f>
        <v/>
      </c>
      <c r="B468" s="14">
        <f>IF($S$458="","",INDEX(회차설정!$B$13:$B$27,$S$458))</f>
        <v/>
      </c>
      <c r="C468" s="8" t="n"/>
      <c r="D468" s="14">
        <f>IF($S$458="","",IF($R$455="언어와 매체",SUMPRODUCT((자동계산!$A$4:$A$48&gt;=INDEX(회차설정!$C$13:$C$27,$S$458))*(자동계산!$A$4:$A$48&lt;=INDEX(회차설정!$D$13:$D$27,$S$458))*자동계산!$E$4:$E$48),SUMPRODUCT((자동계산!$A$4:$A$48&gt;=INDEX(회차설정!$C$13:$C$27,$S$458))*(자동계산!$A$4:$A$48&lt;=INDEX(회차설정!$D$13:$D$27,$S$458))*자동계산!$C$4:$C$48)))</f>
        <v/>
      </c>
      <c r="E468" s="14">
        <f>IF(OR($S$458="",$R$454=""),"",SUM(OFFSET(전체채점!$AW$2,$R$454,INDEX(회차설정!$C$13:$C$27,$S$458),1,INDEX(회차설정!$D$13:$D$27,$S$458)-INDEX(회차설정!$C$13:$C$27,$S$458)+1)))</f>
        <v/>
      </c>
      <c r="F468" s="46">
        <f>IF(OR($S$458="",$D468=0,$D468="",$E468=""),"",$E468/$D468*100)</f>
        <v/>
      </c>
      <c r="G468" s="8" t="n"/>
      <c r="H468" s="47">
        <f>IF($F468="","",REPT("■",ROUND($F468/5,0)))</f>
        <v/>
      </c>
      <c r="I468" s="7" t="n"/>
      <c r="J468" s="7" t="n"/>
      <c r="K468" s="7" t="n"/>
      <c r="L468" s="7" t="n"/>
      <c r="M468" s="7" t="n"/>
      <c r="N468" s="7" t="n"/>
      <c r="O468" s="7" t="n"/>
      <c r="P468" s="8" t="n"/>
    </row>
    <row r="469">
      <c r="A469" s="14">
        <f>IF($S$459="","",INDEX(회차설정!$A$13:$A$27,$S$459))</f>
        <v/>
      </c>
      <c r="B469" s="14">
        <f>IF($S$459="","",INDEX(회차설정!$B$13:$B$27,$S$459))</f>
        <v/>
      </c>
      <c r="C469" s="8" t="n"/>
      <c r="D469" s="14">
        <f>IF($S$459="","",IF($R$455="언어와 매체",SUMPRODUCT((자동계산!$A$4:$A$48&gt;=INDEX(회차설정!$C$13:$C$27,$S$459))*(자동계산!$A$4:$A$48&lt;=INDEX(회차설정!$D$13:$D$27,$S$459))*자동계산!$E$4:$E$48),SUMPRODUCT((자동계산!$A$4:$A$48&gt;=INDEX(회차설정!$C$13:$C$27,$S$459))*(자동계산!$A$4:$A$48&lt;=INDEX(회차설정!$D$13:$D$27,$S$459))*자동계산!$C$4:$C$48)))</f>
        <v/>
      </c>
      <c r="E469" s="14">
        <f>IF(OR($S$459="",$R$454=""),"",SUM(OFFSET(전체채점!$AW$2,$R$454,INDEX(회차설정!$C$13:$C$27,$S$459),1,INDEX(회차설정!$D$13:$D$27,$S$459)-INDEX(회차설정!$C$13:$C$27,$S$459)+1)))</f>
        <v/>
      </c>
      <c r="F469" s="46">
        <f>IF(OR($S$459="",$D469=0,$D469="",$E469=""),"",$E469/$D469*100)</f>
        <v/>
      </c>
      <c r="G469" s="8" t="n"/>
      <c r="H469" s="47">
        <f>IF($F469="","",REPT("■",ROUND($F469/5,0)))</f>
        <v/>
      </c>
      <c r="I469" s="7" t="n"/>
      <c r="J469" s="7" t="n"/>
      <c r="K469" s="7" t="n"/>
      <c r="L469" s="7" t="n"/>
      <c r="M469" s="7" t="n"/>
      <c r="N469" s="7" t="n"/>
      <c r="O469" s="7" t="n"/>
      <c r="P469" s="8" t="n"/>
    </row>
    <row r="470">
      <c r="A470" s="14">
        <f>IF($S$460="","",INDEX(회차설정!$A$13:$A$27,$S$460))</f>
        <v/>
      </c>
      <c r="B470" s="14">
        <f>IF($S$460="","",INDEX(회차설정!$B$13:$B$27,$S$460))</f>
        <v/>
      </c>
      <c r="C470" s="8" t="n"/>
      <c r="D470" s="14">
        <f>IF($S$460="","",IF($R$455="언어와 매체",SUMPRODUCT((자동계산!$A$4:$A$48&gt;=INDEX(회차설정!$C$13:$C$27,$S$460))*(자동계산!$A$4:$A$48&lt;=INDEX(회차설정!$D$13:$D$27,$S$460))*자동계산!$E$4:$E$48),SUMPRODUCT((자동계산!$A$4:$A$48&gt;=INDEX(회차설정!$C$13:$C$27,$S$460))*(자동계산!$A$4:$A$48&lt;=INDEX(회차설정!$D$13:$D$27,$S$460))*자동계산!$C$4:$C$48)))</f>
        <v/>
      </c>
      <c r="E470" s="14">
        <f>IF(OR($S$460="",$R$454=""),"",SUM(OFFSET(전체채점!$AW$2,$R$454,INDEX(회차설정!$C$13:$C$27,$S$460),1,INDEX(회차설정!$D$13:$D$27,$S$460)-INDEX(회차설정!$C$13:$C$27,$S$460)+1)))</f>
        <v/>
      </c>
      <c r="F470" s="46">
        <f>IF(OR($S$460="",$D470=0,$D470="",$E470=""),"",$E470/$D470*100)</f>
        <v/>
      </c>
      <c r="G470" s="8" t="n"/>
      <c r="H470" s="47">
        <f>IF($F470="","",REPT("■",ROUND($F470/5,0)))</f>
        <v/>
      </c>
      <c r="I470" s="7" t="n"/>
      <c r="J470" s="7" t="n"/>
      <c r="K470" s="7" t="n"/>
      <c r="L470" s="7" t="n"/>
      <c r="M470" s="7" t="n"/>
      <c r="N470" s="7" t="n"/>
      <c r="O470" s="7" t="n"/>
      <c r="P470" s="8" t="n"/>
    </row>
    <row r="471">
      <c r="A471" s="14">
        <f>IF($S$461="","",INDEX(회차설정!$A$13:$A$27,$S$461))</f>
        <v/>
      </c>
      <c r="B471" s="14">
        <f>IF($S$461="","",INDEX(회차설정!$B$13:$B$27,$S$461))</f>
        <v/>
      </c>
      <c r="C471" s="8" t="n"/>
      <c r="D471" s="14">
        <f>IF($S$461="","",IF($R$455="언어와 매체",SUMPRODUCT((자동계산!$A$4:$A$48&gt;=INDEX(회차설정!$C$13:$C$27,$S$461))*(자동계산!$A$4:$A$48&lt;=INDEX(회차설정!$D$13:$D$27,$S$461))*자동계산!$E$4:$E$48),SUMPRODUCT((자동계산!$A$4:$A$48&gt;=INDEX(회차설정!$C$13:$C$27,$S$461))*(자동계산!$A$4:$A$48&lt;=INDEX(회차설정!$D$13:$D$27,$S$461))*자동계산!$C$4:$C$48)))</f>
        <v/>
      </c>
      <c r="E471" s="14">
        <f>IF(OR($S$461="",$R$454=""),"",SUM(OFFSET(전체채점!$AW$2,$R$454,INDEX(회차설정!$C$13:$C$27,$S$461),1,INDEX(회차설정!$D$13:$D$27,$S$461)-INDEX(회차설정!$C$13:$C$27,$S$461)+1)))</f>
        <v/>
      </c>
      <c r="F471" s="46">
        <f>IF(OR($S$461="",$D471=0,$D471="",$E471=""),"",$E471/$D471*100)</f>
        <v/>
      </c>
      <c r="G471" s="8" t="n"/>
      <c r="H471" s="47">
        <f>IF($F471="","",REPT("■",ROUND($F471/5,0)))</f>
        <v/>
      </c>
      <c r="I471" s="7" t="n"/>
      <c r="J471" s="7" t="n"/>
      <c r="K471" s="7" t="n"/>
      <c r="L471" s="7" t="n"/>
      <c r="M471" s="7" t="n"/>
      <c r="N471" s="7" t="n"/>
      <c r="O471" s="7" t="n"/>
      <c r="P471" s="8" t="n"/>
    </row>
    <row r="472">
      <c r="A472" s="14">
        <f>IF($S$462="","",INDEX(회차설정!$A$13:$A$27,$S$462))</f>
        <v/>
      </c>
      <c r="B472" s="14">
        <f>IF($S$462="","",INDEX(회차설정!$B$13:$B$27,$S$462))</f>
        <v/>
      </c>
      <c r="C472" s="8" t="n"/>
      <c r="D472" s="14">
        <f>IF($S$462="","",IF($R$455="언어와 매체",SUMPRODUCT((자동계산!$A$4:$A$48&gt;=INDEX(회차설정!$C$13:$C$27,$S$462))*(자동계산!$A$4:$A$48&lt;=INDEX(회차설정!$D$13:$D$27,$S$462))*자동계산!$E$4:$E$48),SUMPRODUCT((자동계산!$A$4:$A$48&gt;=INDEX(회차설정!$C$13:$C$27,$S$462))*(자동계산!$A$4:$A$48&lt;=INDEX(회차설정!$D$13:$D$27,$S$462))*자동계산!$C$4:$C$48)))</f>
        <v/>
      </c>
      <c r="E472" s="14">
        <f>IF(OR($S$462="",$R$454=""),"",SUM(OFFSET(전체채점!$AW$2,$R$454,INDEX(회차설정!$C$13:$C$27,$S$462),1,INDEX(회차설정!$D$13:$D$27,$S$462)-INDEX(회차설정!$C$13:$C$27,$S$462)+1)))</f>
        <v/>
      </c>
      <c r="F472" s="46">
        <f>IF(OR($S$462="",$D472=0,$D472="",$E472=""),"",$E472/$D472*100)</f>
        <v/>
      </c>
      <c r="G472" s="8" t="n"/>
      <c r="H472" s="47">
        <f>IF($F472="","",REPT("■",ROUND($F472/5,0)))</f>
        <v/>
      </c>
      <c r="I472" s="7" t="n"/>
      <c r="J472" s="7" t="n"/>
      <c r="K472" s="7" t="n"/>
      <c r="L472" s="7" t="n"/>
      <c r="M472" s="7" t="n"/>
      <c r="N472" s="7" t="n"/>
      <c r="O472" s="7" t="n"/>
      <c r="P472" s="8" t="n"/>
    </row>
    <row r="473">
      <c r="A473" s="14">
        <f>IF($S$463="","",INDEX(회차설정!$A$13:$A$27,$S$463))</f>
        <v/>
      </c>
      <c r="B473" s="14">
        <f>IF($S$463="","",INDEX(회차설정!$B$13:$B$27,$S$463))</f>
        <v/>
      </c>
      <c r="C473" s="8" t="n"/>
      <c r="D473" s="14">
        <f>IF($S$463="","",IF($R$455="언어와 매체",SUMPRODUCT((자동계산!$A$4:$A$48&gt;=INDEX(회차설정!$C$13:$C$27,$S$463))*(자동계산!$A$4:$A$48&lt;=INDEX(회차설정!$D$13:$D$27,$S$463))*자동계산!$E$4:$E$48),SUMPRODUCT((자동계산!$A$4:$A$48&gt;=INDEX(회차설정!$C$13:$C$27,$S$463))*(자동계산!$A$4:$A$48&lt;=INDEX(회차설정!$D$13:$D$27,$S$463))*자동계산!$C$4:$C$48)))</f>
        <v/>
      </c>
      <c r="E473" s="14">
        <f>IF(OR($S$463="",$R$454=""),"",SUM(OFFSET(전체채점!$AW$2,$R$454,INDEX(회차설정!$C$13:$C$27,$S$463),1,INDEX(회차설정!$D$13:$D$27,$S$463)-INDEX(회차설정!$C$13:$C$27,$S$463)+1)))</f>
        <v/>
      </c>
      <c r="F473" s="46">
        <f>IF(OR($S$463="",$D473=0,$D473="",$E473=""),"",$E473/$D473*100)</f>
        <v/>
      </c>
      <c r="G473" s="8" t="n"/>
      <c r="H473" s="47">
        <f>IF($F473="","",REPT("■",ROUND($F473/5,0)))</f>
        <v/>
      </c>
      <c r="I473" s="7" t="n"/>
      <c r="J473" s="7" t="n"/>
      <c r="K473" s="7" t="n"/>
      <c r="L473" s="7" t="n"/>
      <c r="M473" s="7" t="n"/>
      <c r="N473" s="7" t="n"/>
      <c r="O473" s="7" t="n"/>
      <c r="P473" s="8" t="n"/>
    </row>
    <row r="474">
      <c r="A474" s="14">
        <f>IF($S$464="","",INDEX(회차설정!$A$13:$A$27,$S$464))</f>
        <v/>
      </c>
      <c r="B474" s="14">
        <f>IF($S$464="","",INDEX(회차설정!$B$13:$B$27,$S$464))</f>
        <v/>
      </c>
      <c r="C474" s="8" t="n"/>
      <c r="D474" s="14">
        <f>IF($S$464="","",IF($R$455="언어와 매체",SUMPRODUCT((자동계산!$A$4:$A$48&gt;=INDEX(회차설정!$C$13:$C$27,$S$464))*(자동계산!$A$4:$A$48&lt;=INDEX(회차설정!$D$13:$D$27,$S$464))*자동계산!$E$4:$E$48),SUMPRODUCT((자동계산!$A$4:$A$48&gt;=INDEX(회차설정!$C$13:$C$27,$S$464))*(자동계산!$A$4:$A$48&lt;=INDEX(회차설정!$D$13:$D$27,$S$464))*자동계산!$C$4:$C$48)))</f>
        <v/>
      </c>
      <c r="E474" s="14">
        <f>IF(OR($S$464="",$R$454=""),"",SUM(OFFSET(전체채점!$AW$2,$R$454,INDEX(회차설정!$C$13:$C$27,$S$464),1,INDEX(회차설정!$D$13:$D$27,$S$464)-INDEX(회차설정!$C$13:$C$27,$S$464)+1)))</f>
        <v/>
      </c>
      <c r="F474" s="46">
        <f>IF(OR($S$464="",$D474=0,$D474="",$E474=""),"",$E474/$D474*100)</f>
        <v/>
      </c>
      <c r="G474" s="8" t="n"/>
      <c r="H474" s="47">
        <f>IF($F474="","",REPT("■",ROUND($F474/5,0)))</f>
        <v/>
      </c>
      <c r="I474" s="7" t="n"/>
      <c r="J474" s="7" t="n"/>
      <c r="K474" s="7" t="n"/>
      <c r="L474" s="7" t="n"/>
      <c r="M474" s="7" t="n"/>
      <c r="N474" s="7" t="n"/>
      <c r="O474" s="7" t="n"/>
      <c r="P474" s="8" t="n"/>
    </row>
    <row r="475">
      <c r="A475" s="14">
        <f>IF($S$465="","",INDEX(회차설정!$A$13:$A$27,$S$465))</f>
        <v/>
      </c>
      <c r="B475" s="14">
        <f>IF($S$465="","",INDEX(회차설정!$B$13:$B$27,$S$465))</f>
        <v/>
      </c>
      <c r="C475" s="8" t="n"/>
      <c r="D475" s="14">
        <f>IF($S$465="","",IF($R$455="언어와 매체",SUMPRODUCT((자동계산!$A$4:$A$48&gt;=INDEX(회차설정!$C$13:$C$27,$S$465))*(자동계산!$A$4:$A$48&lt;=INDEX(회차설정!$D$13:$D$27,$S$465))*자동계산!$E$4:$E$48),SUMPRODUCT((자동계산!$A$4:$A$48&gt;=INDEX(회차설정!$C$13:$C$27,$S$465))*(자동계산!$A$4:$A$48&lt;=INDEX(회차설정!$D$13:$D$27,$S$465))*자동계산!$C$4:$C$48)))</f>
        <v/>
      </c>
      <c r="E475" s="14">
        <f>IF(OR($S$465="",$R$454=""),"",SUM(OFFSET(전체채점!$AW$2,$R$454,INDEX(회차설정!$C$13:$C$27,$S$465),1,INDEX(회차설정!$D$13:$D$27,$S$465)-INDEX(회차설정!$C$13:$C$27,$S$465)+1)))</f>
        <v/>
      </c>
      <c r="F475" s="46">
        <f>IF(OR($S$465="",$D475=0,$D475="",$E475=""),"",$E475/$D475*100)</f>
        <v/>
      </c>
      <c r="G475" s="8" t="n"/>
      <c r="H475" s="47">
        <f>IF($F475="","",REPT("■",ROUND($F475/5,0)))</f>
        <v/>
      </c>
      <c r="I475" s="7" t="n"/>
      <c r="J475" s="7" t="n"/>
      <c r="K475" s="7" t="n"/>
      <c r="L475" s="7" t="n"/>
      <c r="M475" s="7" t="n"/>
      <c r="N475" s="7" t="n"/>
      <c r="O475" s="7" t="n"/>
      <c r="P475" s="8" t="n"/>
    </row>
    <row r="476">
      <c r="A476" s="5">
        <f>IF($R$454="","","합계")</f>
        <v/>
      </c>
      <c r="B476" s="7" t="n"/>
      <c r="C476" s="8" t="n"/>
      <c r="D476" s="5">
        <f>IF($R$454="","",SUM(D464:D475))</f>
        <v/>
      </c>
      <c r="E476" s="5">
        <f>IF($R$454="","",SUM(E464:E475))</f>
        <v/>
      </c>
      <c r="F476" s="48">
        <f>IF(OR($D476=0,$D476=""),"",$E476/$D476*100)</f>
        <v/>
      </c>
      <c r="G476" s="8" t="n"/>
      <c r="H476" s="49">
        <f>IF($F476="","",REPT("■",ROUND($F476/5,0)))</f>
        <v/>
      </c>
      <c r="I476" s="7" t="n"/>
      <c r="J476" s="7" t="n"/>
      <c r="K476" s="7" t="n"/>
      <c r="L476" s="7" t="n"/>
      <c r="M476" s="7" t="n"/>
      <c r="N476" s="7" t="n"/>
      <c r="O476" s="7" t="n"/>
      <c r="P476" s="8" t="n"/>
    </row>
    <row r="478">
      <c r="A478" s="12" t="inlineStr">
        <is>
          <t>4. 문항 채점표</t>
        </is>
      </c>
    </row>
    <row r="479">
      <c r="A479" s="50" t="inlineStr">
        <is>
          <t>문항 번호</t>
        </is>
      </c>
      <c r="B479" s="51" t="n">
        <v>1</v>
      </c>
      <c r="C479" s="51" t="n">
        <v>2</v>
      </c>
      <c r="D479" s="51" t="n">
        <v>3</v>
      </c>
      <c r="E479" s="51" t="n">
        <v>4</v>
      </c>
      <c r="F479" s="51" t="n">
        <v>5</v>
      </c>
      <c r="G479" s="51" t="n">
        <v>6</v>
      </c>
      <c r="H479" s="51" t="n">
        <v>7</v>
      </c>
      <c r="I479" s="51" t="n">
        <v>8</v>
      </c>
      <c r="J479" s="51" t="n">
        <v>9</v>
      </c>
      <c r="K479" s="51" t="n">
        <v>10</v>
      </c>
      <c r="L479" s="51" t="n">
        <v>11</v>
      </c>
      <c r="M479" s="51" t="n">
        <v>12</v>
      </c>
      <c r="N479" s="51" t="n">
        <v>13</v>
      </c>
      <c r="O479" s="51" t="n">
        <v>14</v>
      </c>
      <c r="P479" s="51" t="n">
        <v>15</v>
      </c>
    </row>
    <row r="480">
      <c r="A480" s="52" t="inlineStr">
        <is>
          <t>정답</t>
        </is>
      </c>
      <c r="B480" s="33">
        <f>IF($R$455="","",IF($R$455="언어와 매체",자동계산!$D$4,자동계산!$B$4))</f>
        <v/>
      </c>
      <c r="C480" s="33">
        <f>IF($R$455="","",IF($R$455="언어와 매체",자동계산!$D$5,자동계산!$B$5))</f>
        <v/>
      </c>
      <c r="D480" s="33">
        <f>IF($R$455="","",IF($R$455="언어와 매체",자동계산!$D$6,자동계산!$B$6))</f>
        <v/>
      </c>
      <c r="E480" s="33">
        <f>IF($R$455="","",IF($R$455="언어와 매체",자동계산!$D$7,자동계산!$B$7))</f>
        <v/>
      </c>
      <c r="F480" s="33">
        <f>IF($R$455="","",IF($R$455="언어와 매체",자동계산!$D$8,자동계산!$B$8))</f>
        <v/>
      </c>
      <c r="G480" s="33">
        <f>IF($R$455="","",IF($R$455="언어와 매체",자동계산!$D$9,자동계산!$B$9))</f>
        <v/>
      </c>
      <c r="H480" s="33">
        <f>IF($R$455="","",IF($R$455="언어와 매체",자동계산!$D$10,자동계산!$B$10))</f>
        <v/>
      </c>
      <c r="I480" s="33">
        <f>IF($R$455="","",IF($R$455="언어와 매체",자동계산!$D$11,자동계산!$B$11))</f>
        <v/>
      </c>
      <c r="J480" s="33">
        <f>IF($R$455="","",IF($R$455="언어와 매체",자동계산!$D$12,자동계산!$B$12))</f>
        <v/>
      </c>
      <c r="K480" s="33">
        <f>IF($R$455="","",IF($R$455="언어와 매체",자동계산!$D$13,자동계산!$B$13))</f>
        <v/>
      </c>
      <c r="L480" s="33">
        <f>IF($R$455="","",IF($R$455="언어와 매체",자동계산!$D$14,자동계산!$B$14))</f>
        <v/>
      </c>
      <c r="M480" s="33">
        <f>IF($R$455="","",IF($R$455="언어와 매체",자동계산!$D$15,자동계산!$B$15))</f>
        <v/>
      </c>
      <c r="N480" s="33">
        <f>IF($R$455="","",IF($R$455="언어와 매체",자동계산!$D$16,자동계산!$B$16))</f>
        <v/>
      </c>
      <c r="O480" s="33">
        <f>IF($R$455="","",IF($R$455="언어와 매체",자동계산!$D$17,자동계산!$B$17))</f>
        <v/>
      </c>
      <c r="P480" s="33">
        <f>IF($R$455="","",IF($R$455="언어와 매체",자동계산!$D$18,자동계산!$B$18))</f>
        <v/>
      </c>
    </row>
    <row r="481">
      <c r="A481" s="52" t="inlineStr">
        <is>
          <t>학생답안</t>
        </is>
      </c>
      <c r="B481" s="33">
        <f>IF($R$454="","",INDEX(전체채점!E$3:E$62,$R$454))</f>
        <v/>
      </c>
      <c r="C481" s="33">
        <f>IF($R$454="","",INDEX(전체채점!F$3:F$62,$R$454))</f>
        <v/>
      </c>
      <c r="D481" s="33">
        <f>IF($R$454="","",INDEX(전체채점!G$3:G$62,$R$454))</f>
        <v/>
      </c>
      <c r="E481" s="33">
        <f>IF($R$454="","",INDEX(전체채점!H$3:H$62,$R$454))</f>
        <v/>
      </c>
      <c r="F481" s="33">
        <f>IF($R$454="","",INDEX(전체채점!I$3:I$62,$R$454))</f>
        <v/>
      </c>
      <c r="G481" s="33">
        <f>IF($R$454="","",INDEX(전체채점!J$3:J$62,$R$454))</f>
        <v/>
      </c>
      <c r="H481" s="33">
        <f>IF($R$454="","",INDEX(전체채점!K$3:K$62,$R$454))</f>
        <v/>
      </c>
      <c r="I481" s="33">
        <f>IF($R$454="","",INDEX(전체채점!L$3:L$62,$R$454))</f>
        <v/>
      </c>
      <c r="J481" s="33">
        <f>IF($R$454="","",INDEX(전체채점!M$3:M$62,$R$454))</f>
        <v/>
      </c>
      <c r="K481" s="33">
        <f>IF($R$454="","",INDEX(전체채점!N$3:N$62,$R$454))</f>
        <v/>
      </c>
      <c r="L481" s="33">
        <f>IF($R$454="","",INDEX(전체채점!O$3:O$62,$R$454))</f>
        <v/>
      </c>
      <c r="M481" s="33">
        <f>IF($R$454="","",INDEX(전체채점!P$3:P$62,$R$454))</f>
        <v/>
      </c>
      <c r="N481" s="33">
        <f>IF($R$454="","",INDEX(전체채점!Q$3:Q$62,$R$454))</f>
        <v/>
      </c>
      <c r="O481" s="33">
        <f>IF($R$454="","",INDEX(전체채점!R$3:R$62,$R$454))</f>
        <v/>
      </c>
      <c r="P481" s="33">
        <f>IF($R$454="","",INDEX(전체채점!S$3:S$62,$R$454))</f>
        <v/>
      </c>
    </row>
    <row r="482">
      <c r="A482" s="52" t="inlineStr">
        <is>
          <t>정오</t>
        </is>
      </c>
      <c r="B482" s="33">
        <f>IF($R$454="","",INDEX(전체채점!AX$3:AX$62,$R$454))</f>
        <v/>
      </c>
      <c r="C482" s="33">
        <f>IF($R$454="","",INDEX(전체채점!AY$3:AY$62,$R$454))</f>
        <v/>
      </c>
      <c r="D482" s="33">
        <f>IF($R$454="","",INDEX(전체채점!AZ$3:AZ$62,$R$454))</f>
        <v/>
      </c>
      <c r="E482" s="33">
        <f>IF($R$454="","",INDEX(전체채점!BA$3:BA$62,$R$454))</f>
        <v/>
      </c>
      <c r="F482" s="33">
        <f>IF($R$454="","",INDEX(전체채점!BB$3:BB$62,$R$454))</f>
        <v/>
      </c>
      <c r="G482" s="33">
        <f>IF($R$454="","",INDEX(전체채점!BC$3:BC$62,$R$454))</f>
        <v/>
      </c>
      <c r="H482" s="33">
        <f>IF($R$454="","",INDEX(전체채점!BD$3:BD$62,$R$454))</f>
        <v/>
      </c>
      <c r="I482" s="33">
        <f>IF($R$454="","",INDEX(전체채점!BE$3:BE$62,$R$454))</f>
        <v/>
      </c>
      <c r="J482" s="33">
        <f>IF($R$454="","",INDEX(전체채점!BF$3:BF$62,$R$454))</f>
        <v/>
      </c>
      <c r="K482" s="33">
        <f>IF($R$454="","",INDEX(전체채점!BG$3:BG$62,$R$454))</f>
        <v/>
      </c>
      <c r="L482" s="33">
        <f>IF($R$454="","",INDEX(전체채점!BH$3:BH$62,$R$454))</f>
        <v/>
      </c>
      <c r="M482" s="33">
        <f>IF($R$454="","",INDEX(전체채점!BI$3:BI$62,$R$454))</f>
        <v/>
      </c>
      <c r="N482" s="33">
        <f>IF($R$454="","",INDEX(전체채점!BJ$3:BJ$62,$R$454))</f>
        <v/>
      </c>
      <c r="O482" s="33">
        <f>IF($R$454="","",INDEX(전체채점!BK$3:BK$62,$R$454))</f>
        <v/>
      </c>
      <c r="P482" s="33">
        <f>IF($R$454="","",INDEX(전체채점!BL$3:BL$62,$R$454))</f>
        <v/>
      </c>
    </row>
    <row r="483">
      <c r="A483" s="50" t="inlineStr">
        <is>
          <t>문항 번호</t>
        </is>
      </c>
      <c r="B483" s="51" t="n">
        <v>16</v>
      </c>
      <c r="C483" s="51" t="n">
        <v>17</v>
      </c>
      <c r="D483" s="51" t="n">
        <v>18</v>
      </c>
      <c r="E483" s="51" t="n">
        <v>19</v>
      </c>
      <c r="F483" s="51" t="n">
        <v>20</v>
      </c>
      <c r="G483" s="51" t="n">
        <v>21</v>
      </c>
      <c r="H483" s="51" t="n">
        <v>22</v>
      </c>
      <c r="I483" s="51" t="n">
        <v>23</v>
      </c>
      <c r="J483" s="51" t="n">
        <v>24</v>
      </c>
      <c r="K483" s="51" t="n">
        <v>25</v>
      </c>
      <c r="L483" s="51" t="n">
        <v>26</v>
      </c>
      <c r="M483" s="51" t="n">
        <v>27</v>
      </c>
      <c r="N483" s="51" t="n">
        <v>28</v>
      </c>
      <c r="O483" s="51" t="n">
        <v>29</v>
      </c>
      <c r="P483" s="51" t="n">
        <v>30</v>
      </c>
    </row>
    <row r="484">
      <c r="A484" s="52" t="inlineStr">
        <is>
          <t>정답</t>
        </is>
      </c>
      <c r="B484" s="33">
        <f>IF($R$455="","",IF($R$455="언어와 매체",자동계산!$D$19,자동계산!$B$19))</f>
        <v/>
      </c>
      <c r="C484" s="33">
        <f>IF($R$455="","",IF($R$455="언어와 매체",자동계산!$D$20,자동계산!$B$20))</f>
        <v/>
      </c>
      <c r="D484" s="33">
        <f>IF($R$455="","",IF($R$455="언어와 매체",자동계산!$D$21,자동계산!$B$21))</f>
        <v/>
      </c>
      <c r="E484" s="33">
        <f>IF($R$455="","",IF($R$455="언어와 매체",자동계산!$D$22,자동계산!$B$22))</f>
        <v/>
      </c>
      <c r="F484" s="33">
        <f>IF($R$455="","",IF($R$455="언어와 매체",자동계산!$D$23,자동계산!$B$23))</f>
        <v/>
      </c>
      <c r="G484" s="33">
        <f>IF($R$455="","",IF($R$455="언어와 매체",자동계산!$D$24,자동계산!$B$24))</f>
        <v/>
      </c>
      <c r="H484" s="33">
        <f>IF($R$455="","",IF($R$455="언어와 매체",자동계산!$D$25,자동계산!$B$25))</f>
        <v/>
      </c>
      <c r="I484" s="33">
        <f>IF($R$455="","",IF($R$455="언어와 매체",자동계산!$D$26,자동계산!$B$26))</f>
        <v/>
      </c>
      <c r="J484" s="33">
        <f>IF($R$455="","",IF($R$455="언어와 매체",자동계산!$D$27,자동계산!$B$27))</f>
        <v/>
      </c>
      <c r="K484" s="33">
        <f>IF($R$455="","",IF($R$455="언어와 매체",자동계산!$D$28,자동계산!$B$28))</f>
        <v/>
      </c>
      <c r="L484" s="33">
        <f>IF($R$455="","",IF($R$455="언어와 매체",자동계산!$D$29,자동계산!$B$29))</f>
        <v/>
      </c>
      <c r="M484" s="33">
        <f>IF($R$455="","",IF($R$455="언어와 매체",자동계산!$D$30,자동계산!$B$30))</f>
        <v/>
      </c>
      <c r="N484" s="33">
        <f>IF($R$455="","",IF($R$455="언어와 매체",자동계산!$D$31,자동계산!$B$31))</f>
        <v/>
      </c>
      <c r="O484" s="33">
        <f>IF($R$455="","",IF($R$455="언어와 매체",자동계산!$D$32,자동계산!$B$32))</f>
        <v/>
      </c>
      <c r="P484" s="33">
        <f>IF($R$455="","",IF($R$455="언어와 매체",자동계산!$D$33,자동계산!$B$33))</f>
        <v/>
      </c>
    </row>
    <row r="485">
      <c r="A485" s="52" t="inlineStr">
        <is>
          <t>학생답안</t>
        </is>
      </c>
      <c r="B485" s="33">
        <f>IF($R$454="","",INDEX(전체채점!T$3:T$62,$R$454))</f>
        <v/>
      </c>
      <c r="C485" s="33">
        <f>IF($R$454="","",INDEX(전체채점!U$3:U$62,$R$454))</f>
        <v/>
      </c>
      <c r="D485" s="33">
        <f>IF($R$454="","",INDEX(전체채점!V$3:V$62,$R$454))</f>
        <v/>
      </c>
      <c r="E485" s="33">
        <f>IF($R$454="","",INDEX(전체채점!W$3:W$62,$R$454))</f>
        <v/>
      </c>
      <c r="F485" s="33">
        <f>IF($R$454="","",INDEX(전체채점!X$3:X$62,$R$454))</f>
        <v/>
      </c>
      <c r="G485" s="33">
        <f>IF($R$454="","",INDEX(전체채점!Y$3:Y$62,$R$454))</f>
        <v/>
      </c>
      <c r="H485" s="33">
        <f>IF($R$454="","",INDEX(전체채점!Z$3:Z$62,$R$454))</f>
        <v/>
      </c>
      <c r="I485" s="33">
        <f>IF($R$454="","",INDEX(전체채점!AA$3:AA$62,$R$454))</f>
        <v/>
      </c>
      <c r="J485" s="33">
        <f>IF($R$454="","",INDEX(전체채점!AB$3:AB$62,$R$454))</f>
        <v/>
      </c>
      <c r="K485" s="33">
        <f>IF($R$454="","",INDEX(전체채점!AC$3:AC$62,$R$454))</f>
        <v/>
      </c>
      <c r="L485" s="33">
        <f>IF($R$454="","",INDEX(전체채점!AD$3:AD$62,$R$454))</f>
        <v/>
      </c>
      <c r="M485" s="33">
        <f>IF($R$454="","",INDEX(전체채점!AE$3:AE$62,$R$454))</f>
        <v/>
      </c>
      <c r="N485" s="33">
        <f>IF($R$454="","",INDEX(전체채점!AF$3:AF$62,$R$454))</f>
        <v/>
      </c>
      <c r="O485" s="33">
        <f>IF($R$454="","",INDEX(전체채점!AG$3:AG$62,$R$454))</f>
        <v/>
      </c>
      <c r="P485" s="33">
        <f>IF($R$454="","",INDEX(전체채점!AH$3:AH$62,$R$454))</f>
        <v/>
      </c>
    </row>
    <row r="486">
      <c r="A486" s="52" t="inlineStr">
        <is>
          <t>정오</t>
        </is>
      </c>
      <c r="B486" s="33">
        <f>IF($R$454="","",INDEX(전체채점!BM$3:BM$62,$R$454))</f>
        <v/>
      </c>
      <c r="C486" s="33">
        <f>IF($R$454="","",INDEX(전체채점!BN$3:BN$62,$R$454))</f>
        <v/>
      </c>
      <c r="D486" s="33">
        <f>IF($R$454="","",INDEX(전체채점!BO$3:BO$62,$R$454))</f>
        <v/>
      </c>
      <c r="E486" s="33">
        <f>IF($R$454="","",INDEX(전체채점!BP$3:BP$62,$R$454))</f>
        <v/>
      </c>
      <c r="F486" s="33">
        <f>IF($R$454="","",INDEX(전체채점!BQ$3:BQ$62,$R$454))</f>
        <v/>
      </c>
      <c r="G486" s="33">
        <f>IF($R$454="","",INDEX(전체채점!BR$3:BR$62,$R$454))</f>
        <v/>
      </c>
      <c r="H486" s="33">
        <f>IF($R$454="","",INDEX(전체채점!BS$3:BS$62,$R$454))</f>
        <v/>
      </c>
      <c r="I486" s="33">
        <f>IF($R$454="","",INDEX(전체채점!BT$3:BT$62,$R$454))</f>
        <v/>
      </c>
      <c r="J486" s="33">
        <f>IF($R$454="","",INDEX(전체채점!BU$3:BU$62,$R$454))</f>
        <v/>
      </c>
      <c r="K486" s="33">
        <f>IF($R$454="","",INDEX(전체채점!BV$3:BV$62,$R$454))</f>
        <v/>
      </c>
      <c r="L486" s="33">
        <f>IF($R$454="","",INDEX(전체채점!BW$3:BW$62,$R$454))</f>
        <v/>
      </c>
      <c r="M486" s="33">
        <f>IF($R$454="","",INDEX(전체채점!BX$3:BX$62,$R$454))</f>
        <v/>
      </c>
      <c r="N486" s="33">
        <f>IF($R$454="","",INDEX(전체채점!BY$3:BY$62,$R$454))</f>
        <v/>
      </c>
      <c r="O486" s="33">
        <f>IF($R$454="","",INDEX(전체채점!BZ$3:BZ$62,$R$454))</f>
        <v/>
      </c>
      <c r="P486" s="33">
        <f>IF($R$454="","",INDEX(전체채점!CA$3:CA$62,$R$454))</f>
        <v/>
      </c>
    </row>
    <row r="487">
      <c r="A487" s="50" t="inlineStr">
        <is>
          <t>문항 번호</t>
        </is>
      </c>
      <c r="B487" s="51" t="n">
        <v>31</v>
      </c>
      <c r="C487" s="51" t="n">
        <v>32</v>
      </c>
      <c r="D487" s="51" t="n">
        <v>33</v>
      </c>
      <c r="E487" s="51" t="n">
        <v>34</v>
      </c>
      <c r="F487" s="51" t="n">
        <v>35</v>
      </c>
      <c r="G487" s="51" t="n">
        <v>36</v>
      </c>
      <c r="H487" s="51" t="n">
        <v>37</v>
      </c>
      <c r="I487" s="51" t="n">
        <v>38</v>
      </c>
      <c r="J487" s="51" t="n">
        <v>39</v>
      </c>
      <c r="K487" s="51" t="n">
        <v>40</v>
      </c>
      <c r="L487" s="51" t="n">
        <v>41</v>
      </c>
      <c r="M487" s="51" t="n">
        <v>42</v>
      </c>
      <c r="N487" s="51" t="n">
        <v>43</v>
      </c>
      <c r="O487" s="51" t="n">
        <v>44</v>
      </c>
      <c r="P487" s="51" t="n">
        <v>45</v>
      </c>
    </row>
    <row r="488">
      <c r="A488" s="52" t="inlineStr">
        <is>
          <t>정답</t>
        </is>
      </c>
      <c r="B488" s="33">
        <f>IF($R$455="","",IF($R$455="언어와 매체",자동계산!$D$34,자동계산!$B$34))</f>
        <v/>
      </c>
      <c r="C488" s="33">
        <f>IF($R$455="","",IF($R$455="언어와 매체",자동계산!$D$35,자동계산!$B$35))</f>
        <v/>
      </c>
      <c r="D488" s="33">
        <f>IF($R$455="","",IF($R$455="언어와 매체",자동계산!$D$36,자동계산!$B$36))</f>
        <v/>
      </c>
      <c r="E488" s="33">
        <f>IF($R$455="","",IF($R$455="언어와 매체",자동계산!$D$37,자동계산!$B$37))</f>
        <v/>
      </c>
      <c r="F488" s="33">
        <f>IF($R$455="","",IF($R$455="언어와 매체",자동계산!$D$38,자동계산!$B$38))</f>
        <v/>
      </c>
      <c r="G488" s="33">
        <f>IF($R$455="","",IF($R$455="언어와 매체",자동계산!$D$39,자동계산!$B$39))</f>
        <v/>
      </c>
      <c r="H488" s="33">
        <f>IF($R$455="","",IF($R$455="언어와 매체",자동계산!$D$40,자동계산!$B$40))</f>
        <v/>
      </c>
      <c r="I488" s="33">
        <f>IF($R$455="","",IF($R$455="언어와 매체",자동계산!$D$41,자동계산!$B$41))</f>
        <v/>
      </c>
      <c r="J488" s="33">
        <f>IF($R$455="","",IF($R$455="언어와 매체",자동계산!$D$42,자동계산!$B$42))</f>
        <v/>
      </c>
      <c r="K488" s="33">
        <f>IF($R$455="","",IF($R$455="언어와 매체",자동계산!$D$43,자동계산!$B$43))</f>
        <v/>
      </c>
      <c r="L488" s="33">
        <f>IF($R$455="","",IF($R$455="언어와 매체",자동계산!$D$44,자동계산!$B$44))</f>
        <v/>
      </c>
      <c r="M488" s="33">
        <f>IF($R$455="","",IF($R$455="언어와 매체",자동계산!$D$45,자동계산!$B$45))</f>
        <v/>
      </c>
      <c r="N488" s="33">
        <f>IF($R$455="","",IF($R$455="언어와 매체",자동계산!$D$46,자동계산!$B$46))</f>
        <v/>
      </c>
      <c r="O488" s="33">
        <f>IF($R$455="","",IF($R$455="언어와 매체",자동계산!$D$47,자동계산!$B$47))</f>
        <v/>
      </c>
      <c r="P488" s="33">
        <f>IF($R$455="","",IF($R$455="언어와 매체",자동계산!$D$48,자동계산!$B$48))</f>
        <v/>
      </c>
    </row>
    <row r="489">
      <c r="A489" s="52" t="inlineStr">
        <is>
          <t>학생답안</t>
        </is>
      </c>
      <c r="B489" s="33">
        <f>IF($R$454="","",INDEX(전체채점!AI$3:AI$62,$R$454))</f>
        <v/>
      </c>
      <c r="C489" s="33">
        <f>IF($R$454="","",INDEX(전체채점!AJ$3:AJ$62,$R$454))</f>
        <v/>
      </c>
      <c r="D489" s="33">
        <f>IF($R$454="","",INDEX(전체채점!AK$3:AK$62,$R$454))</f>
        <v/>
      </c>
      <c r="E489" s="33">
        <f>IF($R$454="","",INDEX(전체채점!AL$3:AL$62,$R$454))</f>
        <v/>
      </c>
      <c r="F489" s="33">
        <f>IF($R$454="","",INDEX(전체채점!AM$3:AM$62,$R$454))</f>
        <v/>
      </c>
      <c r="G489" s="33">
        <f>IF($R$454="","",INDEX(전체채점!AN$3:AN$62,$R$454))</f>
        <v/>
      </c>
      <c r="H489" s="33">
        <f>IF($R$454="","",INDEX(전체채점!AO$3:AO$62,$R$454))</f>
        <v/>
      </c>
      <c r="I489" s="33">
        <f>IF($R$454="","",INDEX(전체채점!AP$3:AP$62,$R$454))</f>
        <v/>
      </c>
      <c r="J489" s="33">
        <f>IF($R$454="","",INDEX(전체채점!AQ$3:AQ$62,$R$454))</f>
        <v/>
      </c>
      <c r="K489" s="33">
        <f>IF($R$454="","",INDEX(전체채점!AR$3:AR$62,$R$454))</f>
        <v/>
      </c>
      <c r="L489" s="33">
        <f>IF($R$454="","",INDEX(전체채점!AS$3:AS$62,$R$454))</f>
        <v/>
      </c>
      <c r="M489" s="33">
        <f>IF($R$454="","",INDEX(전체채점!AT$3:AT$62,$R$454))</f>
        <v/>
      </c>
      <c r="N489" s="33">
        <f>IF($R$454="","",INDEX(전체채점!AU$3:AU$62,$R$454))</f>
        <v/>
      </c>
      <c r="O489" s="33">
        <f>IF($R$454="","",INDEX(전체채점!AV$3:AV$62,$R$454))</f>
        <v/>
      </c>
      <c r="P489" s="33">
        <f>IF($R$454="","",INDEX(전체채점!AW$3:AW$62,$R$454))</f>
        <v/>
      </c>
    </row>
    <row r="490">
      <c r="A490" s="52" t="inlineStr">
        <is>
          <t>정오</t>
        </is>
      </c>
      <c r="B490" s="33">
        <f>IF($R$454="","",INDEX(전체채점!CB$3:CB$62,$R$454))</f>
        <v/>
      </c>
      <c r="C490" s="33">
        <f>IF($R$454="","",INDEX(전체채점!CC$3:CC$62,$R$454))</f>
        <v/>
      </c>
      <c r="D490" s="33">
        <f>IF($R$454="","",INDEX(전체채점!CD$3:CD$62,$R$454))</f>
        <v/>
      </c>
      <c r="E490" s="33">
        <f>IF($R$454="","",INDEX(전체채점!CE$3:CE$62,$R$454))</f>
        <v/>
      </c>
      <c r="F490" s="33">
        <f>IF($R$454="","",INDEX(전체채점!CF$3:CF$62,$R$454))</f>
        <v/>
      </c>
      <c r="G490" s="33">
        <f>IF($R$454="","",INDEX(전체채점!CG$3:CG$62,$R$454))</f>
        <v/>
      </c>
      <c r="H490" s="33">
        <f>IF($R$454="","",INDEX(전체채점!CH$3:CH$62,$R$454))</f>
        <v/>
      </c>
      <c r="I490" s="33">
        <f>IF($R$454="","",INDEX(전체채점!CI$3:CI$62,$R$454))</f>
        <v/>
      </c>
      <c r="J490" s="33">
        <f>IF($R$454="","",INDEX(전체채점!CJ$3:CJ$62,$R$454))</f>
        <v/>
      </c>
      <c r="K490" s="33">
        <f>IF($R$454="","",INDEX(전체채점!CK$3:CK$62,$R$454))</f>
        <v/>
      </c>
      <c r="L490" s="33">
        <f>IF($R$454="","",INDEX(전체채점!CL$3:CL$62,$R$454))</f>
        <v/>
      </c>
      <c r="M490" s="33">
        <f>IF($R$454="","",INDEX(전체채점!CM$3:CM$62,$R$454))</f>
        <v/>
      </c>
      <c r="N490" s="33">
        <f>IF($R$454="","",INDEX(전체채점!CN$3:CN$62,$R$454))</f>
        <v/>
      </c>
      <c r="O490" s="33">
        <f>IF($R$454="","",INDEX(전체채점!CO$3:CO$62,$R$454))</f>
        <v/>
      </c>
      <c r="P490" s="33">
        <f>IF($R$454="","",INDEX(전체채점!CP$3:CP$62,$R$454))</f>
        <v/>
      </c>
    </row>
    <row r="493" ht="34" customHeight="1">
      <c r="A493" s="36">
        <f>IF($R$495="","",회차설정!$B$2&amp;" 성적표")</f>
        <v/>
      </c>
    </row>
    <row r="495">
      <c r="A495" s="12" t="inlineStr">
        <is>
          <t>1. 학생정보</t>
        </is>
      </c>
      <c r="R495" s="37">
        <f>IF(답안입력!$A$15="","",13)</f>
        <v/>
      </c>
      <c r="S495" s="37">
        <f>IF($R$496="","",IFERROR(IF($R$496="언어와 매체",MATCH(1,회차설정!$G$13:$G$27,0),MATCH(1,회차설정!$F$13:$F$27,0)),""))</f>
        <v/>
      </c>
    </row>
    <row r="496">
      <c r="A496" s="13" t="inlineStr">
        <is>
          <t>성명</t>
        </is>
      </c>
      <c r="B496" s="7" t="n"/>
      <c r="C496" s="8" t="n"/>
      <c r="D496" s="13" t="inlineStr">
        <is>
          <t>선택과목</t>
        </is>
      </c>
      <c r="E496" s="7" t="n"/>
      <c r="F496" s="7" t="n"/>
      <c r="G496" s="8" t="n"/>
      <c r="H496" s="13" t="inlineStr">
        <is>
          <t>학년</t>
        </is>
      </c>
      <c r="I496" s="7" t="n"/>
      <c r="J496" s="7" t="n"/>
      <c r="K496" s="8" t="n"/>
      <c r="L496" s="13" t="inlineStr">
        <is>
          <t>시행일</t>
        </is>
      </c>
      <c r="M496" s="7" t="n"/>
      <c r="N496" s="7" t="n"/>
      <c r="O496" s="7" t="n"/>
      <c r="P496" s="8" t="n"/>
      <c r="R496" s="37">
        <f>IF($R$495="","",INDEX(전체채점!$B$3:$B$62,$R$495))</f>
        <v/>
      </c>
      <c r="S496" s="37">
        <f>IF($R$496="","",IFERROR(IF($R$496="언어와 매체",MATCH(2,회차설정!$G$13:$G$27,0),MATCH(2,회차설정!$F$13:$F$27,0)),""))</f>
        <v/>
      </c>
    </row>
    <row r="497" ht="26" customHeight="1">
      <c r="A497" s="39">
        <f>IF($R$495="","",INDEX(답안입력!$A$3:$A$62,$R$495))</f>
        <v/>
      </c>
      <c r="B497" s="7" t="n"/>
      <c r="C497" s="8" t="n"/>
      <c r="D497" s="39">
        <f>IF($R$495="","",INDEX(답안입력!$C$3:$C$62,$R$495))</f>
        <v/>
      </c>
      <c r="E497" s="7" t="n"/>
      <c r="F497" s="7" t="n"/>
      <c r="G497" s="8" t="n"/>
      <c r="H497" s="39">
        <f>IF($R$495="","",INDEX(답안입력!$B$3:$B$62,$R$495))</f>
        <v/>
      </c>
      <c r="I497" s="7" t="n"/>
      <c r="J497" s="7" t="n"/>
      <c r="K497" s="8" t="n"/>
      <c r="L497" s="40">
        <f>회차설정!$B$3</f>
        <v/>
      </c>
      <c r="M497" s="7" t="n"/>
      <c r="N497" s="7" t="n"/>
      <c r="O497" s="7" t="n"/>
      <c r="P497" s="8" t="n"/>
      <c r="R497" s="37">
        <f>IF($R$496="언어와 매체",회차설정!$B$9,회차설정!$B$8)</f>
        <v/>
      </c>
      <c r="S497" s="37">
        <f>IF($R$496="","",IFERROR(IF($R$496="언어와 매체",MATCH(3,회차설정!$G$13:$G$27,0),MATCH(3,회차설정!$F$13:$F$27,0)),""))</f>
        <v/>
      </c>
    </row>
    <row r="498">
      <c r="R498" s="37">
        <f>IF($R$496="언어와 매체",회차설정!$C$9,회차설정!$C$8)</f>
        <v/>
      </c>
      <c r="S498" s="37">
        <f>IF($R$496="","",IFERROR(IF($R$496="언어와 매체",MATCH(4,회차설정!$G$13:$G$27,0),MATCH(4,회차설정!$F$13:$F$27,0)),""))</f>
        <v/>
      </c>
    </row>
    <row r="499">
      <c r="A499" s="12" t="inlineStr">
        <is>
          <t>2. 성적</t>
        </is>
      </c>
      <c r="R499" s="37">
        <f>IF($R$496="언어와 매체",회차설정!$D$9,회차설정!$D$8)</f>
        <v/>
      </c>
      <c r="S499" s="37">
        <f>IF($R$496="","",IFERROR(IF($R$496="언어와 매체",MATCH(5,회차설정!$G$13:$G$27,0),MATCH(5,회차설정!$F$13:$F$27,0)),""))</f>
        <v/>
      </c>
    </row>
    <row r="500">
      <c r="A500" s="13" t="inlineStr">
        <is>
          <t>점수 (100점 만점)</t>
        </is>
      </c>
      <c r="B500" s="7" t="n"/>
      <c r="C500" s="7" t="n"/>
      <c r="D500" s="7" t="n"/>
      <c r="E500" s="8" t="n"/>
      <c r="F500" s="13" t="inlineStr">
        <is>
          <t>등급</t>
        </is>
      </c>
      <c r="G500" s="7" t="n"/>
      <c r="H500" s="8" t="n"/>
      <c r="I500" s="13" t="inlineStr">
        <is>
          <t>등급컷</t>
        </is>
      </c>
      <c r="J500" s="7" t="n"/>
      <c r="K500" s="7" t="n"/>
      <c r="L500" s="8" t="n"/>
      <c r="M500" s="13" t="inlineStr">
        <is>
          <t>같은 선택과목 평균</t>
        </is>
      </c>
      <c r="N500" s="7" t="n"/>
      <c r="O500" s="7" t="n"/>
      <c r="P500" s="8" t="n"/>
      <c r="R500" s="37">
        <f>IF($R$496="언어와 매체",회차설정!$E$9,회차설정!$E$8)</f>
        <v/>
      </c>
      <c r="S500" s="37">
        <f>IF($R$496="","",IFERROR(IF($R$496="언어와 매체",MATCH(6,회차설정!$G$13:$G$27,0),MATCH(6,회차설정!$F$13:$F$27,0)),""))</f>
        <v/>
      </c>
    </row>
    <row r="501" ht="34" customHeight="1">
      <c r="A501" s="41">
        <f>IF($R$495="","",INDEX(전체채점!$C$3:$C$62,$R$495))</f>
        <v/>
      </c>
      <c r="B501" s="7" t="n"/>
      <c r="C501" s="7" t="n"/>
      <c r="D501" s="7" t="n"/>
      <c r="E501" s="8" t="n"/>
      <c r="F501" s="42">
        <f>IF($R$495="","",INDEX(전체채점!$D$3:$D$62,$R$495))</f>
        <v/>
      </c>
      <c r="G501" s="7" t="n"/>
      <c r="H501" s="8" t="n"/>
      <c r="I501" s="43">
        <f>IF($R$495="","",$R$497&amp;"-"&amp;$R$498&amp;"-"&amp;$R$499&amp;"-"&amp;$R$500)</f>
        <v/>
      </c>
      <c r="J501" s="7" t="n"/>
      <c r="K501" s="7" t="n"/>
      <c r="L501" s="8" t="n"/>
      <c r="M501" s="44">
        <f>IFERROR(AVERAGEIF(전체채점!$B$3:$B$62,$R$496,전체채점!$C$3:$C$62),"")</f>
        <v/>
      </c>
      <c r="N501" s="7" t="n"/>
      <c r="O501" s="7" t="n"/>
      <c r="P501" s="8" t="n"/>
      <c r="S501" s="37">
        <f>IF($R$496="","",IFERROR(IF($R$496="언어와 매체",MATCH(7,회차설정!$G$13:$G$27,0),MATCH(7,회차설정!$F$13:$F$27,0)),""))</f>
        <v/>
      </c>
    </row>
    <row r="502">
      <c r="S502" s="37">
        <f>IF($R$496="","",IFERROR(IF($R$496="언어와 매체",MATCH(8,회차설정!$G$13:$G$27,0),MATCH(8,회차설정!$F$13:$F$27,0)),""))</f>
        <v/>
      </c>
    </row>
    <row r="503">
      <c r="A503" s="12" t="inlineStr">
        <is>
          <t>3. 영역분류별 성취도 분석</t>
        </is>
      </c>
      <c r="F503" s="45">
        <f>IF(OR($R$495="",$E517=""),"",IF($E517=INDEX(전체채점!$C$3:$C$62,$R$495),"","※ 회차설정의 영역 표를 확인하세요 — 영역 합계와 점수가 다릅니다"))</f>
        <v/>
      </c>
      <c r="S503" s="37">
        <f>IF($R$496="","",IFERROR(IF($R$496="언어와 매체",MATCH(9,회차설정!$G$13:$G$27,0),MATCH(9,회차설정!$F$13:$F$27,0)),""))</f>
        <v/>
      </c>
    </row>
    <row r="504">
      <c r="A504" s="13" t="inlineStr">
        <is>
          <t>분류</t>
        </is>
      </c>
      <c r="B504" s="13" t="inlineStr">
        <is>
          <t>영역</t>
        </is>
      </c>
      <c r="C504" s="8" t="n"/>
      <c r="D504" s="13" t="inlineStr">
        <is>
          <t>배점</t>
        </is>
      </c>
      <c r="E504" s="13" t="inlineStr">
        <is>
          <t>득점</t>
        </is>
      </c>
      <c r="F504" s="13" t="inlineStr">
        <is>
          <t>성취도(%)</t>
        </is>
      </c>
      <c r="G504" s="8" t="n"/>
      <c r="H504" s="13" t="inlineStr"/>
      <c r="I504" s="7" t="n"/>
      <c r="J504" s="7" t="n"/>
      <c r="K504" s="7" t="n"/>
      <c r="L504" s="7" t="n"/>
      <c r="M504" s="7" t="n"/>
      <c r="N504" s="7" t="n"/>
      <c r="O504" s="7" t="n"/>
      <c r="P504" s="8" t="n"/>
      <c r="S504" s="37">
        <f>IF($R$496="","",IFERROR(IF($R$496="언어와 매체",MATCH(10,회차설정!$G$13:$G$27,0),MATCH(10,회차설정!$F$13:$F$27,0)),""))</f>
        <v/>
      </c>
    </row>
    <row r="505">
      <c r="A505" s="14">
        <f>IF($S$495="","",INDEX(회차설정!$A$13:$A$27,$S$495))</f>
        <v/>
      </c>
      <c r="B505" s="14">
        <f>IF($S$495="","",INDEX(회차설정!$B$13:$B$27,$S$495))</f>
        <v/>
      </c>
      <c r="C505" s="8" t="n"/>
      <c r="D505" s="14">
        <f>IF($S$495="","",IF($R$496="언어와 매체",SUMPRODUCT((자동계산!$A$4:$A$48&gt;=INDEX(회차설정!$C$13:$C$27,$S$495))*(자동계산!$A$4:$A$48&lt;=INDEX(회차설정!$D$13:$D$27,$S$495))*자동계산!$E$4:$E$48),SUMPRODUCT((자동계산!$A$4:$A$48&gt;=INDEX(회차설정!$C$13:$C$27,$S$495))*(자동계산!$A$4:$A$48&lt;=INDEX(회차설정!$D$13:$D$27,$S$495))*자동계산!$C$4:$C$48)))</f>
        <v/>
      </c>
      <c r="E505" s="14">
        <f>IF(OR($S$495="",$R$495=""),"",SUM(OFFSET(전체채점!$AW$2,$R$495,INDEX(회차설정!$C$13:$C$27,$S$495),1,INDEX(회차설정!$D$13:$D$27,$S$495)-INDEX(회차설정!$C$13:$C$27,$S$495)+1)))</f>
        <v/>
      </c>
      <c r="F505" s="46">
        <f>IF(OR($S$495="",$D505=0,$D505="",$E505=""),"",$E505/$D505*100)</f>
        <v/>
      </c>
      <c r="G505" s="8" t="n"/>
      <c r="H505" s="47">
        <f>IF($F505="","",REPT("■",ROUND($F505/5,0)))</f>
        <v/>
      </c>
      <c r="I505" s="7" t="n"/>
      <c r="J505" s="7" t="n"/>
      <c r="K505" s="7" t="n"/>
      <c r="L505" s="7" t="n"/>
      <c r="M505" s="7" t="n"/>
      <c r="N505" s="7" t="n"/>
      <c r="O505" s="7" t="n"/>
      <c r="P505" s="8" t="n"/>
      <c r="S505" s="37">
        <f>IF($R$496="","",IFERROR(IF($R$496="언어와 매체",MATCH(11,회차설정!$G$13:$G$27,0),MATCH(11,회차설정!$F$13:$F$27,0)),""))</f>
        <v/>
      </c>
    </row>
    <row r="506">
      <c r="A506" s="14">
        <f>IF($S$496="","",INDEX(회차설정!$A$13:$A$27,$S$496))</f>
        <v/>
      </c>
      <c r="B506" s="14">
        <f>IF($S$496="","",INDEX(회차설정!$B$13:$B$27,$S$496))</f>
        <v/>
      </c>
      <c r="C506" s="8" t="n"/>
      <c r="D506" s="14">
        <f>IF($S$496="","",IF($R$496="언어와 매체",SUMPRODUCT((자동계산!$A$4:$A$48&gt;=INDEX(회차설정!$C$13:$C$27,$S$496))*(자동계산!$A$4:$A$48&lt;=INDEX(회차설정!$D$13:$D$27,$S$496))*자동계산!$E$4:$E$48),SUMPRODUCT((자동계산!$A$4:$A$48&gt;=INDEX(회차설정!$C$13:$C$27,$S$496))*(자동계산!$A$4:$A$48&lt;=INDEX(회차설정!$D$13:$D$27,$S$496))*자동계산!$C$4:$C$48)))</f>
        <v/>
      </c>
      <c r="E506" s="14">
        <f>IF(OR($S$496="",$R$495=""),"",SUM(OFFSET(전체채점!$AW$2,$R$495,INDEX(회차설정!$C$13:$C$27,$S$496),1,INDEX(회차설정!$D$13:$D$27,$S$496)-INDEX(회차설정!$C$13:$C$27,$S$496)+1)))</f>
        <v/>
      </c>
      <c r="F506" s="46">
        <f>IF(OR($S$496="",$D506=0,$D506="",$E506=""),"",$E506/$D506*100)</f>
        <v/>
      </c>
      <c r="G506" s="8" t="n"/>
      <c r="H506" s="47">
        <f>IF($F506="","",REPT("■",ROUND($F506/5,0)))</f>
        <v/>
      </c>
      <c r="I506" s="7" t="n"/>
      <c r="J506" s="7" t="n"/>
      <c r="K506" s="7" t="n"/>
      <c r="L506" s="7" t="n"/>
      <c r="M506" s="7" t="n"/>
      <c r="N506" s="7" t="n"/>
      <c r="O506" s="7" t="n"/>
      <c r="P506" s="8" t="n"/>
      <c r="S506" s="37">
        <f>IF($R$496="","",IFERROR(IF($R$496="언어와 매체",MATCH(12,회차설정!$G$13:$G$27,0),MATCH(12,회차설정!$F$13:$F$27,0)),""))</f>
        <v/>
      </c>
    </row>
    <row r="507">
      <c r="A507" s="14">
        <f>IF($S$497="","",INDEX(회차설정!$A$13:$A$27,$S$497))</f>
        <v/>
      </c>
      <c r="B507" s="14">
        <f>IF($S$497="","",INDEX(회차설정!$B$13:$B$27,$S$497))</f>
        <v/>
      </c>
      <c r="C507" s="8" t="n"/>
      <c r="D507" s="14">
        <f>IF($S$497="","",IF($R$496="언어와 매체",SUMPRODUCT((자동계산!$A$4:$A$48&gt;=INDEX(회차설정!$C$13:$C$27,$S$497))*(자동계산!$A$4:$A$48&lt;=INDEX(회차설정!$D$13:$D$27,$S$497))*자동계산!$E$4:$E$48),SUMPRODUCT((자동계산!$A$4:$A$48&gt;=INDEX(회차설정!$C$13:$C$27,$S$497))*(자동계산!$A$4:$A$48&lt;=INDEX(회차설정!$D$13:$D$27,$S$497))*자동계산!$C$4:$C$48)))</f>
        <v/>
      </c>
      <c r="E507" s="14">
        <f>IF(OR($S$497="",$R$495=""),"",SUM(OFFSET(전체채점!$AW$2,$R$495,INDEX(회차설정!$C$13:$C$27,$S$497),1,INDEX(회차설정!$D$13:$D$27,$S$497)-INDEX(회차설정!$C$13:$C$27,$S$497)+1)))</f>
        <v/>
      </c>
      <c r="F507" s="46">
        <f>IF(OR($S$497="",$D507=0,$D507="",$E507=""),"",$E507/$D507*100)</f>
        <v/>
      </c>
      <c r="G507" s="8" t="n"/>
      <c r="H507" s="47">
        <f>IF($F507="","",REPT("■",ROUND($F507/5,0)))</f>
        <v/>
      </c>
      <c r="I507" s="7" t="n"/>
      <c r="J507" s="7" t="n"/>
      <c r="K507" s="7" t="n"/>
      <c r="L507" s="7" t="n"/>
      <c r="M507" s="7" t="n"/>
      <c r="N507" s="7" t="n"/>
      <c r="O507" s="7" t="n"/>
      <c r="P507" s="8" t="n"/>
    </row>
    <row r="508">
      <c r="A508" s="14">
        <f>IF($S$498="","",INDEX(회차설정!$A$13:$A$27,$S$498))</f>
        <v/>
      </c>
      <c r="B508" s="14">
        <f>IF($S$498="","",INDEX(회차설정!$B$13:$B$27,$S$498))</f>
        <v/>
      </c>
      <c r="C508" s="8" t="n"/>
      <c r="D508" s="14">
        <f>IF($S$498="","",IF($R$496="언어와 매체",SUMPRODUCT((자동계산!$A$4:$A$48&gt;=INDEX(회차설정!$C$13:$C$27,$S$498))*(자동계산!$A$4:$A$48&lt;=INDEX(회차설정!$D$13:$D$27,$S$498))*자동계산!$E$4:$E$48),SUMPRODUCT((자동계산!$A$4:$A$48&gt;=INDEX(회차설정!$C$13:$C$27,$S$498))*(자동계산!$A$4:$A$48&lt;=INDEX(회차설정!$D$13:$D$27,$S$498))*자동계산!$C$4:$C$48)))</f>
        <v/>
      </c>
      <c r="E508" s="14">
        <f>IF(OR($S$498="",$R$495=""),"",SUM(OFFSET(전체채점!$AW$2,$R$495,INDEX(회차설정!$C$13:$C$27,$S$498),1,INDEX(회차설정!$D$13:$D$27,$S$498)-INDEX(회차설정!$C$13:$C$27,$S$498)+1)))</f>
        <v/>
      </c>
      <c r="F508" s="46">
        <f>IF(OR($S$498="",$D508=0,$D508="",$E508=""),"",$E508/$D508*100)</f>
        <v/>
      </c>
      <c r="G508" s="8" t="n"/>
      <c r="H508" s="47">
        <f>IF($F508="","",REPT("■",ROUND($F508/5,0)))</f>
        <v/>
      </c>
      <c r="I508" s="7" t="n"/>
      <c r="J508" s="7" t="n"/>
      <c r="K508" s="7" t="n"/>
      <c r="L508" s="7" t="n"/>
      <c r="M508" s="7" t="n"/>
      <c r="N508" s="7" t="n"/>
      <c r="O508" s="7" t="n"/>
      <c r="P508" s="8" t="n"/>
    </row>
    <row r="509">
      <c r="A509" s="14">
        <f>IF($S$499="","",INDEX(회차설정!$A$13:$A$27,$S$499))</f>
        <v/>
      </c>
      <c r="B509" s="14">
        <f>IF($S$499="","",INDEX(회차설정!$B$13:$B$27,$S$499))</f>
        <v/>
      </c>
      <c r="C509" s="8" t="n"/>
      <c r="D509" s="14">
        <f>IF($S$499="","",IF($R$496="언어와 매체",SUMPRODUCT((자동계산!$A$4:$A$48&gt;=INDEX(회차설정!$C$13:$C$27,$S$499))*(자동계산!$A$4:$A$48&lt;=INDEX(회차설정!$D$13:$D$27,$S$499))*자동계산!$E$4:$E$48),SUMPRODUCT((자동계산!$A$4:$A$48&gt;=INDEX(회차설정!$C$13:$C$27,$S$499))*(자동계산!$A$4:$A$48&lt;=INDEX(회차설정!$D$13:$D$27,$S$499))*자동계산!$C$4:$C$48)))</f>
        <v/>
      </c>
      <c r="E509" s="14">
        <f>IF(OR($S$499="",$R$495=""),"",SUM(OFFSET(전체채점!$AW$2,$R$495,INDEX(회차설정!$C$13:$C$27,$S$499),1,INDEX(회차설정!$D$13:$D$27,$S$499)-INDEX(회차설정!$C$13:$C$27,$S$499)+1)))</f>
        <v/>
      </c>
      <c r="F509" s="46">
        <f>IF(OR($S$499="",$D509=0,$D509="",$E509=""),"",$E509/$D509*100)</f>
        <v/>
      </c>
      <c r="G509" s="8" t="n"/>
      <c r="H509" s="47">
        <f>IF($F509="","",REPT("■",ROUND($F509/5,0)))</f>
        <v/>
      </c>
      <c r="I509" s="7" t="n"/>
      <c r="J509" s="7" t="n"/>
      <c r="K509" s="7" t="n"/>
      <c r="L509" s="7" t="n"/>
      <c r="M509" s="7" t="n"/>
      <c r="N509" s="7" t="n"/>
      <c r="O509" s="7" t="n"/>
      <c r="P509" s="8" t="n"/>
    </row>
    <row r="510">
      <c r="A510" s="14">
        <f>IF($S$500="","",INDEX(회차설정!$A$13:$A$27,$S$500))</f>
        <v/>
      </c>
      <c r="B510" s="14">
        <f>IF($S$500="","",INDEX(회차설정!$B$13:$B$27,$S$500))</f>
        <v/>
      </c>
      <c r="C510" s="8" t="n"/>
      <c r="D510" s="14">
        <f>IF($S$500="","",IF($R$496="언어와 매체",SUMPRODUCT((자동계산!$A$4:$A$48&gt;=INDEX(회차설정!$C$13:$C$27,$S$500))*(자동계산!$A$4:$A$48&lt;=INDEX(회차설정!$D$13:$D$27,$S$500))*자동계산!$E$4:$E$48),SUMPRODUCT((자동계산!$A$4:$A$48&gt;=INDEX(회차설정!$C$13:$C$27,$S$500))*(자동계산!$A$4:$A$48&lt;=INDEX(회차설정!$D$13:$D$27,$S$500))*자동계산!$C$4:$C$48)))</f>
        <v/>
      </c>
      <c r="E510" s="14">
        <f>IF(OR($S$500="",$R$495=""),"",SUM(OFFSET(전체채점!$AW$2,$R$495,INDEX(회차설정!$C$13:$C$27,$S$500),1,INDEX(회차설정!$D$13:$D$27,$S$500)-INDEX(회차설정!$C$13:$C$27,$S$500)+1)))</f>
        <v/>
      </c>
      <c r="F510" s="46">
        <f>IF(OR($S$500="",$D510=0,$D510="",$E510=""),"",$E510/$D510*100)</f>
        <v/>
      </c>
      <c r="G510" s="8" t="n"/>
      <c r="H510" s="47">
        <f>IF($F510="","",REPT("■",ROUND($F510/5,0)))</f>
        <v/>
      </c>
      <c r="I510" s="7" t="n"/>
      <c r="J510" s="7" t="n"/>
      <c r="K510" s="7" t="n"/>
      <c r="L510" s="7" t="n"/>
      <c r="M510" s="7" t="n"/>
      <c r="N510" s="7" t="n"/>
      <c r="O510" s="7" t="n"/>
      <c r="P510" s="8" t="n"/>
    </row>
    <row r="511">
      <c r="A511" s="14">
        <f>IF($S$501="","",INDEX(회차설정!$A$13:$A$27,$S$501))</f>
        <v/>
      </c>
      <c r="B511" s="14">
        <f>IF($S$501="","",INDEX(회차설정!$B$13:$B$27,$S$501))</f>
        <v/>
      </c>
      <c r="C511" s="8" t="n"/>
      <c r="D511" s="14">
        <f>IF($S$501="","",IF($R$496="언어와 매체",SUMPRODUCT((자동계산!$A$4:$A$48&gt;=INDEX(회차설정!$C$13:$C$27,$S$501))*(자동계산!$A$4:$A$48&lt;=INDEX(회차설정!$D$13:$D$27,$S$501))*자동계산!$E$4:$E$48),SUMPRODUCT((자동계산!$A$4:$A$48&gt;=INDEX(회차설정!$C$13:$C$27,$S$501))*(자동계산!$A$4:$A$48&lt;=INDEX(회차설정!$D$13:$D$27,$S$501))*자동계산!$C$4:$C$48)))</f>
        <v/>
      </c>
      <c r="E511" s="14">
        <f>IF(OR($S$501="",$R$495=""),"",SUM(OFFSET(전체채점!$AW$2,$R$495,INDEX(회차설정!$C$13:$C$27,$S$501),1,INDEX(회차설정!$D$13:$D$27,$S$501)-INDEX(회차설정!$C$13:$C$27,$S$501)+1)))</f>
        <v/>
      </c>
      <c r="F511" s="46">
        <f>IF(OR($S$501="",$D511=0,$D511="",$E511=""),"",$E511/$D511*100)</f>
        <v/>
      </c>
      <c r="G511" s="8" t="n"/>
      <c r="H511" s="47">
        <f>IF($F511="","",REPT("■",ROUND($F511/5,0)))</f>
        <v/>
      </c>
      <c r="I511" s="7" t="n"/>
      <c r="J511" s="7" t="n"/>
      <c r="K511" s="7" t="n"/>
      <c r="L511" s="7" t="n"/>
      <c r="M511" s="7" t="n"/>
      <c r="N511" s="7" t="n"/>
      <c r="O511" s="7" t="n"/>
      <c r="P511" s="8" t="n"/>
    </row>
    <row r="512">
      <c r="A512" s="14">
        <f>IF($S$502="","",INDEX(회차설정!$A$13:$A$27,$S$502))</f>
        <v/>
      </c>
      <c r="B512" s="14">
        <f>IF($S$502="","",INDEX(회차설정!$B$13:$B$27,$S$502))</f>
        <v/>
      </c>
      <c r="C512" s="8" t="n"/>
      <c r="D512" s="14">
        <f>IF($S$502="","",IF($R$496="언어와 매체",SUMPRODUCT((자동계산!$A$4:$A$48&gt;=INDEX(회차설정!$C$13:$C$27,$S$502))*(자동계산!$A$4:$A$48&lt;=INDEX(회차설정!$D$13:$D$27,$S$502))*자동계산!$E$4:$E$48),SUMPRODUCT((자동계산!$A$4:$A$48&gt;=INDEX(회차설정!$C$13:$C$27,$S$502))*(자동계산!$A$4:$A$48&lt;=INDEX(회차설정!$D$13:$D$27,$S$502))*자동계산!$C$4:$C$48)))</f>
        <v/>
      </c>
      <c r="E512" s="14">
        <f>IF(OR($S$502="",$R$495=""),"",SUM(OFFSET(전체채점!$AW$2,$R$495,INDEX(회차설정!$C$13:$C$27,$S$502),1,INDEX(회차설정!$D$13:$D$27,$S$502)-INDEX(회차설정!$C$13:$C$27,$S$502)+1)))</f>
        <v/>
      </c>
      <c r="F512" s="46">
        <f>IF(OR($S$502="",$D512=0,$D512="",$E512=""),"",$E512/$D512*100)</f>
        <v/>
      </c>
      <c r="G512" s="8" t="n"/>
      <c r="H512" s="47">
        <f>IF($F512="","",REPT("■",ROUND($F512/5,0)))</f>
        <v/>
      </c>
      <c r="I512" s="7" t="n"/>
      <c r="J512" s="7" t="n"/>
      <c r="K512" s="7" t="n"/>
      <c r="L512" s="7" t="n"/>
      <c r="M512" s="7" t="n"/>
      <c r="N512" s="7" t="n"/>
      <c r="O512" s="7" t="n"/>
      <c r="P512" s="8" t="n"/>
    </row>
    <row r="513">
      <c r="A513" s="14">
        <f>IF($S$503="","",INDEX(회차설정!$A$13:$A$27,$S$503))</f>
        <v/>
      </c>
      <c r="B513" s="14">
        <f>IF($S$503="","",INDEX(회차설정!$B$13:$B$27,$S$503))</f>
        <v/>
      </c>
      <c r="C513" s="8" t="n"/>
      <c r="D513" s="14">
        <f>IF($S$503="","",IF($R$496="언어와 매체",SUMPRODUCT((자동계산!$A$4:$A$48&gt;=INDEX(회차설정!$C$13:$C$27,$S$503))*(자동계산!$A$4:$A$48&lt;=INDEX(회차설정!$D$13:$D$27,$S$503))*자동계산!$E$4:$E$48),SUMPRODUCT((자동계산!$A$4:$A$48&gt;=INDEX(회차설정!$C$13:$C$27,$S$503))*(자동계산!$A$4:$A$48&lt;=INDEX(회차설정!$D$13:$D$27,$S$503))*자동계산!$C$4:$C$48)))</f>
        <v/>
      </c>
      <c r="E513" s="14">
        <f>IF(OR($S$503="",$R$495=""),"",SUM(OFFSET(전체채점!$AW$2,$R$495,INDEX(회차설정!$C$13:$C$27,$S$503),1,INDEX(회차설정!$D$13:$D$27,$S$503)-INDEX(회차설정!$C$13:$C$27,$S$503)+1)))</f>
        <v/>
      </c>
      <c r="F513" s="46">
        <f>IF(OR($S$503="",$D513=0,$D513="",$E513=""),"",$E513/$D513*100)</f>
        <v/>
      </c>
      <c r="G513" s="8" t="n"/>
      <c r="H513" s="47">
        <f>IF($F513="","",REPT("■",ROUND($F513/5,0)))</f>
        <v/>
      </c>
      <c r="I513" s="7" t="n"/>
      <c r="J513" s="7" t="n"/>
      <c r="K513" s="7" t="n"/>
      <c r="L513" s="7" t="n"/>
      <c r="M513" s="7" t="n"/>
      <c r="N513" s="7" t="n"/>
      <c r="O513" s="7" t="n"/>
      <c r="P513" s="8" t="n"/>
    </row>
    <row r="514">
      <c r="A514" s="14">
        <f>IF($S$504="","",INDEX(회차설정!$A$13:$A$27,$S$504))</f>
        <v/>
      </c>
      <c r="B514" s="14">
        <f>IF($S$504="","",INDEX(회차설정!$B$13:$B$27,$S$504))</f>
        <v/>
      </c>
      <c r="C514" s="8" t="n"/>
      <c r="D514" s="14">
        <f>IF($S$504="","",IF($R$496="언어와 매체",SUMPRODUCT((자동계산!$A$4:$A$48&gt;=INDEX(회차설정!$C$13:$C$27,$S$504))*(자동계산!$A$4:$A$48&lt;=INDEX(회차설정!$D$13:$D$27,$S$504))*자동계산!$E$4:$E$48),SUMPRODUCT((자동계산!$A$4:$A$48&gt;=INDEX(회차설정!$C$13:$C$27,$S$504))*(자동계산!$A$4:$A$48&lt;=INDEX(회차설정!$D$13:$D$27,$S$504))*자동계산!$C$4:$C$48)))</f>
        <v/>
      </c>
      <c r="E514" s="14">
        <f>IF(OR($S$504="",$R$495=""),"",SUM(OFFSET(전체채점!$AW$2,$R$495,INDEX(회차설정!$C$13:$C$27,$S$504),1,INDEX(회차설정!$D$13:$D$27,$S$504)-INDEX(회차설정!$C$13:$C$27,$S$504)+1)))</f>
        <v/>
      </c>
      <c r="F514" s="46">
        <f>IF(OR($S$504="",$D514=0,$D514="",$E514=""),"",$E514/$D514*100)</f>
        <v/>
      </c>
      <c r="G514" s="8" t="n"/>
      <c r="H514" s="47">
        <f>IF($F514="","",REPT("■",ROUND($F514/5,0)))</f>
        <v/>
      </c>
      <c r="I514" s="7" t="n"/>
      <c r="J514" s="7" t="n"/>
      <c r="K514" s="7" t="n"/>
      <c r="L514" s="7" t="n"/>
      <c r="M514" s="7" t="n"/>
      <c r="N514" s="7" t="n"/>
      <c r="O514" s="7" t="n"/>
      <c r="P514" s="8" t="n"/>
    </row>
    <row r="515">
      <c r="A515" s="14">
        <f>IF($S$505="","",INDEX(회차설정!$A$13:$A$27,$S$505))</f>
        <v/>
      </c>
      <c r="B515" s="14">
        <f>IF($S$505="","",INDEX(회차설정!$B$13:$B$27,$S$505))</f>
        <v/>
      </c>
      <c r="C515" s="8" t="n"/>
      <c r="D515" s="14">
        <f>IF($S$505="","",IF($R$496="언어와 매체",SUMPRODUCT((자동계산!$A$4:$A$48&gt;=INDEX(회차설정!$C$13:$C$27,$S$505))*(자동계산!$A$4:$A$48&lt;=INDEX(회차설정!$D$13:$D$27,$S$505))*자동계산!$E$4:$E$48),SUMPRODUCT((자동계산!$A$4:$A$48&gt;=INDEX(회차설정!$C$13:$C$27,$S$505))*(자동계산!$A$4:$A$48&lt;=INDEX(회차설정!$D$13:$D$27,$S$505))*자동계산!$C$4:$C$48)))</f>
        <v/>
      </c>
      <c r="E515" s="14">
        <f>IF(OR($S$505="",$R$495=""),"",SUM(OFFSET(전체채점!$AW$2,$R$495,INDEX(회차설정!$C$13:$C$27,$S$505),1,INDEX(회차설정!$D$13:$D$27,$S$505)-INDEX(회차설정!$C$13:$C$27,$S$505)+1)))</f>
        <v/>
      </c>
      <c r="F515" s="46">
        <f>IF(OR($S$505="",$D515=0,$D515="",$E515=""),"",$E515/$D515*100)</f>
        <v/>
      </c>
      <c r="G515" s="8" t="n"/>
      <c r="H515" s="47">
        <f>IF($F515="","",REPT("■",ROUND($F515/5,0)))</f>
        <v/>
      </c>
      <c r="I515" s="7" t="n"/>
      <c r="J515" s="7" t="n"/>
      <c r="K515" s="7" t="n"/>
      <c r="L515" s="7" t="n"/>
      <c r="M515" s="7" t="n"/>
      <c r="N515" s="7" t="n"/>
      <c r="O515" s="7" t="n"/>
      <c r="P515" s="8" t="n"/>
    </row>
    <row r="516">
      <c r="A516" s="14">
        <f>IF($S$506="","",INDEX(회차설정!$A$13:$A$27,$S$506))</f>
        <v/>
      </c>
      <c r="B516" s="14">
        <f>IF($S$506="","",INDEX(회차설정!$B$13:$B$27,$S$506))</f>
        <v/>
      </c>
      <c r="C516" s="8" t="n"/>
      <c r="D516" s="14">
        <f>IF($S$506="","",IF($R$496="언어와 매체",SUMPRODUCT((자동계산!$A$4:$A$48&gt;=INDEX(회차설정!$C$13:$C$27,$S$506))*(자동계산!$A$4:$A$48&lt;=INDEX(회차설정!$D$13:$D$27,$S$506))*자동계산!$E$4:$E$48),SUMPRODUCT((자동계산!$A$4:$A$48&gt;=INDEX(회차설정!$C$13:$C$27,$S$506))*(자동계산!$A$4:$A$48&lt;=INDEX(회차설정!$D$13:$D$27,$S$506))*자동계산!$C$4:$C$48)))</f>
        <v/>
      </c>
      <c r="E516" s="14">
        <f>IF(OR($S$506="",$R$495=""),"",SUM(OFFSET(전체채점!$AW$2,$R$495,INDEX(회차설정!$C$13:$C$27,$S$506),1,INDEX(회차설정!$D$13:$D$27,$S$506)-INDEX(회차설정!$C$13:$C$27,$S$506)+1)))</f>
        <v/>
      </c>
      <c r="F516" s="46">
        <f>IF(OR($S$506="",$D516=0,$D516="",$E516=""),"",$E516/$D516*100)</f>
        <v/>
      </c>
      <c r="G516" s="8" t="n"/>
      <c r="H516" s="47">
        <f>IF($F516="","",REPT("■",ROUND($F516/5,0)))</f>
        <v/>
      </c>
      <c r="I516" s="7" t="n"/>
      <c r="J516" s="7" t="n"/>
      <c r="K516" s="7" t="n"/>
      <c r="L516" s="7" t="n"/>
      <c r="M516" s="7" t="n"/>
      <c r="N516" s="7" t="n"/>
      <c r="O516" s="7" t="n"/>
      <c r="P516" s="8" t="n"/>
    </row>
    <row r="517">
      <c r="A517" s="5">
        <f>IF($R$495="","","합계")</f>
        <v/>
      </c>
      <c r="B517" s="7" t="n"/>
      <c r="C517" s="8" t="n"/>
      <c r="D517" s="5">
        <f>IF($R$495="","",SUM(D505:D516))</f>
        <v/>
      </c>
      <c r="E517" s="5">
        <f>IF($R$495="","",SUM(E505:E516))</f>
        <v/>
      </c>
      <c r="F517" s="48">
        <f>IF(OR($D517=0,$D517=""),"",$E517/$D517*100)</f>
        <v/>
      </c>
      <c r="G517" s="8" t="n"/>
      <c r="H517" s="49">
        <f>IF($F517="","",REPT("■",ROUND($F517/5,0)))</f>
        <v/>
      </c>
      <c r="I517" s="7" t="n"/>
      <c r="J517" s="7" t="n"/>
      <c r="K517" s="7" t="n"/>
      <c r="L517" s="7" t="n"/>
      <c r="M517" s="7" t="n"/>
      <c r="N517" s="7" t="n"/>
      <c r="O517" s="7" t="n"/>
      <c r="P517" s="8" t="n"/>
    </row>
    <row r="519">
      <c r="A519" s="12" t="inlineStr">
        <is>
          <t>4. 문항 채점표</t>
        </is>
      </c>
    </row>
    <row r="520">
      <c r="A520" s="50" t="inlineStr">
        <is>
          <t>문항 번호</t>
        </is>
      </c>
      <c r="B520" s="51" t="n">
        <v>1</v>
      </c>
      <c r="C520" s="51" t="n">
        <v>2</v>
      </c>
      <c r="D520" s="51" t="n">
        <v>3</v>
      </c>
      <c r="E520" s="51" t="n">
        <v>4</v>
      </c>
      <c r="F520" s="51" t="n">
        <v>5</v>
      </c>
      <c r="G520" s="51" t="n">
        <v>6</v>
      </c>
      <c r="H520" s="51" t="n">
        <v>7</v>
      </c>
      <c r="I520" s="51" t="n">
        <v>8</v>
      </c>
      <c r="J520" s="51" t="n">
        <v>9</v>
      </c>
      <c r="K520" s="51" t="n">
        <v>10</v>
      </c>
      <c r="L520" s="51" t="n">
        <v>11</v>
      </c>
      <c r="M520" s="51" t="n">
        <v>12</v>
      </c>
      <c r="N520" s="51" t="n">
        <v>13</v>
      </c>
      <c r="O520" s="51" t="n">
        <v>14</v>
      </c>
      <c r="P520" s="51" t="n">
        <v>15</v>
      </c>
    </row>
    <row r="521">
      <c r="A521" s="52" t="inlineStr">
        <is>
          <t>정답</t>
        </is>
      </c>
      <c r="B521" s="33">
        <f>IF($R$496="","",IF($R$496="언어와 매체",자동계산!$D$4,자동계산!$B$4))</f>
        <v/>
      </c>
      <c r="C521" s="33">
        <f>IF($R$496="","",IF($R$496="언어와 매체",자동계산!$D$5,자동계산!$B$5))</f>
        <v/>
      </c>
      <c r="D521" s="33">
        <f>IF($R$496="","",IF($R$496="언어와 매체",자동계산!$D$6,자동계산!$B$6))</f>
        <v/>
      </c>
      <c r="E521" s="33">
        <f>IF($R$496="","",IF($R$496="언어와 매체",자동계산!$D$7,자동계산!$B$7))</f>
        <v/>
      </c>
      <c r="F521" s="33">
        <f>IF($R$496="","",IF($R$496="언어와 매체",자동계산!$D$8,자동계산!$B$8))</f>
        <v/>
      </c>
      <c r="G521" s="33">
        <f>IF($R$496="","",IF($R$496="언어와 매체",자동계산!$D$9,자동계산!$B$9))</f>
        <v/>
      </c>
      <c r="H521" s="33">
        <f>IF($R$496="","",IF($R$496="언어와 매체",자동계산!$D$10,자동계산!$B$10))</f>
        <v/>
      </c>
      <c r="I521" s="33">
        <f>IF($R$496="","",IF($R$496="언어와 매체",자동계산!$D$11,자동계산!$B$11))</f>
        <v/>
      </c>
      <c r="J521" s="33">
        <f>IF($R$496="","",IF($R$496="언어와 매체",자동계산!$D$12,자동계산!$B$12))</f>
        <v/>
      </c>
      <c r="K521" s="33">
        <f>IF($R$496="","",IF($R$496="언어와 매체",자동계산!$D$13,자동계산!$B$13))</f>
        <v/>
      </c>
      <c r="L521" s="33">
        <f>IF($R$496="","",IF($R$496="언어와 매체",자동계산!$D$14,자동계산!$B$14))</f>
        <v/>
      </c>
      <c r="M521" s="33">
        <f>IF($R$496="","",IF($R$496="언어와 매체",자동계산!$D$15,자동계산!$B$15))</f>
        <v/>
      </c>
      <c r="N521" s="33">
        <f>IF($R$496="","",IF($R$496="언어와 매체",자동계산!$D$16,자동계산!$B$16))</f>
        <v/>
      </c>
      <c r="O521" s="33">
        <f>IF($R$496="","",IF($R$496="언어와 매체",자동계산!$D$17,자동계산!$B$17))</f>
        <v/>
      </c>
      <c r="P521" s="33">
        <f>IF($R$496="","",IF($R$496="언어와 매체",자동계산!$D$18,자동계산!$B$18))</f>
        <v/>
      </c>
    </row>
    <row r="522">
      <c r="A522" s="52" t="inlineStr">
        <is>
          <t>학생답안</t>
        </is>
      </c>
      <c r="B522" s="33">
        <f>IF($R$495="","",INDEX(전체채점!E$3:E$62,$R$495))</f>
        <v/>
      </c>
      <c r="C522" s="33">
        <f>IF($R$495="","",INDEX(전체채점!F$3:F$62,$R$495))</f>
        <v/>
      </c>
      <c r="D522" s="33">
        <f>IF($R$495="","",INDEX(전체채점!G$3:G$62,$R$495))</f>
        <v/>
      </c>
      <c r="E522" s="33">
        <f>IF($R$495="","",INDEX(전체채점!H$3:H$62,$R$495))</f>
        <v/>
      </c>
      <c r="F522" s="33">
        <f>IF($R$495="","",INDEX(전체채점!I$3:I$62,$R$495))</f>
        <v/>
      </c>
      <c r="G522" s="33">
        <f>IF($R$495="","",INDEX(전체채점!J$3:J$62,$R$495))</f>
        <v/>
      </c>
      <c r="H522" s="33">
        <f>IF($R$495="","",INDEX(전체채점!K$3:K$62,$R$495))</f>
        <v/>
      </c>
      <c r="I522" s="33">
        <f>IF($R$495="","",INDEX(전체채점!L$3:L$62,$R$495))</f>
        <v/>
      </c>
      <c r="J522" s="33">
        <f>IF($R$495="","",INDEX(전체채점!M$3:M$62,$R$495))</f>
        <v/>
      </c>
      <c r="K522" s="33">
        <f>IF($R$495="","",INDEX(전체채점!N$3:N$62,$R$495))</f>
        <v/>
      </c>
      <c r="L522" s="33">
        <f>IF($R$495="","",INDEX(전체채점!O$3:O$62,$R$495))</f>
        <v/>
      </c>
      <c r="M522" s="33">
        <f>IF($R$495="","",INDEX(전체채점!P$3:P$62,$R$495))</f>
        <v/>
      </c>
      <c r="N522" s="33">
        <f>IF($R$495="","",INDEX(전체채점!Q$3:Q$62,$R$495))</f>
        <v/>
      </c>
      <c r="O522" s="33">
        <f>IF($R$495="","",INDEX(전체채점!R$3:R$62,$R$495))</f>
        <v/>
      </c>
      <c r="P522" s="33">
        <f>IF($R$495="","",INDEX(전체채점!S$3:S$62,$R$495))</f>
        <v/>
      </c>
    </row>
    <row r="523">
      <c r="A523" s="52" t="inlineStr">
        <is>
          <t>정오</t>
        </is>
      </c>
      <c r="B523" s="33">
        <f>IF($R$495="","",INDEX(전체채점!AX$3:AX$62,$R$495))</f>
        <v/>
      </c>
      <c r="C523" s="33">
        <f>IF($R$495="","",INDEX(전체채점!AY$3:AY$62,$R$495))</f>
        <v/>
      </c>
      <c r="D523" s="33">
        <f>IF($R$495="","",INDEX(전체채점!AZ$3:AZ$62,$R$495))</f>
        <v/>
      </c>
      <c r="E523" s="33">
        <f>IF($R$495="","",INDEX(전체채점!BA$3:BA$62,$R$495))</f>
        <v/>
      </c>
      <c r="F523" s="33">
        <f>IF($R$495="","",INDEX(전체채점!BB$3:BB$62,$R$495))</f>
        <v/>
      </c>
      <c r="G523" s="33">
        <f>IF($R$495="","",INDEX(전체채점!BC$3:BC$62,$R$495))</f>
        <v/>
      </c>
      <c r="H523" s="33">
        <f>IF($R$495="","",INDEX(전체채점!BD$3:BD$62,$R$495))</f>
        <v/>
      </c>
      <c r="I523" s="33">
        <f>IF($R$495="","",INDEX(전체채점!BE$3:BE$62,$R$495))</f>
        <v/>
      </c>
      <c r="J523" s="33">
        <f>IF($R$495="","",INDEX(전체채점!BF$3:BF$62,$R$495))</f>
        <v/>
      </c>
      <c r="K523" s="33">
        <f>IF($R$495="","",INDEX(전체채점!BG$3:BG$62,$R$495))</f>
        <v/>
      </c>
      <c r="L523" s="33">
        <f>IF($R$495="","",INDEX(전체채점!BH$3:BH$62,$R$495))</f>
        <v/>
      </c>
      <c r="M523" s="33">
        <f>IF($R$495="","",INDEX(전체채점!BI$3:BI$62,$R$495))</f>
        <v/>
      </c>
      <c r="N523" s="33">
        <f>IF($R$495="","",INDEX(전체채점!BJ$3:BJ$62,$R$495))</f>
        <v/>
      </c>
      <c r="O523" s="33">
        <f>IF($R$495="","",INDEX(전체채점!BK$3:BK$62,$R$495))</f>
        <v/>
      </c>
      <c r="P523" s="33">
        <f>IF($R$495="","",INDEX(전체채점!BL$3:BL$62,$R$495))</f>
        <v/>
      </c>
    </row>
    <row r="524">
      <c r="A524" s="50" t="inlineStr">
        <is>
          <t>문항 번호</t>
        </is>
      </c>
      <c r="B524" s="51" t="n">
        <v>16</v>
      </c>
      <c r="C524" s="51" t="n">
        <v>17</v>
      </c>
      <c r="D524" s="51" t="n">
        <v>18</v>
      </c>
      <c r="E524" s="51" t="n">
        <v>19</v>
      </c>
      <c r="F524" s="51" t="n">
        <v>20</v>
      </c>
      <c r="G524" s="51" t="n">
        <v>21</v>
      </c>
      <c r="H524" s="51" t="n">
        <v>22</v>
      </c>
      <c r="I524" s="51" t="n">
        <v>23</v>
      </c>
      <c r="J524" s="51" t="n">
        <v>24</v>
      </c>
      <c r="K524" s="51" t="n">
        <v>25</v>
      </c>
      <c r="L524" s="51" t="n">
        <v>26</v>
      </c>
      <c r="M524" s="51" t="n">
        <v>27</v>
      </c>
      <c r="N524" s="51" t="n">
        <v>28</v>
      </c>
      <c r="O524" s="51" t="n">
        <v>29</v>
      </c>
      <c r="P524" s="51" t="n">
        <v>30</v>
      </c>
    </row>
    <row r="525">
      <c r="A525" s="52" t="inlineStr">
        <is>
          <t>정답</t>
        </is>
      </c>
      <c r="B525" s="33">
        <f>IF($R$496="","",IF($R$496="언어와 매체",자동계산!$D$19,자동계산!$B$19))</f>
        <v/>
      </c>
      <c r="C525" s="33">
        <f>IF($R$496="","",IF($R$496="언어와 매체",자동계산!$D$20,자동계산!$B$20))</f>
        <v/>
      </c>
      <c r="D525" s="33">
        <f>IF($R$496="","",IF($R$496="언어와 매체",자동계산!$D$21,자동계산!$B$21))</f>
        <v/>
      </c>
      <c r="E525" s="33">
        <f>IF($R$496="","",IF($R$496="언어와 매체",자동계산!$D$22,자동계산!$B$22))</f>
        <v/>
      </c>
      <c r="F525" s="33">
        <f>IF($R$496="","",IF($R$496="언어와 매체",자동계산!$D$23,자동계산!$B$23))</f>
        <v/>
      </c>
      <c r="G525" s="33">
        <f>IF($R$496="","",IF($R$496="언어와 매체",자동계산!$D$24,자동계산!$B$24))</f>
        <v/>
      </c>
      <c r="H525" s="33">
        <f>IF($R$496="","",IF($R$496="언어와 매체",자동계산!$D$25,자동계산!$B$25))</f>
        <v/>
      </c>
      <c r="I525" s="33">
        <f>IF($R$496="","",IF($R$496="언어와 매체",자동계산!$D$26,자동계산!$B$26))</f>
        <v/>
      </c>
      <c r="J525" s="33">
        <f>IF($R$496="","",IF($R$496="언어와 매체",자동계산!$D$27,자동계산!$B$27))</f>
        <v/>
      </c>
      <c r="K525" s="33">
        <f>IF($R$496="","",IF($R$496="언어와 매체",자동계산!$D$28,자동계산!$B$28))</f>
        <v/>
      </c>
      <c r="L525" s="33">
        <f>IF($R$496="","",IF($R$496="언어와 매체",자동계산!$D$29,자동계산!$B$29))</f>
        <v/>
      </c>
      <c r="M525" s="33">
        <f>IF($R$496="","",IF($R$496="언어와 매체",자동계산!$D$30,자동계산!$B$30))</f>
        <v/>
      </c>
      <c r="N525" s="33">
        <f>IF($R$496="","",IF($R$496="언어와 매체",자동계산!$D$31,자동계산!$B$31))</f>
        <v/>
      </c>
      <c r="O525" s="33">
        <f>IF($R$496="","",IF($R$496="언어와 매체",자동계산!$D$32,자동계산!$B$32))</f>
        <v/>
      </c>
      <c r="P525" s="33">
        <f>IF($R$496="","",IF($R$496="언어와 매체",자동계산!$D$33,자동계산!$B$33))</f>
        <v/>
      </c>
    </row>
    <row r="526">
      <c r="A526" s="52" t="inlineStr">
        <is>
          <t>학생답안</t>
        </is>
      </c>
      <c r="B526" s="33">
        <f>IF($R$495="","",INDEX(전체채점!T$3:T$62,$R$495))</f>
        <v/>
      </c>
      <c r="C526" s="33">
        <f>IF($R$495="","",INDEX(전체채점!U$3:U$62,$R$495))</f>
        <v/>
      </c>
      <c r="D526" s="33">
        <f>IF($R$495="","",INDEX(전체채점!V$3:V$62,$R$495))</f>
        <v/>
      </c>
      <c r="E526" s="33">
        <f>IF($R$495="","",INDEX(전체채점!W$3:W$62,$R$495))</f>
        <v/>
      </c>
      <c r="F526" s="33">
        <f>IF($R$495="","",INDEX(전체채점!X$3:X$62,$R$495))</f>
        <v/>
      </c>
      <c r="G526" s="33">
        <f>IF($R$495="","",INDEX(전체채점!Y$3:Y$62,$R$495))</f>
        <v/>
      </c>
      <c r="H526" s="33">
        <f>IF($R$495="","",INDEX(전체채점!Z$3:Z$62,$R$495))</f>
        <v/>
      </c>
      <c r="I526" s="33">
        <f>IF($R$495="","",INDEX(전체채점!AA$3:AA$62,$R$495))</f>
        <v/>
      </c>
      <c r="J526" s="33">
        <f>IF($R$495="","",INDEX(전체채점!AB$3:AB$62,$R$495))</f>
        <v/>
      </c>
      <c r="K526" s="33">
        <f>IF($R$495="","",INDEX(전체채점!AC$3:AC$62,$R$495))</f>
        <v/>
      </c>
      <c r="L526" s="33">
        <f>IF($R$495="","",INDEX(전체채점!AD$3:AD$62,$R$495))</f>
        <v/>
      </c>
      <c r="M526" s="33">
        <f>IF($R$495="","",INDEX(전체채점!AE$3:AE$62,$R$495))</f>
        <v/>
      </c>
      <c r="N526" s="33">
        <f>IF($R$495="","",INDEX(전체채점!AF$3:AF$62,$R$495))</f>
        <v/>
      </c>
      <c r="O526" s="33">
        <f>IF($R$495="","",INDEX(전체채점!AG$3:AG$62,$R$495))</f>
        <v/>
      </c>
      <c r="P526" s="33">
        <f>IF($R$495="","",INDEX(전체채점!AH$3:AH$62,$R$495))</f>
        <v/>
      </c>
    </row>
    <row r="527">
      <c r="A527" s="52" t="inlineStr">
        <is>
          <t>정오</t>
        </is>
      </c>
      <c r="B527" s="33">
        <f>IF($R$495="","",INDEX(전체채점!BM$3:BM$62,$R$495))</f>
        <v/>
      </c>
      <c r="C527" s="33">
        <f>IF($R$495="","",INDEX(전체채점!BN$3:BN$62,$R$495))</f>
        <v/>
      </c>
      <c r="D527" s="33">
        <f>IF($R$495="","",INDEX(전체채점!BO$3:BO$62,$R$495))</f>
        <v/>
      </c>
      <c r="E527" s="33">
        <f>IF($R$495="","",INDEX(전체채점!BP$3:BP$62,$R$495))</f>
        <v/>
      </c>
      <c r="F527" s="33">
        <f>IF($R$495="","",INDEX(전체채점!BQ$3:BQ$62,$R$495))</f>
        <v/>
      </c>
      <c r="G527" s="33">
        <f>IF($R$495="","",INDEX(전체채점!BR$3:BR$62,$R$495))</f>
        <v/>
      </c>
      <c r="H527" s="33">
        <f>IF($R$495="","",INDEX(전체채점!BS$3:BS$62,$R$495))</f>
        <v/>
      </c>
      <c r="I527" s="33">
        <f>IF($R$495="","",INDEX(전체채점!BT$3:BT$62,$R$495))</f>
        <v/>
      </c>
      <c r="J527" s="33">
        <f>IF($R$495="","",INDEX(전체채점!BU$3:BU$62,$R$495))</f>
        <v/>
      </c>
      <c r="K527" s="33">
        <f>IF($R$495="","",INDEX(전체채점!BV$3:BV$62,$R$495))</f>
        <v/>
      </c>
      <c r="L527" s="33">
        <f>IF($R$495="","",INDEX(전체채점!BW$3:BW$62,$R$495))</f>
        <v/>
      </c>
      <c r="M527" s="33">
        <f>IF($R$495="","",INDEX(전체채점!BX$3:BX$62,$R$495))</f>
        <v/>
      </c>
      <c r="N527" s="33">
        <f>IF($R$495="","",INDEX(전체채점!BY$3:BY$62,$R$495))</f>
        <v/>
      </c>
      <c r="O527" s="33">
        <f>IF($R$495="","",INDEX(전체채점!BZ$3:BZ$62,$R$495))</f>
        <v/>
      </c>
      <c r="P527" s="33">
        <f>IF($R$495="","",INDEX(전체채점!CA$3:CA$62,$R$495))</f>
        <v/>
      </c>
    </row>
    <row r="528">
      <c r="A528" s="50" t="inlineStr">
        <is>
          <t>문항 번호</t>
        </is>
      </c>
      <c r="B528" s="51" t="n">
        <v>31</v>
      </c>
      <c r="C528" s="51" t="n">
        <v>32</v>
      </c>
      <c r="D528" s="51" t="n">
        <v>33</v>
      </c>
      <c r="E528" s="51" t="n">
        <v>34</v>
      </c>
      <c r="F528" s="51" t="n">
        <v>35</v>
      </c>
      <c r="G528" s="51" t="n">
        <v>36</v>
      </c>
      <c r="H528" s="51" t="n">
        <v>37</v>
      </c>
      <c r="I528" s="51" t="n">
        <v>38</v>
      </c>
      <c r="J528" s="51" t="n">
        <v>39</v>
      </c>
      <c r="K528" s="51" t="n">
        <v>40</v>
      </c>
      <c r="L528" s="51" t="n">
        <v>41</v>
      </c>
      <c r="M528" s="51" t="n">
        <v>42</v>
      </c>
      <c r="N528" s="51" t="n">
        <v>43</v>
      </c>
      <c r="O528" s="51" t="n">
        <v>44</v>
      </c>
      <c r="P528" s="51" t="n">
        <v>45</v>
      </c>
    </row>
    <row r="529">
      <c r="A529" s="52" t="inlineStr">
        <is>
          <t>정답</t>
        </is>
      </c>
      <c r="B529" s="33">
        <f>IF($R$496="","",IF($R$496="언어와 매체",자동계산!$D$34,자동계산!$B$34))</f>
        <v/>
      </c>
      <c r="C529" s="33">
        <f>IF($R$496="","",IF($R$496="언어와 매체",자동계산!$D$35,자동계산!$B$35))</f>
        <v/>
      </c>
      <c r="D529" s="33">
        <f>IF($R$496="","",IF($R$496="언어와 매체",자동계산!$D$36,자동계산!$B$36))</f>
        <v/>
      </c>
      <c r="E529" s="33">
        <f>IF($R$496="","",IF($R$496="언어와 매체",자동계산!$D$37,자동계산!$B$37))</f>
        <v/>
      </c>
      <c r="F529" s="33">
        <f>IF($R$496="","",IF($R$496="언어와 매체",자동계산!$D$38,자동계산!$B$38))</f>
        <v/>
      </c>
      <c r="G529" s="33">
        <f>IF($R$496="","",IF($R$496="언어와 매체",자동계산!$D$39,자동계산!$B$39))</f>
        <v/>
      </c>
      <c r="H529" s="33">
        <f>IF($R$496="","",IF($R$496="언어와 매체",자동계산!$D$40,자동계산!$B$40))</f>
        <v/>
      </c>
      <c r="I529" s="33">
        <f>IF($R$496="","",IF($R$496="언어와 매체",자동계산!$D$41,자동계산!$B$41))</f>
        <v/>
      </c>
      <c r="J529" s="33">
        <f>IF($R$496="","",IF($R$496="언어와 매체",자동계산!$D$42,자동계산!$B$42))</f>
        <v/>
      </c>
      <c r="K529" s="33">
        <f>IF($R$496="","",IF($R$496="언어와 매체",자동계산!$D$43,자동계산!$B$43))</f>
        <v/>
      </c>
      <c r="L529" s="33">
        <f>IF($R$496="","",IF($R$496="언어와 매체",자동계산!$D$44,자동계산!$B$44))</f>
        <v/>
      </c>
      <c r="M529" s="33">
        <f>IF($R$496="","",IF($R$496="언어와 매체",자동계산!$D$45,자동계산!$B$45))</f>
        <v/>
      </c>
      <c r="N529" s="33">
        <f>IF($R$496="","",IF($R$496="언어와 매체",자동계산!$D$46,자동계산!$B$46))</f>
        <v/>
      </c>
      <c r="O529" s="33">
        <f>IF($R$496="","",IF($R$496="언어와 매체",자동계산!$D$47,자동계산!$B$47))</f>
        <v/>
      </c>
      <c r="P529" s="33">
        <f>IF($R$496="","",IF($R$496="언어와 매체",자동계산!$D$48,자동계산!$B$48))</f>
        <v/>
      </c>
    </row>
    <row r="530">
      <c r="A530" s="52" t="inlineStr">
        <is>
          <t>학생답안</t>
        </is>
      </c>
      <c r="B530" s="33">
        <f>IF($R$495="","",INDEX(전체채점!AI$3:AI$62,$R$495))</f>
        <v/>
      </c>
      <c r="C530" s="33">
        <f>IF($R$495="","",INDEX(전체채점!AJ$3:AJ$62,$R$495))</f>
        <v/>
      </c>
      <c r="D530" s="33">
        <f>IF($R$495="","",INDEX(전체채점!AK$3:AK$62,$R$495))</f>
        <v/>
      </c>
      <c r="E530" s="33">
        <f>IF($R$495="","",INDEX(전체채점!AL$3:AL$62,$R$495))</f>
        <v/>
      </c>
      <c r="F530" s="33">
        <f>IF($R$495="","",INDEX(전체채점!AM$3:AM$62,$R$495))</f>
        <v/>
      </c>
      <c r="G530" s="33">
        <f>IF($R$495="","",INDEX(전체채점!AN$3:AN$62,$R$495))</f>
        <v/>
      </c>
      <c r="H530" s="33">
        <f>IF($R$495="","",INDEX(전체채점!AO$3:AO$62,$R$495))</f>
        <v/>
      </c>
      <c r="I530" s="33">
        <f>IF($R$495="","",INDEX(전체채점!AP$3:AP$62,$R$495))</f>
        <v/>
      </c>
      <c r="J530" s="33">
        <f>IF($R$495="","",INDEX(전체채점!AQ$3:AQ$62,$R$495))</f>
        <v/>
      </c>
      <c r="K530" s="33">
        <f>IF($R$495="","",INDEX(전체채점!AR$3:AR$62,$R$495))</f>
        <v/>
      </c>
      <c r="L530" s="33">
        <f>IF($R$495="","",INDEX(전체채점!AS$3:AS$62,$R$495))</f>
        <v/>
      </c>
      <c r="M530" s="33">
        <f>IF($R$495="","",INDEX(전체채점!AT$3:AT$62,$R$495))</f>
        <v/>
      </c>
      <c r="N530" s="33">
        <f>IF($R$495="","",INDEX(전체채점!AU$3:AU$62,$R$495))</f>
        <v/>
      </c>
      <c r="O530" s="33">
        <f>IF($R$495="","",INDEX(전체채점!AV$3:AV$62,$R$495))</f>
        <v/>
      </c>
      <c r="P530" s="33">
        <f>IF($R$495="","",INDEX(전체채점!AW$3:AW$62,$R$495))</f>
        <v/>
      </c>
    </row>
    <row r="531">
      <c r="A531" s="52" t="inlineStr">
        <is>
          <t>정오</t>
        </is>
      </c>
      <c r="B531" s="33">
        <f>IF($R$495="","",INDEX(전체채점!CB$3:CB$62,$R$495))</f>
        <v/>
      </c>
      <c r="C531" s="33">
        <f>IF($R$495="","",INDEX(전체채점!CC$3:CC$62,$R$495))</f>
        <v/>
      </c>
      <c r="D531" s="33">
        <f>IF($R$495="","",INDEX(전체채점!CD$3:CD$62,$R$495))</f>
        <v/>
      </c>
      <c r="E531" s="33">
        <f>IF($R$495="","",INDEX(전체채점!CE$3:CE$62,$R$495))</f>
        <v/>
      </c>
      <c r="F531" s="33">
        <f>IF($R$495="","",INDEX(전체채점!CF$3:CF$62,$R$495))</f>
        <v/>
      </c>
      <c r="G531" s="33">
        <f>IF($R$495="","",INDEX(전체채점!CG$3:CG$62,$R$495))</f>
        <v/>
      </c>
      <c r="H531" s="33">
        <f>IF($R$495="","",INDEX(전체채점!CH$3:CH$62,$R$495))</f>
        <v/>
      </c>
      <c r="I531" s="33">
        <f>IF($R$495="","",INDEX(전체채점!CI$3:CI$62,$R$495))</f>
        <v/>
      </c>
      <c r="J531" s="33">
        <f>IF($R$495="","",INDEX(전체채점!CJ$3:CJ$62,$R$495))</f>
        <v/>
      </c>
      <c r="K531" s="33">
        <f>IF($R$495="","",INDEX(전체채점!CK$3:CK$62,$R$495))</f>
        <v/>
      </c>
      <c r="L531" s="33">
        <f>IF($R$495="","",INDEX(전체채점!CL$3:CL$62,$R$495))</f>
        <v/>
      </c>
      <c r="M531" s="33">
        <f>IF($R$495="","",INDEX(전체채점!CM$3:CM$62,$R$495))</f>
        <v/>
      </c>
      <c r="N531" s="33">
        <f>IF($R$495="","",INDEX(전체채점!CN$3:CN$62,$R$495))</f>
        <v/>
      </c>
      <c r="O531" s="33">
        <f>IF($R$495="","",INDEX(전체채점!CO$3:CO$62,$R$495))</f>
        <v/>
      </c>
      <c r="P531" s="33">
        <f>IF($R$495="","",INDEX(전체채점!CP$3:CP$62,$R$495))</f>
        <v/>
      </c>
    </row>
    <row r="534" ht="34" customHeight="1">
      <c r="A534" s="36">
        <f>IF($R$536="","",회차설정!$B$2&amp;" 성적표")</f>
        <v/>
      </c>
    </row>
    <row r="536">
      <c r="A536" s="12" t="inlineStr">
        <is>
          <t>1. 학생정보</t>
        </is>
      </c>
      <c r="R536" s="37">
        <f>IF(답안입력!$A$16="","",14)</f>
        <v/>
      </c>
      <c r="S536" s="37">
        <f>IF($R$537="","",IFERROR(IF($R$537="언어와 매체",MATCH(1,회차설정!$G$13:$G$27,0),MATCH(1,회차설정!$F$13:$F$27,0)),""))</f>
        <v/>
      </c>
    </row>
    <row r="537">
      <c r="A537" s="13" t="inlineStr">
        <is>
          <t>성명</t>
        </is>
      </c>
      <c r="B537" s="7" t="n"/>
      <c r="C537" s="8" t="n"/>
      <c r="D537" s="13" t="inlineStr">
        <is>
          <t>선택과목</t>
        </is>
      </c>
      <c r="E537" s="7" t="n"/>
      <c r="F537" s="7" t="n"/>
      <c r="G537" s="8" t="n"/>
      <c r="H537" s="13" t="inlineStr">
        <is>
          <t>학년</t>
        </is>
      </c>
      <c r="I537" s="7" t="n"/>
      <c r="J537" s="7" t="n"/>
      <c r="K537" s="8" t="n"/>
      <c r="L537" s="13" t="inlineStr">
        <is>
          <t>시행일</t>
        </is>
      </c>
      <c r="M537" s="7" t="n"/>
      <c r="N537" s="7" t="n"/>
      <c r="O537" s="7" t="n"/>
      <c r="P537" s="8" t="n"/>
      <c r="R537" s="37">
        <f>IF($R$536="","",INDEX(전체채점!$B$3:$B$62,$R$536))</f>
        <v/>
      </c>
      <c r="S537" s="37">
        <f>IF($R$537="","",IFERROR(IF($R$537="언어와 매체",MATCH(2,회차설정!$G$13:$G$27,0),MATCH(2,회차설정!$F$13:$F$27,0)),""))</f>
        <v/>
      </c>
    </row>
    <row r="538" ht="26" customHeight="1">
      <c r="A538" s="39">
        <f>IF($R$536="","",INDEX(답안입력!$A$3:$A$62,$R$536))</f>
        <v/>
      </c>
      <c r="B538" s="7" t="n"/>
      <c r="C538" s="8" t="n"/>
      <c r="D538" s="39">
        <f>IF($R$536="","",INDEX(답안입력!$C$3:$C$62,$R$536))</f>
        <v/>
      </c>
      <c r="E538" s="7" t="n"/>
      <c r="F538" s="7" t="n"/>
      <c r="G538" s="8" t="n"/>
      <c r="H538" s="39">
        <f>IF($R$536="","",INDEX(답안입력!$B$3:$B$62,$R$536))</f>
        <v/>
      </c>
      <c r="I538" s="7" t="n"/>
      <c r="J538" s="7" t="n"/>
      <c r="K538" s="8" t="n"/>
      <c r="L538" s="40">
        <f>회차설정!$B$3</f>
        <v/>
      </c>
      <c r="M538" s="7" t="n"/>
      <c r="N538" s="7" t="n"/>
      <c r="O538" s="7" t="n"/>
      <c r="P538" s="8" t="n"/>
      <c r="R538" s="37">
        <f>IF($R$537="언어와 매체",회차설정!$B$9,회차설정!$B$8)</f>
        <v/>
      </c>
      <c r="S538" s="37">
        <f>IF($R$537="","",IFERROR(IF($R$537="언어와 매체",MATCH(3,회차설정!$G$13:$G$27,0),MATCH(3,회차설정!$F$13:$F$27,0)),""))</f>
        <v/>
      </c>
    </row>
    <row r="539">
      <c r="R539" s="37">
        <f>IF($R$537="언어와 매체",회차설정!$C$9,회차설정!$C$8)</f>
        <v/>
      </c>
      <c r="S539" s="37">
        <f>IF($R$537="","",IFERROR(IF($R$537="언어와 매체",MATCH(4,회차설정!$G$13:$G$27,0),MATCH(4,회차설정!$F$13:$F$27,0)),""))</f>
        <v/>
      </c>
    </row>
    <row r="540">
      <c r="A540" s="12" t="inlineStr">
        <is>
          <t>2. 성적</t>
        </is>
      </c>
      <c r="R540" s="37">
        <f>IF($R$537="언어와 매체",회차설정!$D$9,회차설정!$D$8)</f>
        <v/>
      </c>
      <c r="S540" s="37">
        <f>IF($R$537="","",IFERROR(IF($R$537="언어와 매체",MATCH(5,회차설정!$G$13:$G$27,0),MATCH(5,회차설정!$F$13:$F$27,0)),""))</f>
        <v/>
      </c>
    </row>
    <row r="541">
      <c r="A541" s="13" t="inlineStr">
        <is>
          <t>점수 (100점 만점)</t>
        </is>
      </c>
      <c r="B541" s="7" t="n"/>
      <c r="C541" s="7" t="n"/>
      <c r="D541" s="7" t="n"/>
      <c r="E541" s="8" t="n"/>
      <c r="F541" s="13" t="inlineStr">
        <is>
          <t>등급</t>
        </is>
      </c>
      <c r="G541" s="7" t="n"/>
      <c r="H541" s="8" t="n"/>
      <c r="I541" s="13" t="inlineStr">
        <is>
          <t>등급컷</t>
        </is>
      </c>
      <c r="J541" s="7" t="n"/>
      <c r="K541" s="7" t="n"/>
      <c r="L541" s="8" t="n"/>
      <c r="M541" s="13" t="inlineStr">
        <is>
          <t>같은 선택과목 평균</t>
        </is>
      </c>
      <c r="N541" s="7" t="n"/>
      <c r="O541" s="7" t="n"/>
      <c r="P541" s="8" t="n"/>
      <c r="R541" s="37">
        <f>IF($R$537="언어와 매체",회차설정!$E$9,회차설정!$E$8)</f>
        <v/>
      </c>
      <c r="S541" s="37">
        <f>IF($R$537="","",IFERROR(IF($R$537="언어와 매체",MATCH(6,회차설정!$G$13:$G$27,0),MATCH(6,회차설정!$F$13:$F$27,0)),""))</f>
        <v/>
      </c>
    </row>
    <row r="542" ht="34" customHeight="1">
      <c r="A542" s="41">
        <f>IF($R$536="","",INDEX(전체채점!$C$3:$C$62,$R$536))</f>
        <v/>
      </c>
      <c r="B542" s="7" t="n"/>
      <c r="C542" s="7" t="n"/>
      <c r="D542" s="7" t="n"/>
      <c r="E542" s="8" t="n"/>
      <c r="F542" s="42">
        <f>IF($R$536="","",INDEX(전체채점!$D$3:$D$62,$R$536))</f>
        <v/>
      </c>
      <c r="G542" s="7" t="n"/>
      <c r="H542" s="8" t="n"/>
      <c r="I542" s="43">
        <f>IF($R$536="","",$R$538&amp;"-"&amp;$R$539&amp;"-"&amp;$R$540&amp;"-"&amp;$R$541)</f>
        <v/>
      </c>
      <c r="J542" s="7" t="n"/>
      <c r="K542" s="7" t="n"/>
      <c r="L542" s="8" t="n"/>
      <c r="M542" s="44">
        <f>IFERROR(AVERAGEIF(전체채점!$B$3:$B$62,$R$537,전체채점!$C$3:$C$62),"")</f>
        <v/>
      </c>
      <c r="N542" s="7" t="n"/>
      <c r="O542" s="7" t="n"/>
      <c r="P542" s="8" t="n"/>
      <c r="S542" s="37">
        <f>IF($R$537="","",IFERROR(IF($R$537="언어와 매체",MATCH(7,회차설정!$G$13:$G$27,0),MATCH(7,회차설정!$F$13:$F$27,0)),""))</f>
        <v/>
      </c>
    </row>
    <row r="543">
      <c r="S543" s="37">
        <f>IF($R$537="","",IFERROR(IF($R$537="언어와 매체",MATCH(8,회차설정!$G$13:$G$27,0),MATCH(8,회차설정!$F$13:$F$27,0)),""))</f>
        <v/>
      </c>
    </row>
    <row r="544">
      <c r="A544" s="12" t="inlineStr">
        <is>
          <t>3. 영역분류별 성취도 분석</t>
        </is>
      </c>
      <c r="F544" s="45">
        <f>IF(OR($R$536="",$E558=""),"",IF($E558=INDEX(전체채점!$C$3:$C$62,$R$536),"","※ 회차설정의 영역 표를 확인하세요 — 영역 합계와 점수가 다릅니다"))</f>
        <v/>
      </c>
      <c r="S544" s="37">
        <f>IF($R$537="","",IFERROR(IF($R$537="언어와 매체",MATCH(9,회차설정!$G$13:$G$27,0),MATCH(9,회차설정!$F$13:$F$27,0)),""))</f>
        <v/>
      </c>
    </row>
    <row r="545">
      <c r="A545" s="13" t="inlineStr">
        <is>
          <t>분류</t>
        </is>
      </c>
      <c r="B545" s="13" t="inlineStr">
        <is>
          <t>영역</t>
        </is>
      </c>
      <c r="C545" s="8" t="n"/>
      <c r="D545" s="13" t="inlineStr">
        <is>
          <t>배점</t>
        </is>
      </c>
      <c r="E545" s="13" t="inlineStr">
        <is>
          <t>득점</t>
        </is>
      </c>
      <c r="F545" s="13" t="inlineStr">
        <is>
          <t>성취도(%)</t>
        </is>
      </c>
      <c r="G545" s="8" t="n"/>
      <c r="H545" s="13" t="inlineStr"/>
      <c r="I545" s="7" t="n"/>
      <c r="J545" s="7" t="n"/>
      <c r="K545" s="7" t="n"/>
      <c r="L545" s="7" t="n"/>
      <c r="M545" s="7" t="n"/>
      <c r="N545" s="7" t="n"/>
      <c r="O545" s="7" t="n"/>
      <c r="P545" s="8" t="n"/>
      <c r="S545" s="37">
        <f>IF($R$537="","",IFERROR(IF($R$537="언어와 매체",MATCH(10,회차설정!$G$13:$G$27,0),MATCH(10,회차설정!$F$13:$F$27,0)),""))</f>
        <v/>
      </c>
    </row>
    <row r="546">
      <c r="A546" s="14">
        <f>IF($S$536="","",INDEX(회차설정!$A$13:$A$27,$S$536))</f>
        <v/>
      </c>
      <c r="B546" s="14">
        <f>IF($S$536="","",INDEX(회차설정!$B$13:$B$27,$S$536))</f>
        <v/>
      </c>
      <c r="C546" s="8" t="n"/>
      <c r="D546" s="14">
        <f>IF($S$536="","",IF($R$537="언어와 매체",SUMPRODUCT((자동계산!$A$4:$A$48&gt;=INDEX(회차설정!$C$13:$C$27,$S$536))*(자동계산!$A$4:$A$48&lt;=INDEX(회차설정!$D$13:$D$27,$S$536))*자동계산!$E$4:$E$48),SUMPRODUCT((자동계산!$A$4:$A$48&gt;=INDEX(회차설정!$C$13:$C$27,$S$536))*(자동계산!$A$4:$A$48&lt;=INDEX(회차설정!$D$13:$D$27,$S$536))*자동계산!$C$4:$C$48)))</f>
        <v/>
      </c>
      <c r="E546" s="14">
        <f>IF(OR($S$536="",$R$536=""),"",SUM(OFFSET(전체채점!$AW$2,$R$536,INDEX(회차설정!$C$13:$C$27,$S$536),1,INDEX(회차설정!$D$13:$D$27,$S$536)-INDEX(회차설정!$C$13:$C$27,$S$536)+1)))</f>
        <v/>
      </c>
      <c r="F546" s="46">
        <f>IF(OR($S$536="",$D546=0,$D546="",$E546=""),"",$E546/$D546*100)</f>
        <v/>
      </c>
      <c r="G546" s="8" t="n"/>
      <c r="H546" s="47">
        <f>IF($F546="","",REPT("■",ROUND($F546/5,0)))</f>
        <v/>
      </c>
      <c r="I546" s="7" t="n"/>
      <c r="J546" s="7" t="n"/>
      <c r="K546" s="7" t="n"/>
      <c r="L546" s="7" t="n"/>
      <c r="M546" s="7" t="n"/>
      <c r="N546" s="7" t="n"/>
      <c r="O546" s="7" t="n"/>
      <c r="P546" s="8" t="n"/>
      <c r="S546" s="37">
        <f>IF($R$537="","",IFERROR(IF($R$537="언어와 매체",MATCH(11,회차설정!$G$13:$G$27,0),MATCH(11,회차설정!$F$13:$F$27,0)),""))</f>
        <v/>
      </c>
    </row>
    <row r="547">
      <c r="A547" s="14">
        <f>IF($S$537="","",INDEX(회차설정!$A$13:$A$27,$S$537))</f>
        <v/>
      </c>
      <c r="B547" s="14">
        <f>IF($S$537="","",INDEX(회차설정!$B$13:$B$27,$S$537))</f>
        <v/>
      </c>
      <c r="C547" s="8" t="n"/>
      <c r="D547" s="14">
        <f>IF($S$537="","",IF($R$537="언어와 매체",SUMPRODUCT((자동계산!$A$4:$A$48&gt;=INDEX(회차설정!$C$13:$C$27,$S$537))*(자동계산!$A$4:$A$48&lt;=INDEX(회차설정!$D$13:$D$27,$S$537))*자동계산!$E$4:$E$48),SUMPRODUCT((자동계산!$A$4:$A$48&gt;=INDEX(회차설정!$C$13:$C$27,$S$537))*(자동계산!$A$4:$A$48&lt;=INDEX(회차설정!$D$13:$D$27,$S$537))*자동계산!$C$4:$C$48)))</f>
        <v/>
      </c>
      <c r="E547" s="14">
        <f>IF(OR($S$537="",$R$536=""),"",SUM(OFFSET(전체채점!$AW$2,$R$536,INDEX(회차설정!$C$13:$C$27,$S$537),1,INDEX(회차설정!$D$13:$D$27,$S$537)-INDEX(회차설정!$C$13:$C$27,$S$537)+1)))</f>
        <v/>
      </c>
      <c r="F547" s="46">
        <f>IF(OR($S$537="",$D547=0,$D547="",$E547=""),"",$E547/$D547*100)</f>
        <v/>
      </c>
      <c r="G547" s="8" t="n"/>
      <c r="H547" s="47">
        <f>IF($F547="","",REPT("■",ROUND($F547/5,0)))</f>
        <v/>
      </c>
      <c r="I547" s="7" t="n"/>
      <c r="J547" s="7" t="n"/>
      <c r="K547" s="7" t="n"/>
      <c r="L547" s="7" t="n"/>
      <c r="M547" s="7" t="n"/>
      <c r="N547" s="7" t="n"/>
      <c r="O547" s="7" t="n"/>
      <c r="P547" s="8" t="n"/>
      <c r="S547" s="37">
        <f>IF($R$537="","",IFERROR(IF($R$537="언어와 매체",MATCH(12,회차설정!$G$13:$G$27,0),MATCH(12,회차설정!$F$13:$F$27,0)),""))</f>
        <v/>
      </c>
    </row>
    <row r="548">
      <c r="A548" s="14">
        <f>IF($S$538="","",INDEX(회차설정!$A$13:$A$27,$S$538))</f>
        <v/>
      </c>
      <c r="B548" s="14">
        <f>IF($S$538="","",INDEX(회차설정!$B$13:$B$27,$S$538))</f>
        <v/>
      </c>
      <c r="C548" s="8" t="n"/>
      <c r="D548" s="14">
        <f>IF($S$538="","",IF($R$537="언어와 매체",SUMPRODUCT((자동계산!$A$4:$A$48&gt;=INDEX(회차설정!$C$13:$C$27,$S$538))*(자동계산!$A$4:$A$48&lt;=INDEX(회차설정!$D$13:$D$27,$S$538))*자동계산!$E$4:$E$48),SUMPRODUCT((자동계산!$A$4:$A$48&gt;=INDEX(회차설정!$C$13:$C$27,$S$538))*(자동계산!$A$4:$A$48&lt;=INDEX(회차설정!$D$13:$D$27,$S$538))*자동계산!$C$4:$C$48)))</f>
        <v/>
      </c>
      <c r="E548" s="14">
        <f>IF(OR($S$538="",$R$536=""),"",SUM(OFFSET(전체채점!$AW$2,$R$536,INDEX(회차설정!$C$13:$C$27,$S$538),1,INDEX(회차설정!$D$13:$D$27,$S$538)-INDEX(회차설정!$C$13:$C$27,$S$538)+1)))</f>
        <v/>
      </c>
      <c r="F548" s="46">
        <f>IF(OR($S$538="",$D548=0,$D548="",$E548=""),"",$E548/$D548*100)</f>
        <v/>
      </c>
      <c r="G548" s="8" t="n"/>
      <c r="H548" s="47">
        <f>IF($F548="","",REPT("■",ROUND($F548/5,0)))</f>
        <v/>
      </c>
      <c r="I548" s="7" t="n"/>
      <c r="J548" s="7" t="n"/>
      <c r="K548" s="7" t="n"/>
      <c r="L548" s="7" t="n"/>
      <c r="M548" s="7" t="n"/>
      <c r="N548" s="7" t="n"/>
      <c r="O548" s="7" t="n"/>
      <c r="P548" s="8" t="n"/>
    </row>
    <row r="549">
      <c r="A549" s="14">
        <f>IF($S$539="","",INDEX(회차설정!$A$13:$A$27,$S$539))</f>
        <v/>
      </c>
      <c r="B549" s="14">
        <f>IF($S$539="","",INDEX(회차설정!$B$13:$B$27,$S$539))</f>
        <v/>
      </c>
      <c r="C549" s="8" t="n"/>
      <c r="D549" s="14">
        <f>IF($S$539="","",IF($R$537="언어와 매체",SUMPRODUCT((자동계산!$A$4:$A$48&gt;=INDEX(회차설정!$C$13:$C$27,$S$539))*(자동계산!$A$4:$A$48&lt;=INDEX(회차설정!$D$13:$D$27,$S$539))*자동계산!$E$4:$E$48),SUMPRODUCT((자동계산!$A$4:$A$48&gt;=INDEX(회차설정!$C$13:$C$27,$S$539))*(자동계산!$A$4:$A$48&lt;=INDEX(회차설정!$D$13:$D$27,$S$539))*자동계산!$C$4:$C$48)))</f>
        <v/>
      </c>
      <c r="E549" s="14">
        <f>IF(OR($S$539="",$R$536=""),"",SUM(OFFSET(전체채점!$AW$2,$R$536,INDEX(회차설정!$C$13:$C$27,$S$539),1,INDEX(회차설정!$D$13:$D$27,$S$539)-INDEX(회차설정!$C$13:$C$27,$S$539)+1)))</f>
        <v/>
      </c>
      <c r="F549" s="46">
        <f>IF(OR($S$539="",$D549=0,$D549="",$E549=""),"",$E549/$D549*100)</f>
        <v/>
      </c>
      <c r="G549" s="8" t="n"/>
      <c r="H549" s="47">
        <f>IF($F549="","",REPT("■",ROUND($F549/5,0)))</f>
        <v/>
      </c>
      <c r="I549" s="7" t="n"/>
      <c r="J549" s="7" t="n"/>
      <c r="K549" s="7" t="n"/>
      <c r="L549" s="7" t="n"/>
      <c r="M549" s="7" t="n"/>
      <c r="N549" s="7" t="n"/>
      <c r="O549" s="7" t="n"/>
      <c r="P549" s="8" t="n"/>
    </row>
    <row r="550">
      <c r="A550" s="14">
        <f>IF($S$540="","",INDEX(회차설정!$A$13:$A$27,$S$540))</f>
        <v/>
      </c>
      <c r="B550" s="14">
        <f>IF($S$540="","",INDEX(회차설정!$B$13:$B$27,$S$540))</f>
        <v/>
      </c>
      <c r="C550" s="8" t="n"/>
      <c r="D550" s="14">
        <f>IF($S$540="","",IF($R$537="언어와 매체",SUMPRODUCT((자동계산!$A$4:$A$48&gt;=INDEX(회차설정!$C$13:$C$27,$S$540))*(자동계산!$A$4:$A$48&lt;=INDEX(회차설정!$D$13:$D$27,$S$540))*자동계산!$E$4:$E$48),SUMPRODUCT((자동계산!$A$4:$A$48&gt;=INDEX(회차설정!$C$13:$C$27,$S$540))*(자동계산!$A$4:$A$48&lt;=INDEX(회차설정!$D$13:$D$27,$S$540))*자동계산!$C$4:$C$48)))</f>
        <v/>
      </c>
      <c r="E550" s="14">
        <f>IF(OR($S$540="",$R$536=""),"",SUM(OFFSET(전체채점!$AW$2,$R$536,INDEX(회차설정!$C$13:$C$27,$S$540),1,INDEX(회차설정!$D$13:$D$27,$S$540)-INDEX(회차설정!$C$13:$C$27,$S$540)+1)))</f>
        <v/>
      </c>
      <c r="F550" s="46">
        <f>IF(OR($S$540="",$D550=0,$D550="",$E550=""),"",$E550/$D550*100)</f>
        <v/>
      </c>
      <c r="G550" s="8" t="n"/>
      <c r="H550" s="47">
        <f>IF($F550="","",REPT("■",ROUND($F550/5,0)))</f>
        <v/>
      </c>
      <c r="I550" s="7" t="n"/>
      <c r="J550" s="7" t="n"/>
      <c r="K550" s="7" t="n"/>
      <c r="L550" s="7" t="n"/>
      <c r="M550" s="7" t="n"/>
      <c r="N550" s="7" t="n"/>
      <c r="O550" s="7" t="n"/>
      <c r="P550" s="8" t="n"/>
    </row>
    <row r="551">
      <c r="A551" s="14">
        <f>IF($S$541="","",INDEX(회차설정!$A$13:$A$27,$S$541))</f>
        <v/>
      </c>
      <c r="B551" s="14">
        <f>IF($S$541="","",INDEX(회차설정!$B$13:$B$27,$S$541))</f>
        <v/>
      </c>
      <c r="C551" s="8" t="n"/>
      <c r="D551" s="14">
        <f>IF($S$541="","",IF($R$537="언어와 매체",SUMPRODUCT((자동계산!$A$4:$A$48&gt;=INDEX(회차설정!$C$13:$C$27,$S$541))*(자동계산!$A$4:$A$48&lt;=INDEX(회차설정!$D$13:$D$27,$S$541))*자동계산!$E$4:$E$48),SUMPRODUCT((자동계산!$A$4:$A$48&gt;=INDEX(회차설정!$C$13:$C$27,$S$541))*(자동계산!$A$4:$A$48&lt;=INDEX(회차설정!$D$13:$D$27,$S$541))*자동계산!$C$4:$C$48)))</f>
        <v/>
      </c>
      <c r="E551" s="14">
        <f>IF(OR($S$541="",$R$536=""),"",SUM(OFFSET(전체채점!$AW$2,$R$536,INDEX(회차설정!$C$13:$C$27,$S$541),1,INDEX(회차설정!$D$13:$D$27,$S$541)-INDEX(회차설정!$C$13:$C$27,$S$541)+1)))</f>
        <v/>
      </c>
      <c r="F551" s="46">
        <f>IF(OR($S$541="",$D551=0,$D551="",$E551=""),"",$E551/$D551*100)</f>
        <v/>
      </c>
      <c r="G551" s="8" t="n"/>
      <c r="H551" s="47">
        <f>IF($F551="","",REPT("■",ROUND($F551/5,0)))</f>
        <v/>
      </c>
      <c r="I551" s="7" t="n"/>
      <c r="J551" s="7" t="n"/>
      <c r="K551" s="7" t="n"/>
      <c r="L551" s="7" t="n"/>
      <c r="M551" s="7" t="n"/>
      <c r="N551" s="7" t="n"/>
      <c r="O551" s="7" t="n"/>
      <c r="P551" s="8" t="n"/>
    </row>
    <row r="552">
      <c r="A552" s="14">
        <f>IF($S$542="","",INDEX(회차설정!$A$13:$A$27,$S$542))</f>
        <v/>
      </c>
      <c r="B552" s="14">
        <f>IF($S$542="","",INDEX(회차설정!$B$13:$B$27,$S$542))</f>
        <v/>
      </c>
      <c r="C552" s="8" t="n"/>
      <c r="D552" s="14">
        <f>IF($S$542="","",IF($R$537="언어와 매체",SUMPRODUCT((자동계산!$A$4:$A$48&gt;=INDEX(회차설정!$C$13:$C$27,$S$542))*(자동계산!$A$4:$A$48&lt;=INDEX(회차설정!$D$13:$D$27,$S$542))*자동계산!$E$4:$E$48),SUMPRODUCT((자동계산!$A$4:$A$48&gt;=INDEX(회차설정!$C$13:$C$27,$S$542))*(자동계산!$A$4:$A$48&lt;=INDEX(회차설정!$D$13:$D$27,$S$542))*자동계산!$C$4:$C$48)))</f>
        <v/>
      </c>
      <c r="E552" s="14">
        <f>IF(OR($S$542="",$R$536=""),"",SUM(OFFSET(전체채점!$AW$2,$R$536,INDEX(회차설정!$C$13:$C$27,$S$542),1,INDEX(회차설정!$D$13:$D$27,$S$542)-INDEX(회차설정!$C$13:$C$27,$S$542)+1)))</f>
        <v/>
      </c>
      <c r="F552" s="46">
        <f>IF(OR($S$542="",$D552=0,$D552="",$E552=""),"",$E552/$D552*100)</f>
        <v/>
      </c>
      <c r="G552" s="8" t="n"/>
      <c r="H552" s="47">
        <f>IF($F552="","",REPT("■",ROUND($F552/5,0)))</f>
        <v/>
      </c>
      <c r="I552" s="7" t="n"/>
      <c r="J552" s="7" t="n"/>
      <c r="K552" s="7" t="n"/>
      <c r="L552" s="7" t="n"/>
      <c r="M552" s="7" t="n"/>
      <c r="N552" s="7" t="n"/>
      <c r="O552" s="7" t="n"/>
      <c r="P552" s="8" t="n"/>
    </row>
    <row r="553">
      <c r="A553" s="14">
        <f>IF($S$543="","",INDEX(회차설정!$A$13:$A$27,$S$543))</f>
        <v/>
      </c>
      <c r="B553" s="14">
        <f>IF($S$543="","",INDEX(회차설정!$B$13:$B$27,$S$543))</f>
        <v/>
      </c>
      <c r="C553" s="8" t="n"/>
      <c r="D553" s="14">
        <f>IF($S$543="","",IF($R$537="언어와 매체",SUMPRODUCT((자동계산!$A$4:$A$48&gt;=INDEX(회차설정!$C$13:$C$27,$S$543))*(자동계산!$A$4:$A$48&lt;=INDEX(회차설정!$D$13:$D$27,$S$543))*자동계산!$E$4:$E$48),SUMPRODUCT((자동계산!$A$4:$A$48&gt;=INDEX(회차설정!$C$13:$C$27,$S$543))*(자동계산!$A$4:$A$48&lt;=INDEX(회차설정!$D$13:$D$27,$S$543))*자동계산!$C$4:$C$48)))</f>
        <v/>
      </c>
      <c r="E553" s="14">
        <f>IF(OR($S$543="",$R$536=""),"",SUM(OFFSET(전체채점!$AW$2,$R$536,INDEX(회차설정!$C$13:$C$27,$S$543),1,INDEX(회차설정!$D$13:$D$27,$S$543)-INDEX(회차설정!$C$13:$C$27,$S$543)+1)))</f>
        <v/>
      </c>
      <c r="F553" s="46">
        <f>IF(OR($S$543="",$D553=0,$D553="",$E553=""),"",$E553/$D553*100)</f>
        <v/>
      </c>
      <c r="G553" s="8" t="n"/>
      <c r="H553" s="47">
        <f>IF($F553="","",REPT("■",ROUND($F553/5,0)))</f>
        <v/>
      </c>
      <c r="I553" s="7" t="n"/>
      <c r="J553" s="7" t="n"/>
      <c r="K553" s="7" t="n"/>
      <c r="L553" s="7" t="n"/>
      <c r="M553" s="7" t="n"/>
      <c r="N553" s="7" t="n"/>
      <c r="O553" s="7" t="n"/>
      <c r="P553" s="8" t="n"/>
    </row>
    <row r="554">
      <c r="A554" s="14">
        <f>IF($S$544="","",INDEX(회차설정!$A$13:$A$27,$S$544))</f>
        <v/>
      </c>
      <c r="B554" s="14">
        <f>IF($S$544="","",INDEX(회차설정!$B$13:$B$27,$S$544))</f>
        <v/>
      </c>
      <c r="C554" s="8" t="n"/>
      <c r="D554" s="14">
        <f>IF($S$544="","",IF($R$537="언어와 매체",SUMPRODUCT((자동계산!$A$4:$A$48&gt;=INDEX(회차설정!$C$13:$C$27,$S$544))*(자동계산!$A$4:$A$48&lt;=INDEX(회차설정!$D$13:$D$27,$S$544))*자동계산!$E$4:$E$48),SUMPRODUCT((자동계산!$A$4:$A$48&gt;=INDEX(회차설정!$C$13:$C$27,$S$544))*(자동계산!$A$4:$A$48&lt;=INDEX(회차설정!$D$13:$D$27,$S$544))*자동계산!$C$4:$C$48)))</f>
        <v/>
      </c>
      <c r="E554" s="14">
        <f>IF(OR($S$544="",$R$536=""),"",SUM(OFFSET(전체채점!$AW$2,$R$536,INDEX(회차설정!$C$13:$C$27,$S$544),1,INDEX(회차설정!$D$13:$D$27,$S$544)-INDEX(회차설정!$C$13:$C$27,$S$544)+1)))</f>
        <v/>
      </c>
      <c r="F554" s="46">
        <f>IF(OR($S$544="",$D554=0,$D554="",$E554=""),"",$E554/$D554*100)</f>
        <v/>
      </c>
      <c r="G554" s="8" t="n"/>
      <c r="H554" s="47">
        <f>IF($F554="","",REPT("■",ROUND($F554/5,0)))</f>
        <v/>
      </c>
      <c r="I554" s="7" t="n"/>
      <c r="J554" s="7" t="n"/>
      <c r="K554" s="7" t="n"/>
      <c r="L554" s="7" t="n"/>
      <c r="M554" s="7" t="n"/>
      <c r="N554" s="7" t="n"/>
      <c r="O554" s="7" t="n"/>
      <c r="P554" s="8" t="n"/>
    </row>
    <row r="555">
      <c r="A555" s="14">
        <f>IF($S$545="","",INDEX(회차설정!$A$13:$A$27,$S$545))</f>
        <v/>
      </c>
      <c r="B555" s="14">
        <f>IF($S$545="","",INDEX(회차설정!$B$13:$B$27,$S$545))</f>
        <v/>
      </c>
      <c r="C555" s="8" t="n"/>
      <c r="D555" s="14">
        <f>IF($S$545="","",IF($R$537="언어와 매체",SUMPRODUCT((자동계산!$A$4:$A$48&gt;=INDEX(회차설정!$C$13:$C$27,$S$545))*(자동계산!$A$4:$A$48&lt;=INDEX(회차설정!$D$13:$D$27,$S$545))*자동계산!$E$4:$E$48),SUMPRODUCT((자동계산!$A$4:$A$48&gt;=INDEX(회차설정!$C$13:$C$27,$S$545))*(자동계산!$A$4:$A$48&lt;=INDEX(회차설정!$D$13:$D$27,$S$545))*자동계산!$C$4:$C$48)))</f>
        <v/>
      </c>
      <c r="E555" s="14">
        <f>IF(OR($S$545="",$R$536=""),"",SUM(OFFSET(전체채점!$AW$2,$R$536,INDEX(회차설정!$C$13:$C$27,$S$545),1,INDEX(회차설정!$D$13:$D$27,$S$545)-INDEX(회차설정!$C$13:$C$27,$S$545)+1)))</f>
        <v/>
      </c>
      <c r="F555" s="46">
        <f>IF(OR($S$545="",$D555=0,$D555="",$E555=""),"",$E555/$D555*100)</f>
        <v/>
      </c>
      <c r="G555" s="8" t="n"/>
      <c r="H555" s="47">
        <f>IF($F555="","",REPT("■",ROUND($F555/5,0)))</f>
        <v/>
      </c>
      <c r="I555" s="7" t="n"/>
      <c r="J555" s="7" t="n"/>
      <c r="K555" s="7" t="n"/>
      <c r="L555" s="7" t="n"/>
      <c r="M555" s="7" t="n"/>
      <c r="N555" s="7" t="n"/>
      <c r="O555" s="7" t="n"/>
      <c r="P555" s="8" t="n"/>
    </row>
    <row r="556">
      <c r="A556" s="14">
        <f>IF($S$546="","",INDEX(회차설정!$A$13:$A$27,$S$546))</f>
        <v/>
      </c>
      <c r="B556" s="14">
        <f>IF($S$546="","",INDEX(회차설정!$B$13:$B$27,$S$546))</f>
        <v/>
      </c>
      <c r="C556" s="8" t="n"/>
      <c r="D556" s="14">
        <f>IF($S$546="","",IF($R$537="언어와 매체",SUMPRODUCT((자동계산!$A$4:$A$48&gt;=INDEX(회차설정!$C$13:$C$27,$S$546))*(자동계산!$A$4:$A$48&lt;=INDEX(회차설정!$D$13:$D$27,$S$546))*자동계산!$E$4:$E$48),SUMPRODUCT((자동계산!$A$4:$A$48&gt;=INDEX(회차설정!$C$13:$C$27,$S$546))*(자동계산!$A$4:$A$48&lt;=INDEX(회차설정!$D$13:$D$27,$S$546))*자동계산!$C$4:$C$48)))</f>
        <v/>
      </c>
      <c r="E556" s="14">
        <f>IF(OR($S$546="",$R$536=""),"",SUM(OFFSET(전체채점!$AW$2,$R$536,INDEX(회차설정!$C$13:$C$27,$S$546),1,INDEX(회차설정!$D$13:$D$27,$S$546)-INDEX(회차설정!$C$13:$C$27,$S$546)+1)))</f>
        <v/>
      </c>
      <c r="F556" s="46">
        <f>IF(OR($S$546="",$D556=0,$D556="",$E556=""),"",$E556/$D556*100)</f>
        <v/>
      </c>
      <c r="G556" s="8" t="n"/>
      <c r="H556" s="47">
        <f>IF($F556="","",REPT("■",ROUND($F556/5,0)))</f>
        <v/>
      </c>
      <c r="I556" s="7" t="n"/>
      <c r="J556" s="7" t="n"/>
      <c r="K556" s="7" t="n"/>
      <c r="L556" s="7" t="n"/>
      <c r="M556" s="7" t="n"/>
      <c r="N556" s="7" t="n"/>
      <c r="O556" s="7" t="n"/>
      <c r="P556" s="8" t="n"/>
    </row>
    <row r="557">
      <c r="A557" s="14">
        <f>IF($S$547="","",INDEX(회차설정!$A$13:$A$27,$S$547))</f>
        <v/>
      </c>
      <c r="B557" s="14">
        <f>IF($S$547="","",INDEX(회차설정!$B$13:$B$27,$S$547))</f>
        <v/>
      </c>
      <c r="C557" s="8" t="n"/>
      <c r="D557" s="14">
        <f>IF($S$547="","",IF($R$537="언어와 매체",SUMPRODUCT((자동계산!$A$4:$A$48&gt;=INDEX(회차설정!$C$13:$C$27,$S$547))*(자동계산!$A$4:$A$48&lt;=INDEX(회차설정!$D$13:$D$27,$S$547))*자동계산!$E$4:$E$48),SUMPRODUCT((자동계산!$A$4:$A$48&gt;=INDEX(회차설정!$C$13:$C$27,$S$547))*(자동계산!$A$4:$A$48&lt;=INDEX(회차설정!$D$13:$D$27,$S$547))*자동계산!$C$4:$C$48)))</f>
        <v/>
      </c>
      <c r="E557" s="14">
        <f>IF(OR($S$547="",$R$536=""),"",SUM(OFFSET(전체채점!$AW$2,$R$536,INDEX(회차설정!$C$13:$C$27,$S$547),1,INDEX(회차설정!$D$13:$D$27,$S$547)-INDEX(회차설정!$C$13:$C$27,$S$547)+1)))</f>
        <v/>
      </c>
      <c r="F557" s="46">
        <f>IF(OR($S$547="",$D557=0,$D557="",$E557=""),"",$E557/$D557*100)</f>
        <v/>
      </c>
      <c r="G557" s="8" t="n"/>
      <c r="H557" s="47">
        <f>IF($F557="","",REPT("■",ROUND($F557/5,0)))</f>
        <v/>
      </c>
      <c r="I557" s="7" t="n"/>
      <c r="J557" s="7" t="n"/>
      <c r="K557" s="7" t="n"/>
      <c r="L557" s="7" t="n"/>
      <c r="M557" s="7" t="n"/>
      <c r="N557" s="7" t="n"/>
      <c r="O557" s="7" t="n"/>
      <c r="P557" s="8" t="n"/>
    </row>
    <row r="558">
      <c r="A558" s="5">
        <f>IF($R$536="","","합계")</f>
        <v/>
      </c>
      <c r="B558" s="7" t="n"/>
      <c r="C558" s="8" t="n"/>
      <c r="D558" s="5">
        <f>IF($R$536="","",SUM(D546:D557))</f>
        <v/>
      </c>
      <c r="E558" s="5">
        <f>IF($R$536="","",SUM(E546:E557))</f>
        <v/>
      </c>
      <c r="F558" s="48">
        <f>IF(OR($D558=0,$D558=""),"",$E558/$D558*100)</f>
        <v/>
      </c>
      <c r="G558" s="8" t="n"/>
      <c r="H558" s="49">
        <f>IF($F558="","",REPT("■",ROUND($F558/5,0)))</f>
        <v/>
      </c>
      <c r="I558" s="7" t="n"/>
      <c r="J558" s="7" t="n"/>
      <c r="K558" s="7" t="n"/>
      <c r="L558" s="7" t="n"/>
      <c r="M558" s="7" t="n"/>
      <c r="N558" s="7" t="n"/>
      <c r="O558" s="7" t="n"/>
      <c r="P558" s="8" t="n"/>
    </row>
    <row r="560">
      <c r="A560" s="12" t="inlineStr">
        <is>
          <t>4. 문항 채점표</t>
        </is>
      </c>
    </row>
    <row r="561">
      <c r="A561" s="50" t="inlineStr">
        <is>
          <t>문항 번호</t>
        </is>
      </c>
      <c r="B561" s="51" t="n">
        <v>1</v>
      </c>
      <c r="C561" s="51" t="n">
        <v>2</v>
      </c>
      <c r="D561" s="51" t="n">
        <v>3</v>
      </c>
      <c r="E561" s="51" t="n">
        <v>4</v>
      </c>
      <c r="F561" s="51" t="n">
        <v>5</v>
      </c>
      <c r="G561" s="51" t="n">
        <v>6</v>
      </c>
      <c r="H561" s="51" t="n">
        <v>7</v>
      </c>
      <c r="I561" s="51" t="n">
        <v>8</v>
      </c>
      <c r="J561" s="51" t="n">
        <v>9</v>
      </c>
      <c r="K561" s="51" t="n">
        <v>10</v>
      </c>
      <c r="L561" s="51" t="n">
        <v>11</v>
      </c>
      <c r="M561" s="51" t="n">
        <v>12</v>
      </c>
      <c r="N561" s="51" t="n">
        <v>13</v>
      </c>
      <c r="O561" s="51" t="n">
        <v>14</v>
      </c>
      <c r="P561" s="51" t="n">
        <v>15</v>
      </c>
    </row>
    <row r="562">
      <c r="A562" s="52" t="inlineStr">
        <is>
          <t>정답</t>
        </is>
      </c>
      <c r="B562" s="33">
        <f>IF($R$537="","",IF($R$537="언어와 매체",자동계산!$D$4,자동계산!$B$4))</f>
        <v/>
      </c>
      <c r="C562" s="33">
        <f>IF($R$537="","",IF($R$537="언어와 매체",자동계산!$D$5,자동계산!$B$5))</f>
        <v/>
      </c>
      <c r="D562" s="33">
        <f>IF($R$537="","",IF($R$537="언어와 매체",자동계산!$D$6,자동계산!$B$6))</f>
        <v/>
      </c>
      <c r="E562" s="33">
        <f>IF($R$537="","",IF($R$537="언어와 매체",자동계산!$D$7,자동계산!$B$7))</f>
        <v/>
      </c>
      <c r="F562" s="33">
        <f>IF($R$537="","",IF($R$537="언어와 매체",자동계산!$D$8,자동계산!$B$8))</f>
        <v/>
      </c>
      <c r="G562" s="33">
        <f>IF($R$537="","",IF($R$537="언어와 매체",자동계산!$D$9,자동계산!$B$9))</f>
        <v/>
      </c>
      <c r="H562" s="33">
        <f>IF($R$537="","",IF($R$537="언어와 매체",자동계산!$D$10,자동계산!$B$10))</f>
        <v/>
      </c>
      <c r="I562" s="33">
        <f>IF($R$537="","",IF($R$537="언어와 매체",자동계산!$D$11,자동계산!$B$11))</f>
        <v/>
      </c>
      <c r="J562" s="33">
        <f>IF($R$537="","",IF($R$537="언어와 매체",자동계산!$D$12,자동계산!$B$12))</f>
        <v/>
      </c>
      <c r="K562" s="33">
        <f>IF($R$537="","",IF($R$537="언어와 매체",자동계산!$D$13,자동계산!$B$13))</f>
        <v/>
      </c>
      <c r="L562" s="33">
        <f>IF($R$537="","",IF($R$537="언어와 매체",자동계산!$D$14,자동계산!$B$14))</f>
        <v/>
      </c>
      <c r="M562" s="33">
        <f>IF($R$537="","",IF($R$537="언어와 매체",자동계산!$D$15,자동계산!$B$15))</f>
        <v/>
      </c>
      <c r="N562" s="33">
        <f>IF($R$537="","",IF($R$537="언어와 매체",자동계산!$D$16,자동계산!$B$16))</f>
        <v/>
      </c>
      <c r="O562" s="33">
        <f>IF($R$537="","",IF($R$537="언어와 매체",자동계산!$D$17,자동계산!$B$17))</f>
        <v/>
      </c>
      <c r="P562" s="33">
        <f>IF($R$537="","",IF($R$537="언어와 매체",자동계산!$D$18,자동계산!$B$18))</f>
        <v/>
      </c>
    </row>
    <row r="563">
      <c r="A563" s="52" t="inlineStr">
        <is>
          <t>학생답안</t>
        </is>
      </c>
      <c r="B563" s="33">
        <f>IF($R$536="","",INDEX(전체채점!E$3:E$62,$R$536))</f>
        <v/>
      </c>
      <c r="C563" s="33">
        <f>IF($R$536="","",INDEX(전체채점!F$3:F$62,$R$536))</f>
        <v/>
      </c>
      <c r="D563" s="33">
        <f>IF($R$536="","",INDEX(전체채점!G$3:G$62,$R$536))</f>
        <v/>
      </c>
      <c r="E563" s="33">
        <f>IF($R$536="","",INDEX(전체채점!H$3:H$62,$R$536))</f>
        <v/>
      </c>
      <c r="F563" s="33">
        <f>IF($R$536="","",INDEX(전체채점!I$3:I$62,$R$536))</f>
        <v/>
      </c>
      <c r="G563" s="33">
        <f>IF($R$536="","",INDEX(전체채점!J$3:J$62,$R$536))</f>
        <v/>
      </c>
      <c r="H563" s="33">
        <f>IF($R$536="","",INDEX(전체채점!K$3:K$62,$R$536))</f>
        <v/>
      </c>
      <c r="I563" s="33">
        <f>IF($R$536="","",INDEX(전체채점!L$3:L$62,$R$536))</f>
        <v/>
      </c>
      <c r="J563" s="33">
        <f>IF($R$536="","",INDEX(전체채점!M$3:M$62,$R$536))</f>
        <v/>
      </c>
      <c r="K563" s="33">
        <f>IF($R$536="","",INDEX(전체채점!N$3:N$62,$R$536))</f>
        <v/>
      </c>
      <c r="L563" s="33">
        <f>IF($R$536="","",INDEX(전체채점!O$3:O$62,$R$536))</f>
        <v/>
      </c>
      <c r="M563" s="33">
        <f>IF($R$536="","",INDEX(전체채점!P$3:P$62,$R$536))</f>
        <v/>
      </c>
      <c r="N563" s="33">
        <f>IF($R$536="","",INDEX(전체채점!Q$3:Q$62,$R$536))</f>
        <v/>
      </c>
      <c r="O563" s="33">
        <f>IF($R$536="","",INDEX(전체채점!R$3:R$62,$R$536))</f>
        <v/>
      </c>
      <c r="P563" s="33">
        <f>IF($R$536="","",INDEX(전체채점!S$3:S$62,$R$536))</f>
        <v/>
      </c>
    </row>
    <row r="564">
      <c r="A564" s="52" t="inlineStr">
        <is>
          <t>정오</t>
        </is>
      </c>
      <c r="B564" s="33">
        <f>IF($R$536="","",INDEX(전체채점!AX$3:AX$62,$R$536))</f>
        <v/>
      </c>
      <c r="C564" s="33">
        <f>IF($R$536="","",INDEX(전체채점!AY$3:AY$62,$R$536))</f>
        <v/>
      </c>
      <c r="D564" s="33">
        <f>IF($R$536="","",INDEX(전체채점!AZ$3:AZ$62,$R$536))</f>
        <v/>
      </c>
      <c r="E564" s="33">
        <f>IF($R$536="","",INDEX(전체채점!BA$3:BA$62,$R$536))</f>
        <v/>
      </c>
      <c r="F564" s="33">
        <f>IF($R$536="","",INDEX(전체채점!BB$3:BB$62,$R$536))</f>
        <v/>
      </c>
      <c r="G564" s="33">
        <f>IF($R$536="","",INDEX(전체채점!BC$3:BC$62,$R$536))</f>
        <v/>
      </c>
      <c r="H564" s="33">
        <f>IF($R$536="","",INDEX(전체채점!BD$3:BD$62,$R$536))</f>
        <v/>
      </c>
      <c r="I564" s="33">
        <f>IF($R$536="","",INDEX(전체채점!BE$3:BE$62,$R$536))</f>
        <v/>
      </c>
      <c r="J564" s="33">
        <f>IF($R$536="","",INDEX(전체채점!BF$3:BF$62,$R$536))</f>
        <v/>
      </c>
      <c r="K564" s="33">
        <f>IF($R$536="","",INDEX(전체채점!BG$3:BG$62,$R$536))</f>
        <v/>
      </c>
      <c r="L564" s="33">
        <f>IF($R$536="","",INDEX(전체채점!BH$3:BH$62,$R$536))</f>
        <v/>
      </c>
      <c r="M564" s="33">
        <f>IF($R$536="","",INDEX(전체채점!BI$3:BI$62,$R$536))</f>
        <v/>
      </c>
      <c r="N564" s="33">
        <f>IF($R$536="","",INDEX(전체채점!BJ$3:BJ$62,$R$536))</f>
        <v/>
      </c>
      <c r="O564" s="33">
        <f>IF($R$536="","",INDEX(전체채점!BK$3:BK$62,$R$536))</f>
        <v/>
      </c>
      <c r="P564" s="33">
        <f>IF($R$536="","",INDEX(전체채점!BL$3:BL$62,$R$536))</f>
        <v/>
      </c>
    </row>
    <row r="565">
      <c r="A565" s="50" t="inlineStr">
        <is>
          <t>문항 번호</t>
        </is>
      </c>
      <c r="B565" s="51" t="n">
        <v>16</v>
      </c>
      <c r="C565" s="51" t="n">
        <v>17</v>
      </c>
      <c r="D565" s="51" t="n">
        <v>18</v>
      </c>
      <c r="E565" s="51" t="n">
        <v>19</v>
      </c>
      <c r="F565" s="51" t="n">
        <v>20</v>
      </c>
      <c r="G565" s="51" t="n">
        <v>21</v>
      </c>
      <c r="H565" s="51" t="n">
        <v>22</v>
      </c>
      <c r="I565" s="51" t="n">
        <v>23</v>
      </c>
      <c r="J565" s="51" t="n">
        <v>24</v>
      </c>
      <c r="K565" s="51" t="n">
        <v>25</v>
      </c>
      <c r="L565" s="51" t="n">
        <v>26</v>
      </c>
      <c r="M565" s="51" t="n">
        <v>27</v>
      </c>
      <c r="N565" s="51" t="n">
        <v>28</v>
      </c>
      <c r="O565" s="51" t="n">
        <v>29</v>
      </c>
      <c r="P565" s="51" t="n">
        <v>30</v>
      </c>
    </row>
    <row r="566">
      <c r="A566" s="52" t="inlineStr">
        <is>
          <t>정답</t>
        </is>
      </c>
      <c r="B566" s="33">
        <f>IF($R$537="","",IF($R$537="언어와 매체",자동계산!$D$19,자동계산!$B$19))</f>
        <v/>
      </c>
      <c r="C566" s="33">
        <f>IF($R$537="","",IF($R$537="언어와 매체",자동계산!$D$20,자동계산!$B$20))</f>
        <v/>
      </c>
      <c r="D566" s="33">
        <f>IF($R$537="","",IF($R$537="언어와 매체",자동계산!$D$21,자동계산!$B$21))</f>
        <v/>
      </c>
      <c r="E566" s="33">
        <f>IF($R$537="","",IF($R$537="언어와 매체",자동계산!$D$22,자동계산!$B$22))</f>
        <v/>
      </c>
      <c r="F566" s="33">
        <f>IF($R$537="","",IF($R$537="언어와 매체",자동계산!$D$23,자동계산!$B$23))</f>
        <v/>
      </c>
      <c r="G566" s="33">
        <f>IF($R$537="","",IF($R$537="언어와 매체",자동계산!$D$24,자동계산!$B$24))</f>
        <v/>
      </c>
      <c r="H566" s="33">
        <f>IF($R$537="","",IF($R$537="언어와 매체",자동계산!$D$25,자동계산!$B$25))</f>
        <v/>
      </c>
      <c r="I566" s="33">
        <f>IF($R$537="","",IF($R$537="언어와 매체",자동계산!$D$26,자동계산!$B$26))</f>
        <v/>
      </c>
      <c r="J566" s="33">
        <f>IF($R$537="","",IF($R$537="언어와 매체",자동계산!$D$27,자동계산!$B$27))</f>
        <v/>
      </c>
      <c r="K566" s="33">
        <f>IF($R$537="","",IF($R$537="언어와 매체",자동계산!$D$28,자동계산!$B$28))</f>
        <v/>
      </c>
      <c r="L566" s="33">
        <f>IF($R$537="","",IF($R$537="언어와 매체",자동계산!$D$29,자동계산!$B$29))</f>
        <v/>
      </c>
      <c r="M566" s="33">
        <f>IF($R$537="","",IF($R$537="언어와 매체",자동계산!$D$30,자동계산!$B$30))</f>
        <v/>
      </c>
      <c r="N566" s="33">
        <f>IF($R$537="","",IF($R$537="언어와 매체",자동계산!$D$31,자동계산!$B$31))</f>
        <v/>
      </c>
      <c r="O566" s="33">
        <f>IF($R$537="","",IF($R$537="언어와 매체",자동계산!$D$32,자동계산!$B$32))</f>
        <v/>
      </c>
      <c r="P566" s="33">
        <f>IF($R$537="","",IF($R$537="언어와 매체",자동계산!$D$33,자동계산!$B$33))</f>
        <v/>
      </c>
    </row>
    <row r="567">
      <c r="A567" s="52" t="inlineStr">
        <is>
          <t>학생답안</t>
        </is>
      </c>
      <c r="B567" s="33">
        <f>IF($R$536="","",INDEX(전체채점!T$3:T$62,$R$536))</f>
        <v/>
      </c>
      <c r="C567" s="33">
        <f>IF($R$536="","",INDEX(전체채점!U$3:U$62,$R$536))</f>
        <v/>
      </c>
      <c r="D567" s="33">
        <f>IF($R$536="","",INDEX(전체채점!V$3:V$62,$R$536))</f>
        <v/>
      </c>
      <c r="E567" s="33">
        <f>IF($R$536="","",INDEX(전체채점!W$3:W$62,$R$536))</f>
        <v/>
      </c>
      <c r="F567" s="33">
        <f>IF($R$536="","",INDEX(전체채점!X$3:X$62,$R$536))</f>
        <v/>
      </c>
      <c r="G567" s="33">
        <f>IF($R$536="","",INDEX(전체채점!Y$3:Y$62,$R$536))</f>
        <v/>
      </c>
      <c r="H567" s="33">
        <f>IF($R$536="","",INDEX(전체채점!Z$3:Z$62,$R$536))</f>
        <v/>
      </c>
      <c r="I567" s="33">
        <f>IF($R$536="","",INDEX(전체채점!AA$3:AA$62,$R$536))</f>
        <v/>
      </c>
      <c r="J567" s="33">
        <f>IF($R$536="","",INDEX(전체채점!AB$3:AB$62,$R$536))</f>
        <v/>
      </c>
      <c r="K567" s="33">
        <f>IF($R$536="","",INDEX(전체채점!AC$3:AC$62,$R$536))</f>
        <v/>
      </c>
      <c r="L567" s="33">
        <f>IF($R$536="","",INDEX(전체채점!AD$3:AD$62,$R$536))</f>
        <v/>
      </c>
      <c r="M567" s="33">
        <f>IF($R$536="","",INDEX(전체채점!AE$3:AE$62,$R$536))</f>
        <v/>
      </c>
      <c r="N567" s="33">
        <f>IF($R$536="","",INDEX(전체채점!AF$3:AF$62,$R$536))</f>
        <v/>
      </c>
      <c r="O567" s="33">
        <f>IF($R$536="","",INDEX(전체채점!AG$3:AG$62,$R$536))</f>
        <v/>
      </c>
      <c r="P567" s="33">
        <f>IF($R$536="","",INDEX(전체채점!AH$3:AH$62,$R$536))</f>
        <v/>
      </c>
    </row>
    <row r="568">
      <c r="A568" s="52" t="inlineStr">
        <is>
          <t>정오</t>
        </is>
      </c>
      <c r="B568" s="33">
        <f>IF($R$536="","",INDEX(전체채점!BM$3:BM$62,$R$536))</f>
        <v/>
      </c>
      <c r="C568" s="33">
        <f>IF($R$536="","",INDEX(전체채점!BN$3:BN$62,$R$536))</f>
        <v/>
      </c>
      <c r="D568" s="33">
        <f>IF($R$536="","",INDEX(전체채점!BO$3:BO$62,$R$536))</f>
        <v/>
      </c>
      <c r="E568" s="33">
        <f>IF($R$536="","",INDEX(전체채점!BP$3:BP$62,$R$536))</f>
        <v/>
      </c>
      <c r="F568" s="33">
        <f>IF($R$536="","",INDEX(전체채점!BQ$3:BQ$62,$R$536))</f>
        <v/>
      </c>
      <c r="G568" s="33">
        <f>IF($R$536="","",INDEX(전체채점!BR$3:BR$62,$R$536))</f>
        <v/>
      </c>
      <c r="H568" s="33">
        <f>IF($R$536="","",INDEX(전체채점!BS$3:BS$62,$R$536))</f>
        <v/>
      </c>
      <c r="I568" s="33">
        <f>IF($R$536="","",INDEX(전체채점!BT$3:BT$62,$R$536))</f>
        <v/>
      </c>
      <c r="J568" s="33">
        <f>IF($R$536="","",INDEX(전체채점!BU$3:BU$62,$R$536))</f>
        <v/>
      </c>
      <c r="K568" s="33">
        <f>IF($R$536="","",INDEX(전체채점!BV$3:BV$62,$R$536))</f>
        <v/>
      </c>
      <c r="L568" s="33">
        <f>IF($R$536="","",INDEX(전체채점!BW$3:BW$62,$R$536))</f>
        <v/>
      </c>
      <c r="M568" s="33">
        <f>IF($R$536="","",INDEX(전체채점!BX$3:BX$62,$R$536))</f>
        <v/>
      </c>
      <c r="N568" s="33">
        <f>IF($R$536="","",INDEX(전체채점!BY$3:BY$62,$R$536))</f>
        <v/>
      </c>
      <c r="O568" s="33">
        <f>IF($R$536="","",INDEX(전체채점!BZ$3:BZ$62,$R$536))</f>
        <v/>
      </c>
      <c r="P568" s="33">
        <f>IF($R$536="","",INDEX(전체채점!CA$3:CA$62,$R$536))</f>
        <v/>
      </c>
    </row>
    <row r="569">
      <c r="A569" s="50" t="inlineStr">
        <is>
          <t>문항 번호</t>
        </is>
      </c>
      <c r="B569" s="51" t="n">
        <v>31</v>
      </c>
      <c r="C569" s="51" t="n">
        <v>32</v>
      </c>
      <c r="D569" s="51" t="n">
        <v>33</v>
      </c>
      <c r="E569" s="51" t="n">
        <v>34</v>
      </c>
      <c r="F569" s="51" t="n">
        <v>35</v>
      </c>
      <c r="G569" s="51" t="n">
        <v>36</v>
      </c>
      <c r="H569" s="51" t="n">
        <v>37</v>
      </c>
      <c r="I569" s="51" t="n">
        <v>38</v>
      </c>
      <c r="J569" s="51" t="n">
        <v>39</v>
      </c>
      <c r="K569" s="51" t="n">
        <v>40</v>
      </c>
      <c r="L569" s="51" t="n">
        <v>41</v>
      </c>
      <c r="M569" s="51" t="n">
        <v>42</v>
      </c>
      <c r="N569" s="51" t="n">
        <v>43</v>
      </c>
      <c r="O569" s="51" t="n">
        <v>44</v>
      </c>
      <c r="P569" s="51" t="n">
        <v>45</v>
      </c>
    </row>
    <row r="570">
      <c r="A570" s="52" t="inlineStr">
        <is>
          <t>정답</t>
        </is>
      </c>
      <c r="B570" s="33">
        <f>IF($R$537="","",IF($R$537="언어와 매체",자동계산!$D$34,자동계산!$B$34))</f>
        <v/>
      </c>
      <c r="C570" s="33">
        <f>IF($R$537="","",IF($R$537="언어와 매체",자동계산!$D$35,자동계산!$B$35))</f>
        <v/>
      </c>
      <c r="D570" s="33">
        <f>IF($R$537="","",IF($R$537="언어와 매체",자동계산!$D$36,자동계산!$B$36))</f>
        <v/>
      </c>
      <c r="E570" s="33">
        <f>IF($R$537="","",IF($R$537="언어와 매체",자동계산!$D$37,자동계산!$B$37))</f>
        <v/>
      </c>
      <c r="F570" s="33">
        <f>IF($R$537="","",IF($R$537="언어와 매체",자동계산!$D$38,자동계산!$B$38))</f>
        <v/>
      </c>
      <c r="G570" s="33">
        <f>IF($R$537="","",IF($R$537="언어와 매체",자동계산!$D$39,자동계산!$B$39))</f>
        <v/>
      </c>
      <c r="H570" s="33">
        <f>IF($R$537="","",IF($R$537="언어와 매체",자동계산!$D$40,자동계산!$B$40))</f>
        <v/>
      </c>
      <c r="I570" s="33">
        <f>IF($R$537="","",IF($R$537="언어와 매체",자동계산!$D$41,자동계산!$B$41))</f>
        <v/>
      </c>
      <c r="J570" s="33">
        <f>IF($R$537="","",IF($R$537="언어와 매체",자동계산!$D$42,자동계산!$B$42))</f>
        <v/>
      </c>
      <c r="K570" s="33">
        <f>IF($R$537="","",IF($R$537="언어와 매체",자동계산!$D$43,자동계산!$B$43))</f>
        <v/>
      </c>
      <c r="L570" s="33">
        <f>IF($R$537="","",IF($R$537="언어와 매체",자동계산!$D$44,자동계산!$B$44))</f>
        <v/>
      </c>
      <c r="M570" s="33">
        <f>IF($R$537="","",IF($R$537="언어와 매체",자동계산!$D$45,자동계산!$B$45))</f>
        <v/>
      </c>
      <c r="N570" s="33">
        <f>IF($R$537="","",IF($R$537="언어와 매체",자동계산!$D$46,자동계산!$B$46))</f>
        <v/>
      </c>
      <c r="O570" s="33">
        <f>IF($R$537="","",IF($R$537="언어와 매체",자동계산!$D$47,자동계산!$B$47))</f>
        <v/>
      </c>
      <c r="P570" s="33">
        <f>IF($R$537="","",IF($R$537="언어와 매체",자동계산!$D$48,자동계산!$B$48))</f>
        <v/>
      </c>
    </row>
    <row r="571">
      <c r="A571" s="52" t="inlineStr">
        <is>
          <t>학생답안</t>
        </is>
      </c>
      <c r="B571" s="33">
        <f>IF($R$536="","",INDEX(전체채점!AI$3:AI$62,$R$536))</f>
        <v/>
      </c>
      <c r="C571" s="33">
        <f>IF($R$536="","",INDEX(전체채점!AJ$3:AJ$62,$R$536))</f>
        <v/>
      </c>
      <c r="D571" s="33">
        <f>IF($R$536="","",INDEX(전체채점!AK$3:AK$62,$R$536))</f>
        <v/>
      </c>
      <c r="E571" s="33">
        <f>IF($R$536="","",INDEX(전체채점!AL$3:AL$62,$R$536))</f>
        <v/>
      </c>
      <c r="F571" s="33">
        <f>IF($R$536="","",INDEX(전체채점!AM$3:AM$62,$R$536))</f>
        <v/>
      </c>
      <c r="G571" s="33">
        <f>IF($R$536="","",INDEX(전체채점!AN$3:AN$62,$R$536))</f>
        <v/>
      </c>
      <c r="H571" s="33">
        <f>IF($R$536="","",INDEX(전체채점!AO$3:AO$62,$R$536))</f>
        <v/>
      </c>
      <c r="I571" s="33">
        <f>IF($R$536="","",INDEX(전체채점!AP$3:AP$62,$R$536))</f>
        <v/>
      </c>
      <c r="J571" s="33">
        <f>IF($R$536="","",INDEX(전체채점!AQ$3:AQ$62,$R$536))</f>
        <v/>
      </c>
      <c r="K571" s="33">
        <f>IF($R$536="","",INDEX(전체채점!AR$3:AR$62,$R$536))</f>
        <v/>
      </c>
      <c r="L571" s="33">
        <f>IF($R$536="","",INDEX(전체채점!AS$3:AS$62,$R$536))</f>
        <v/>
      </c>
      <c r="M571" s="33">
        <f>IF($R$536="","",INDEX(전체채점!AT$3:AT$62,$R$536))</f>
        <v/>
      </c>
      <c r="N571" s="33">
        <f>IF($R$536="","",INDEX(전체채점!AU$3:AU$62,$R$536))</f>
        <v/>
      </c>
      <c r="O571" s="33">
        <f>IF($R$536="","",INDEX(전체채점!AV$3:AV$62,$R$536))</f>
        <v/>
      </c>
      <c r="P571" s="33">
        <f>IF($R$536="","",INDEX(전체채점!AW$3:AW$62,$R$536))</f>
        <v/>
      </c>
    </row>
    <row r="572">
      <c r="A572" s="52" t="inlineStr">
        <is>
          <t>정오</t>
        </is>
      </c>
      <c r="B572" s="33">
        <f>IF($R$536="","",INDEX(전체채점!CB$3:CB$62,$R$536))</f>
        <v/>
      </c>
      <c r="C572" s="33">
        <f>IF($R$536="","",INDEX(전체채점!CC$3:CC$62,$R$536))</f>
        <v/>
      </c>
      <c r="D572" s="33">
        <f>IF($R$536="","",INDEX(전체채점!CD$3:CD$62,$R$536))</f>
        <v/>
      </c>
      <c r="E572" s="33">
        <f>IF($R$536="","",INDEX(전체채점!CE$3:CE$62,$R$536))</f>
        <v/>
      </c>
      <c r="F572" s="33">
        <f>IF($R$536="","",INDEX(전체채점!CF$3:CF$62,$R$536))</f>
        <v/>
      </c>
      <c r="G572" s="33">
        <f>IF($R$536="","",INDEX(전체채점!CG$3:CG$62,$R$536))</f>
        <v/>
      </c>
      <c r="H572" s="33">
        <f>IF($R$536="","",INDEX(전체채점!CH$3:CH$62,$R$536))</f>
        <v/>
      </c>
      <c r="I572" s="33">
        <f>IF($R$536="","",INDEX(전체채점!CI$3:CI$62,$R$536))</f>
        <v/>
      </c>
      <c r="J572" s="33">
        <f>IF($R$536="","",INDEX(전체채점!CJ$3:CJ$62,$R$536))</f>
        <v/>
      </c>
      <c r="K572" s="33">
        <f>IF($R$536="","",INDEX(전체채점!CK$3:CK$62,$R$536))</f>
        <v/>
      </c>
      <c r="L572" s="33">
        <f>IF($R$536="","",INDEX(전체채점!CL$3:CL$62,$R$536))</f>
        <v/>
      </c>
      <c r="M572" s="33">
        <f>IF($R$536="","",INDEX(전체채점!CM$3:CM$62,$R$536))</f>
        <v/>
      </c>
      <c r="N572" s="33">
        <f>IF($R$536="","",INDEX(전체채점!CN$3:CN$62,$R$536))</f>
        <v/>
      </c>
      <c r="O572" s="33">
        <f>IF($R$536="","",INDEX(전체채점!CO$3:CO$62,$R$536))</f>
        <v/>
      </c>
      <c r="P572" s="33">
        <f>IF($R$536="","",INDEX(전체채점!CP$3:CP$62,$R$536))</f>
        <v/>
      </c>
    </row>
    <row r="575" ht="34" customHeight="1">
      <c r="A575" s="36">
        <f>IF($R$577="","",회차설정!$B$2&amp;" 성적표")</f>
        <v/>
      </c>
    </row>
    <row r="577">
      <c r="A577" s="12" t="inlineStr">
        <is>
          <t>1. 학생정보</t>
        </is>
      </c>
      <c r="R577" s="37">
        <f>IF(답안입력!$A$17="","",15)</f>
        <v/>
      </c>
      <c r="S577" s="37">
        <f>IF($R$578="","",IFERROR(IF($R$578="언어와 매체",MATCH(1,회차설정!$G$13:$G$27,0),MATCH(1,회차설정!$F$13:$F$27,0)),""))</f>
        <v/>
      </c>
    </row>
    <row r="578">
      <c r="A578" s="13" t="inlineStr">
        <is>
          <t>성명</t>
        </is>
      </c>
      <c r="B578" s="7" t="n"/>
      <c r="C578" s="8" t="n"/>
      <c r="D578" s="13" t="inlineStr">
        <is>
          <t>선택과목</t>
        </is>
      </c>
      <c r="E578" s="7" t="n"/>
      <c r="F578" s="7" t="n"/>
      <c r="G578" s="8" t="n"/>
      <c r="H578" s="13" t="inlineStr">
        <is>
          <t>학년</t>
        </is>
      </c>
      <c r="I578" s="7" t="n"/>
      <c r="J578" s="7" t="n"/>
      <c r="K578" s="8" t="n"/>
      <c r="L578" s="13" t="inlineStr">
        <is>
          <t>시행일</t>
        </is>
      </c>
      <c r="M578" s="7" t="n"/>
      <c r="N578" s="7" t="n"/>
      <c r="O578" s="7" t="n"/>
      <c r="P578" s="8" t="n"/>
      <c r="R578" s="37">
        <f>IF($R$577="","",INDEX(전체채점!$B$3:$B$62,$R$577))</f>
        <v/>
      </c>
      <c r="S578" s="37">
        <f>IF($R$578="","",IFERROR(IF($R$578="언어와 매체",MATCH(2,회차설정!$G$13:$G$27,0),MATCH(2,회차설정!$F$13:$F$27,0)),""))</f>
        <v/>
      </c>
    </row>
    <row r="579" ht="26" customHeight="1">
      <c r="A579" s="39">
        <f>IF($R$577="","",INDEX(답안입력!$A$3:$A$62,$R$577))</f>
        <v/>
      </c>
      <c r="B579" s="7" t="n"/>
      <c r="C579" s="8" t="n"/>
      <c r="D579" s="39">
        <f>IF($R$577="","",INDEX(답안입력!$C$3:$C$62,$R$577))</f>
        <v/>
      </c>
      <c r="E579" s="7" t="n"/>
      <c r="F579" s="7" t="n"/>
      <c r="G579" s="8" t="n"/>
      <c r="H579" s="39">
        <f>IF($R$577="","",INDEX(답안입력!$B$3:$B$62,$R$577))</f>
        <v/>
      </c>
      <c r="I579" s="7" t="n"/>
      <c r="J579" s="7" t="n"/>
      <c r="K579" s="8" t="n"/>
      <c r="L579" s="40">
        <f>회차설정!$B$3</f>
        <v/>
      </c>
      <c r="M579" s="7" t="n"/>
      <c r="N579" s="7" t="n"/>
      <c r="O579" s="7" t="n"/>
      <c r="P579" s="8" t="n"/>
      <c r="R579" s="37">
        <f>IF($R$578="언어와 매체",회차설정!$B$9,회차설정!$B$8)</f>
        <v/>
      </c>
      <c r="S579" s="37">
        <f>IF($R$578="","",IFERROR(IF($R$578="언어와 매체",MATCH(3,회차설정!$G$13:$G$27,0),MATCH(3,회차설정!$F$13:$F$27,0)),""))</f>
        <v/>
      </c>
    </row>
    <row r="580">
      <c r="R580" s="37">
        <f>IF($R$578="언어와 매체",회차설정!$C$9,회차설정!$C$8)</f>
        <v/>
      </c>
      <c r="S580" s="37">
        <f>IF($R$578="","",IFERROR(IF($R$578="언어와 매체",MATCH(4,회차설정!$G$13:$G$27,0),MATCH(4,회차설정!$F$13:$F$27,0)),""))</f>
        <v/>
      </c>
    </row>
    <row r="581">
      <c r="A581" s="12" t="inlineStr">
        <is>
          <t>2. 성적</t>
        </is>
      </c>
      <c r="R581" s="37">
        <f>IF($R$578="언어와 매체",회차설정!$D$9,회차설정!$D$8)</f>
        <v/>
      </c>
      <c r="S581" s="37">
        <f>IF($R$578="","",IFERROR(IF($R$578="언어와 매체",MATCH(5,회차설정!$G$13:$G$27,0),MATCH(5,회차설정!$F$13:$F$27,0)),""))</f>
        <v/>
      </c>
    </row>
    <row r="582">
      <c r="A582" s="13" t="inlineStr">
        <is>
          <t>점수 (100점 만점)</t>
        </is>
      </c>
      <c r="B582" s="7" t="n"/>
      <c r="C582" s="7" t="n"/>
      <c r="D582" s="7" t="n"/>
      <c r="E582" s="8" t="n"/>
      <c r="F582" s="13" t="inlineStr">
        <is>
          <t>등급</t>
        </is>
      </c>
      <c r="G582" s="7" t="n"/>
      <c r="H582" s="8" t="n"/>
      <c r="I582" s="13" t="inlineStr">
        <is>
          <t>등급컷</t>
        </is>
      </c>
      <c r="J582" s="7" t="n"/>
      <c r="K582" s="7" t="n"/>
      <c r="L582" s="8" t="n"/>
      <c r="M582" s="13" t="inlineStr">
        <is>
          <t>같은 선택과목 평균</t>
        </is>
      </c>
      <c r="N582" s="7" t="n"/>
      <c r="O582" s="7" t="n"/>
      <c r="P582" s="8" t="n"/>
      <c r="R582" s="37">
        <f>IF($R$578="언어와 매체",회차설정!$E$9,회차설정!$E$8)</f>
        <v/>
      </c>
      <c r="S582" s="37">
        <f>IF($R$578="","",IFERROR(IF($R$578="언어와 매체",MATCH(6,회차설정!$G$13:$G$27,0),MATCH(6,회차설정!$F$13:$F$27,0)),""))</f>
        <v/>
      </c>
    </row>
    <row r="583" ht="34" customHeight="1">
      <c r="A583" s="41">
        <f>IF($R$577="","",INDEX(전체채점!$C$3:$C$62,$R$577))</f>
        <v/>
      </c>
      <c r="B583" s="7" t="n"/>
      <c r="C583" s="7" t="n"/>
      <c r="D583" s="7" t="n"/>
      <c r="E583" s="8" t="n"/>
      <c r="F583" s="42">
        <f>IF($R$577="","",INDEX(전체채점!$D$3:$D$62,$R$577))</f>
        <v/>
      </c>
      <c r="G583" s="7" t="n"/>
      <c r="H583" s="8" t="n"/>
      <c r="I583" s="43">
        <f>IF($R$577="","",$R$579&amp;"-"&amp;$R$580&amp;"-"&amp;$R$581&amp;"-"&amp;$R$582)</f>
        <v/>
      </c>
      <c r="J583" s="7" t="n"/>
      <c r="K583" s="7" t="n"/>
      <c r="L583" s="8" t="n"/>
      <c r="M583" s="44">
        <f>IFERROR(AVERAGEIF(전체채점!$B$3:$B$62,$R$578,전체채점!$C$3:$C$62),"")</f>
        <v/>
      </c>
      <c r="N583" s="7" t="n"/>
      <c r="O583" s="7" t="n"/>
      <c r="P583" s="8" t="n"/>
      <c r="S583" s="37">
        <f>IF($R$578="","",IFERROR(IF($R$578="언어와 매체",MATCH(7,회차설정!$G$13:$G$27,0),MATCH(7,회차설정!$F$13:$F$27,0)),""))</f>
        <v/>
      </c>
    </row>
    <row r="584">
      <c r="S584" s="37">
        <f>IF($R$578="","",IFERROR(IF($R$578="언어와 매체",MATCH(8,회차설정!$G$13:$G$27,0),MATCH(8,회차설정!$F$13:$F$27,0)),""))</f>
        <v/>
      </c>
    </row>
    <row r="585">
      <c r="A585" s="12" t="inlineStr">
        <is>
          <t>3. 영역분류별 성취도 분석</t>
        </is>
      </c>
      <c r="F585" s="45">
        <f>IF(OR($R$577="",$E599=""),"",IF($E599=INDEX(전체채점!$C$3:$C$62,$R$577),"","※ 회차설정의 영역 표를 확인하세요 — 영역 합계와 점수가 다릅니다"))</f>
        <v/>
      </c>
      <c r="S585" s="37">
        <f>IF($R$578="","",IFERROR(IF($R$578="언어와 매체",MATCH(9,회차설정!$G$13:$G$27,0),MATCH(9,회차설정!$F$13:$F$27,0)),""))</f>
        <v/>
      </c>
    </row>
    <row r="586">
      <c r="A586" s="13" t="inlineStr">
        <is>
          <t>분류</t>
        </is>
      </c>
      <c r="B586" s="13" t="inlineStr">
        <is>
          <t>영역</t>
        </is>
      </c>
      <c r="C586" s="8" t="n"/>
      <c r="D586" s="13" t="inlineStr">
        <is>
          <t>배점</t>
        </is>
      </c>
      <c r="E586" s="13" t="inlineStr">
        <is>
          <t>득점</t>
        </is>
      </c>
      <c r="F586" s="13" t="inlineStr">
        <is>
          <t>성취도(%)</t>
        </is>
      </c>
      <c r="G586" s="8" t="n"/>
      <c r="H586" s="13" t="inlineStr"/>
      <c r="I586" s="7" t="n"/>
      <c r="J586" s="7" t="n"/>
      <c r="K586" s="7" t="n"/>
      <c r="L586" s="7" t="n"/>
      <c r="M586" s="7" t="n"/>
      <c r="N586" s="7" t="n"/>
      <c r="O586" s="7" t="n"/>
      <c r="P586" s="8" t="n"/>
      <c r="S586" s="37">
        <f>IF($R$578="","",IFERROR(IF($R$578="언어와 매체",MATCH(10,회차설정!$G$13:$G$27,0),MATCH(10,회차설정!$F$13:$F$27,0)),""))</f>
        <v/>
      </c>
    </row>
    <row r="587">
      <c r="A587" s="14">
        <f>IF($S$577="","",INDEX(회차설정!$A$13:$A$27,$S$577))</f>
        <v/>
      </c>
      <c r="B587" s="14">
        <f>IF($S$577="","",INDEX(회차설정!$B$13:$B$27,$S$577))</f>
        <v/>
      </c>
      <c r="C587" s="8" t="n"/>
      <c r="D587" s="14">
        <f>IF($S$577="","",IF($R$578="언어와 매체",SUMPRODUCT((자동계산!$A$4:$A$48&gt;=INDEX(회차설정!$C$13:$C$27,$S$577))*(자동계산!$A$4:$A$48&lt;=INDEX(회차설정!$D$13:$D$27,$S$577))*자동계산!$E$4:$E$48),SUMPRODUCT((자동계산!$A$4:$A$48&gt;=INDEX(회차설정!$C$13:$C$27,$S$577))*(자동계산!$A$4:$A$48&lt;=INDEX(회차설정!$D$13:$D$27,$S$577))*자동계산!$C$4:$C$48)))</f>
        <v/>
      </c>
      <c r="E587" s="14">
        <f>IF(OR($S$577="",$R$577=""),"",SUM(OFFSET(전체채점!$AW$2,$R$577,INDEX(회차설정!$C$13:$C$27,$S$577),1,INDEX(회차설정!$D$13:$D$27,$S$577)-INDEX(회차설정!$C$13:$C$27,$S$577)+1)))</f>
        <v/>
      </c>
      <c r="F587" s="46">
        <f>IF(OR($S$577="",$D587=0,$D587="",$E587=""),"",$E587/$D587*100)</f>
        <v/>
      </c>
      <c r="G587" s="8" t="n"/>
      <c r="H587" s="47">
        <f>IF($F587="","",REPT("■",ROUND($F587/5,0)))</f>
        <v/>
      </c>
      <c r="I587" s="7" t="n"/>
      <c r="J587" s="7" t="n"/>
      <c r="K587" s="7" t="n"/>
      <c r="L587" s="7" t="n"/>
      <c r="M587" s="7" t="n"/>
      <c r="N587" s="7" t="n"/>
      <c r="O587" s="7" t="n"/>
      <c r="P587" s="8" t="n"/>
      <c r="S587" s="37">
        <f>IF($R$578="","",IFERROR(IF($R$578="언어와 매체",MATCH(11,회차설정!$G$13:$G$27,0),MATCH(11,회차설정!$F$13:$F$27,0)),""))</f>
        <v/>
      </c>
    </row>
    <row r="588">
      <c r="A588" s="14">
        <f>IF($S$578="","",INDEX(회차설정!$A$13:$A$27,$S$578))</f>
        <v/>
      </c>
      <c r="B588" s="14">
        <f>IF($S$578="","",INDEX(회차설정!$B$13:$B$27,$S$578))</f>
        <v/>
      </c>
      <c r="C588" s="8" t="n"/>
      <c r="D588" s="14">
        <f>IF($S$578="","",IF($R$578="언어와 매체",SUMPRODUCT((자동계산!$A$4:$A$48&gt;=INDEX(회차설정!$C$13:$C$27,$S$578))*(자동계산!$A$4:$A$48&lt;=INDEX(회차설정!$D$13:$D$27,$S$578))*자동계산!$E$4:$E$48),SUMPRODUCT((자동계산!$A$4:$A$48&gt;=INDEX(회차설정!$C$13:$C$27,$S$578))*(자동계산!$A$4:$A$48&lt;=INDEX(회차설정!$D$13:$D$27,$S$578))*자동계산!$C$4:$C$48)))</f>
        <v/>
      </c>
      <c r="E588" s="14">
        <f>IF(OR($S$578="",$R$577=""),"",SUM(OFFSET(전체채점!$AW$2,$R$577,INDEX(회차설정!$C$13:$C$27,$S$578),1,INDEX(회차설정!$D$13:$D$27,$S$578)-INDEX(회차설정!$C$13:$C$27,$S$578)+1)))</f>
        <v/>
      </c>
      <c r="F588" s="46">
        <f>IF(OR($S$578="",$D588=0,$D588="",$E588=""),"",$E588/$D588*100)</f>
        <v/>
      </c>
      <c r="G588" s="8" t="n"/>
      <c r="H588" s="47">
        <f>IF($F588="","",REPT("■",ROUND($F588/5,0)))</f>
        <v/>
      </c>
      <c r="I588" s="7" t="n"/>
      <c r="J588" s="7" t="n"/>
      <c r="K588" s="7" t="n"/>
      <c r="L588" s="7" t="n"/>
      <c r="M588" s="7" t="n"/>
      <c r="N588" s="7" t="n"/>
      <c r="O588" s="7" t="n"/>
      <c r="P588" s="8" t="n"/>
      <c r="S588" s="37">
        <f>IF($R$578="","",IFERROR(IF($R$578="언어와 매체",MATCH(12,회차설정!$G$13:$G$27,0),MATCH(12,회차설정!$F$13:$F$27,0)),""))</f>
        <v/>
      </c>
    </row>
    <row r="589">
      <c r="A589" s="14">
        <f>IF($S$579="","",INDEX(회차설정!$A$13:$A$27,$S$579))</f>
        <v/>
      </c>
      <c r="B589" s="14">
        <f>IF($S$579="","",INDEX(회차설정!$B$13:$B$27,$S$579))</f>
        <v/>
      </c>
      <c r="C589" s="8" t="n"/>
      <c r="D589" s="14">
        <f>IF($S$579="","",IF($R$578="언어와 매체",SUMPRODUCT((자동계산!$A$4:$A$48&gt;=INDEX(회차설정!$C$13:$C$27,$S$579))*(자동계산!$A$4:$A$48&lt;=INDEX(회차설정!$D$13:$D$27,$S$579))*자동계산!$E$4:$E$48),SUMPRODUCT((자동계산!$A$4:$A$48&gt;=INDEX(회차설정!$C$13:$C$27,$S$579))*(자동계산!$A$4:$A$48&lt;=INDEX(회차설정!$D$13:$D$27,$S$579))*자동계산!$C$4:$C$48)))</f>
        <v/>
      </c>
      <c r="E589" s="14">
        <f>IF(OR($S$579="",$R$577=""),"",SUM(OFFSET(전체채점!$AW$2,$R$577,INDEX(회차설정!$C$13:$C$27,$S$579),1,INDEX(회차설정!$D$13:$D$27,$S$579)-INDEX(회차설정!$C$13:$C$27,$S$579)+1)))</f>
        <v/>
      </c>
      <c r="F589" s="46">
        <f>IF(OR($S$579="",$D589=0,$D589="",$E589=""),"",$E589/$D589*100)</f>
        <v/>
      </c>
      <c r="G589" s="8" t="n"/>
      <c r="H589" s="47">
        <f>IF($F589="","",REPT("■",ROUND($F589/5,0)))</f>
        <v/>
      </c>
      <c r="I589" s="7" t="n"/>
      <c r="J589" s="7" t="n"/>
      <c r="K589" s="7" t="n"/>
      <c r="L589" s="7" t="n"/>
      <c r="M589" s="7" t="n"/>
      <c r="N589" s="7" t="n"/>
      <c r="O589" s="7" t="n"/>
      <c r="P589" s="8" t="n"/>
    </row>
    <row r="590">
      <c r="A590" s="14">
        <f>IF($S$580="","",INDEX(회차설정!$A$13:$A$27,$S$580))</f>
        <v/>
      </c>
      <c r="B590" s="14">
        <f>IF($S$580="","",INDEX(회차설정!$B$13:$B$27,$S$580))</f>
        <v/>
      </c>
      <c r="C590" s="8" t="n"/>
      <c r="D590" s="14">
        <f>IF($S$580="","",IF($R$578="언어와 매체",SUMPRODUCT((자동계산!$A$4:$A$48&gt;=INDEX(회차설정!$C$13:$C$27,$S$580))*(자동계산!$A$4:$A$48&lt;=INDEX(회차설정!$D$13:$D$27,$S$580))*자동계산!$E$4:$E$48),SUMPRODUCT((자동계산!$A$4:$A$48&gt;=INDEX(회차설정!$C$13:$C$27,$S$580))*(자동계산!$A$4:$A$48&lt;=INDEX(회차설정!$D$13:$D$27,$S$580))*자동계산!$C$4:$C$48)))</f>
        <v/>
      </c>
      <c r="E590" s="14">
        <f>IF(OR($S$580="",$R$577=""),"",SUM(OFFSET(전체채점!$AW$2,$R$577,INDEX(회차설정!$C$13:$C$27,$S$580),1,INDEX(회차설정!$D$13:$D$27,$S$580)-INDEX(회차설정!$C$13:$C$27,$S$580)+1)))</f>
        <v/>
      </c>
      <c r="F590" s="46">
        <f>IF(OR($S$580="",$D590=0,$D590="",$E590=""),"",$E590/$D590*100)</f>
        <v/>
      </c>
      <c r="G590" s="8" t="n"/>
      <c r="H590" s="47">
        <f>IF($F590="","",REPT("■",ROUND($F590/5,0)))</f>
        <v/>
      </c>
      <c r="I590" s="7" t="n"/>
      <c r="J590" s="7" t="n"/>
      <c r="K590" s="7" t="n"/>
      <c r="L590" s="7" t="n"/>
      <c r="M590" s="7" t="n"/>
      <c r="N590" s="7" t="n"/>
      <c r="O590" s="7" t="n"/>
      <c r="P590" s="8" t="n"/>
    </row>
    <row r="591">
      <c r="A591" s="14">
        <f>IF($S$581="","",INDEX(회차설정!$A$13:$A$27,$S$581))</f>
        <v/>
      </c>
      <c r="B591" s="14">
        <f>IF($S$581="","",INDEX(회차설정!$B$13:$B$27,$S$581))</f>
        <v/>
      </c>
      <c r="C591" s="8" t="n"/>
      <c r="D591" s="14">
        <f>IF($S$581="","",IF($R$578="언어와 매체",SUMPRODUCT((자동계산!$A$4:$A$48&gt;=INDEX(회차설정!$C$13:$C$27,$S$581))*(자동계산!$A$4:$A$48&lt;=INDEX(회차설정!$D$13:$D$27,$S$581))*자동계산!$E$4:$E$48),SUMPRODUCT((자동계산!$A$4:$A$48&gt;=INDEX(회차설정!$C$13:$C$27,$S$581))*(자동계산!$A$4:$A$48&lt;=INDEX(회차설정!$D$13:$D$27,$S$581))*자동계산!$C$4:$C$48)))</f>
        <v/>
      </c>
      <c r="E591" s="14">
        <f>IF(OR($S$581="",$R$577=""),"",SUM(OFFSET(전체채점!$AW$2,$R$577,INDEX(회차설정!$C$13:$C$27,$S$581),1,INDEX(회차설정!$D$13:$D$27,$S$581)-INDEX(회차설정!$C$13:$C$27,$S$581)+1)))</f>
        <v/>
      </c>
      <c r="F591" s="46">
        <f>IF(OR($S$581="",$D591=0,$D591="",$E591=""),"",$E591/$D591*100)</f>
        <v/>
      </c>
      <c r="G591" s="8" t="n"/>
      <c r="H591" s="47">
        <f>IF($F591="","",REPT("■",ROUND($F591/5,0)))</f>
        <v/>
      </c>
      <c r="I591" s="7" t="n"/>
      <c r="J591" s="7" t="n"/>
      <c r="K591" s="7" t="n"/>
      <c r="L591" s="7" t="n"/>
      <c r="M591" s="7" t="n"/>
      <c r="N591" s="7" t="n"/>
      <c r="O591" s="7" t="n"/>
      <c r="P591" s="8" t="n"/>
    </row>
    <row r="592">
      <c r="A592" s="14">
        <f>IF($S$582="","",INDEX(회차설정!$A$13:$A$27,$S$582))</f>
        <v/>
      </c>
      <c r="B592" s="14">
        <f>IF($S$582="","",INDEX(회차설정!$B$13:$B$27,$S$582))</f>
        <v/>
      </c>
      <c r="C592" s="8" t="n"/>
      <c r="D592" s="14">
        <f>IF($S$582="","",IF($R$578="언어와 매체",SUMPRODUCT((자동계산!$A$4:$A$48&gt;=INDEX(회차설정!$C$13:$C$27,$S$582))*(자동계산!$A$4:$A$48&lt;=INDEX(회차설정!$D$13:$D$27,$S$582))*자동계산!$E$4:$E$48),SUMPRODUCT((자동계산!$A$4:$A$48&gt;=INDEX(회차설정!$C$13:$C$27,$S$582))*(자동계산!$A$4:$A$48&lt;=INDEX(회차설정!$D$13:$D$27,$S$582))*자동계산!$C$4:$C$48)))</f>
        <v/>
      </c>
      <c r="E592" s="14">
        <f>IF(OR($S$582="",$R$577=""),"",SUM(OFFSET(전체채점!$AW$2,$R$577,INDEX(회차설정!$C$13:$C$27,$S$582),1,INDEX(회차설정!$D$13:$D$27,$S$582)-INDEX(회차설정!$C$13:$C$27,$S$582)+1)))</f>
        <v/>
      </c>
      <c r="F592" s="46">
        <f>IF(OR($S$582="",$D592=0,$D592="",$E592=""),"",$E592/$D592*100)</f>
        <v/>
      </c>
      <c r="G592" s="8" t="n"/>
      <c r="H592" s="47">
        <f>IF($F592="","",REPT("■",ROUND($F592/5,0)))</f>
        <v/>
      </c>
      <c r="I592" s="7" t="n"/>
      <c r="J592" s="7" t="n"/>
      <c r="K592" s="7" t="n"/>
      <c r="L592" s="7" t="n"/>
      <c r="M592" s="7" t="n"/>
      <c r="N592" s="7" t="n"/>
      <c r="O592" s="7" t="n"/>
      <c r="P592" s="8" t="n"/>
    </row>
    <row r="593">
      <c r="A593" s="14">
        <f>IF($S$583="","",INDEX(회차설정!$A$13:$A$27,$S$583))</f>
        <v/>
      </c>
      <c r="B593" s="14">
        <f>IF($S$583="","",INDEX(회차설정!$B$13:$B$27,$S$583))</f>
        <v/>
      </c>
      <c r="C593" s="8" t="n"/>
      <c r="D593" s="14">
        <f>IF($S$583="","",IF($R$578="언어와 매체",SUMPRODUCT((자동계산!$A$4:$A$48&gt;=INDEX(회차설정!$C$13:$C$27,$S$583))*(자동계산!$A$4:$A$48&lt;=INDEX(회차설정!$D$13:$D$27,$S$583))*자동계산!$E$4:$E$48),SUMPRODUCT((자동계산!$A$4:$A$48&gt;=INDEX(회차설정!$C$13:$C$27,$S$583))*(자동계산!$A$4:$A$48&lt;=INDEX(회차설정!$D$13:$D$27,$S$583))*자동계산!$C$4:$C$48)))</f>
        <v/>
      </c>
      <c r="E593" s="14">
        <f>IF(OR($S$583="",$R$577=""),"",SUM(OFFSET(전체채점!$AW$2,$R$577,INDEX(회차설정!$C$13:$C$27,$S$583),1,INDEX(회차설정!$D$13:$D$27,$S$583)-INDEX(회차설정!$C$13:$C$27,$S$583)+1)))</f>
        <v/>
      </c>
      <c r="F593" s="46">
        <f>IF(OR($S$583="",$D593=0,$D593="",$E593=""),"",$E593/$D593*100)</f>
        <v/>
      </c>
      <c r="G593" s="8" t="n"/>
      <c r="H593" s="47">
        <f>IF($F593="","",REPT("■",ROUND($F593/5,0)))</f>
        <v/>
      </c>
      <c r="I593" s="7" t="n"/>
      <c r="J593" s="7" t="n"/>
      <c r="K593" s="7" t="n"/>
      <c r="L593" s="7" t="n"/>
      <c r="M593" s="7" t="n"/>
      <c r="N593" s="7" t="n"/>
      <c r="O593" s="7" t="n"/>
      <c r="P593" s="8" t="n"/>
    </row>
    <row r="594">
      <c r="A594" s="14">
        <f>IF($S$584="","",INDEX(회차설정!$A$13:$A$27,$S$584))</f>
        <v/>
      </c>
      <c r="B594" s="14">
        <f>IF($S$584="","",INDEX(회차설정!$B$13:$B$27,$S$584))</f>
        <v/>
      </c>
      <c r="C594" s="8" t="n"/>
      <c r="D594" s="14">
        <f>IF($S$584="","",IF($R$578="언어와 매체",SUMPRODUCT((자동계산!$A$4:$A$48&gt;=INDEX(회차설정!$C$13:$C$27,$S$584))*(자동계산!$A$4:$A$48&lt;=INDEX(회차설정!$D$13:$D$27,$S$584))*자동계산!$E$4:$E$48),SUMPRODUCT((자동계산!$A$4:$A$48&gt;=INDEX(회차설정!$C$13:$C$27,$S$584))*(자동계산!$A$4:$A$48&lt;=INDEX(회차설정!$D$13:$D$27,$S$584))*자동계산!$C$4:$C$48)))</f>
        <v/>
      </c>
      <c r="E594" s="14">
        <f>IF(OR($S$584="",$R$577=""),"",SUM(OFFSET(전체채점!$AW$2,$R$577,INDEX(회차설정!$C$13:$C$27,$S$584),1,INDEX(회차설정!$D$13:$D$27,$S$584)-INDEX(회차설정!$C$13:$C$27,$S$584)+1)))</f>
        <v/>
      </c>
      <c r="F594" s="46">
        <f>IF(OR($S$584="",$D594=0,$D594="",$E594=""),"",$E594/$D594*100)</f>
        <v/>
      </c>
      <c r="G594" s="8" t="n"/>
      <c r="H594" s="47">
        <f>IF($F594="","",REPT("■",ROUND($F594/5,0)))</f>
        <v/>
      </c>
      <c r="I594" s="7" t="n"/>
      <c r="J594" s="7" t="n"/>
      <c r="K594" s="7" t="n"/>
      <c r="L594" s="7" t="n"/>
      <c r="M594" s="7" t="n"/>
      <c r="N594" s="7" t="n"/>
      <c r="O594" s="7" t="n"/>
      <c r="P594" s="8" t="n"/>
    </row>
    <row r="595">
      <c r="A595" s="14">
        <f>IF($S$585="","",INDEX(회차설정!$A$13:$A$27,$S$585))</f>
        <v/>
      </c>
      <c r="B595" s="14">
        <f>IF($S$585="","",INDEX(회차설정!$B$13:$B$27,$S$585))</f>
        <v/>
      </c>
      <c r="C595" s="8" t="n"/>
      <c r="D595" s="14">
        <f>IF($S$585="","",IF($R$578="언어와 매체",SUMPRODUCT((자동계산!$A$4:$A$48&gt;=INDEX(회차설정!$C$13:$C$27,$S$585))*(자동계산!$A$4:$A$48&lt;=INDEX(회차설정!$D$13:$D$27,$S$585))*자동계산!$E$4:$E$48),SUMPRODUCT((자동계산!$A$4:$A$48&gt;=INDEX(회차설정!$C$13:$C$27,$S$585))*(자동계산!$A$4:$A$48&lt;=INDEX(회차설정!$D$13:$D$27,$S$585))*자동계산!$C$4:$C$48)))</f>
        <v/>
      </c>
      <c r="E595" s="14">
        <f>IF(OR($S$585="",$R$577=""),"",SUM(OFFSET(전체채점!$AW$2,$R$577,INDEX(회차설정!$C$13:$C$27,$S$585),1,INDEX(회차설정!$D$13:$D$27,$S$585)-INDEX(회차설정!$C$13:$C$27,$S$585)+1)))</f>
        <v/>
      </c>
      <c r="F595" s="46">
        <f>IF(OR($S$585="",$D595=0,$D595="",$E595=""),"",$E595/$D595*100)</f>
        <v/>
      </c>
      <c r="G595" s="8" t="n"/>
      <c r="H595" s="47">
        <f>IF($F595="","",REPT("■",ROUND($F595/5,0)))</f>
        <v/>
      </c>
      <c r="I595" s="7" t="n"/>
      <c r="J595" s="7" t="n"/>
      <c r="K595" s="7" t="n"/>
      <c r="L595" s="7" t="n"/>
      <c r="M595" s="7" t="n"/>
      <c r="N595" s="7" t="n"/>
      <c r="O595" s="7" t="n"/>
      <c r="P595" s="8" t="n"/>
    </row>
    <row r="596">
      <c r="A596" s="14">
        <f>IF($S$586="","",INDEX(회차설정!$A$13:$A$27,$S$586))</f>
        <v/>
      </c>
      <c r="B596" s="14">
        <f>IF($S$586="","",INDEX(회차설정!$B$13:$B$27,$S$586))</f>
        <v/>
      </c>
      <c r="C596" s="8" t="n"/>
      <c r="D596" s="14">
        <f>IF($S$586="","",IF($R$578="언어와 매체",SUMPRODUCT((자동계산!$A$4:$A$48&gt;=INDEX(회차설정!$C$13:$C$27,$S$586))*(자동계산!$A$4:$A$48&lt;=INDEX(회차설정!$D$13:$D$27,$S$586))*자동계산!$E$4:$E$48),SUMPRODUCT((자동계산!$A$4:$A$48&gt;=INDEX(회차설정!$C$13:$C$27,$S$586))*(자동계산!$A$4:$A$48&lt;=INDEX(회차설정!$D$13:$D$27,$S$586))*자동계산!$C$4:$C$48)))</f>
        <v/>
      </c>
      <c r="E596" s="14">
        <f>IF(OR($S$586="",$R$577=""),"",SUM(OFFSET(전체채점!$AW$2,$R$577,INDEX(회차설정!$C$13:$C$27,$S$586),1,INDEX(회차설정!$D$13:$D$27,$S$586)-INDEX(회차설정!$C$13:$C$27,$S$586)+1)))</f>
        <v/>
      </c>
      <c r="F596" s="46">
        <f>IF(OR($S$586="",$D596=0,$D596="",$E596=""),"",$E596/$D596*100)</f>
        <v/>
      </c>
      <c r="G596" s="8" t="n"/>
      <c r="H596" s="47">
        <f>IF($F596="","",REPT("■",ROUND($F596/5,0)))</f>
        <v/>
      </c>
      <c r="I596" s="7" t="n"/>
      <c r="J596" s="7" t="n"/>
      <c r="K596" s="7" t="n"/>
      <c r="L596" s="7" t="n"/>
      <c r="M596" s="7" t="n"/>
      <c r="N596" s="7" t="n"/>
      <c r="O596" s="7" t="n"/>
      <c r="P596" s="8" t="n"/>
    </row>
    <row r="597">
      <c r="A597" s="14">
        <f>IF($S$587="","",INDEX(회차설정!$A$13:$A$27,$S$587))</f>
        <v/>
      </c>
      <c r="B597" s="14">
        <f>IF($S$587="","",INDEX(회차설정!$B$13:$B$27,$S$587))</f>
        <v/>
      </c>
      <c r="C597" s="8" t="n"/>
      <c r="D597" s="14">
        <f>IF($S$587="","",IF($R$578="언어와 매체",SUMPRODUCT((자동계산!$A$4:$A$48&gt;=INDEX(회차설정!$C$13:$C$27,$S$587))*(자동계산!$A$4:$A$48&lt;=INDEX(회차설정!$D$13:$D$27,$S$587))*자동계산!$E$4:$E$48),SUMPRODUCT((자동계산!$A$4:$A$48&gt;=INDEX(회차설정!$C$13:$C$27,$S$587))*(자동계산!$A$4:$A$48&lt;=INDEX(회차설정!$D$13:$D$27,$S$587))*자동계산!$C$4:$C$48)))</f>
        <v/>
      </c>
      <c r="E597" s="14">
        <f>IF(OR($S$587="",$R$577=""),"",SUM(OFFSET(전체채점!$AW$2,$R$577,INDEX(회차설정!$C$13:$C$27,$S$587),1,INDEX(회차설정!$D$13:$D$27,$S$587)-INDEX(회차설정!$C$13:$C$27,$S$587)+1)))</f>
        <v/>
      </c>
      <c r="F597" s="46">
        <f>IF(OR($S$587="",$D597=0,$D597="",$E597=""),"",$E597/$D597*100)</f>
        <v/>
      </c>
      <c r="G597" s="8" t="n"/>
      <c r="H597" s="47">
        <f>IF($F597="","",REPT("■",ROUND($F597/5,0)))</f>
        <v/>
      </c>
      <c r="I597" s="7" t="n"/>
      <c r="J597" s="7" t="n"/>
      <c r="K597" s="7" t="n"/>
      <c r="L597" s="7" t="n"/>
      <c r="M597" s="7" t="n"/>
      <c r="N597" s="7" t="n"/>
      <c r="O597" s="7" t="n"/>
      <c r="P597" s="8" t="n"/>
    </row>
    <row r="598">
      <c r="A598" s="14">
        <f>IF($S$588="","",INDEX(회차설정!$A$13:$A$27,$S$588))</f>
        <v/>
      </c>
      <c r="B598" s="14">
        <f>IF($S$588="","",INDEX(회차설정!$B$13:$B$27,$S$588))</f>
        <v/>
      </c>
      <c r="C598" s="8" t="n"/>
      <c r="D598" s="14">
        <f>IF($S$588="","",IF($R$578="언어와 매체",SUMPRODUCT((자동계산!$A$4:$A$48&gt;=INDEX(회차설정!$C$13:$C$27,$S$588))*(자동계산!$A$4:$A$48&lt;=INDEX(회차설정!$D$13:$D$27,$S$588))*자동계산!$E$4:$E$48),SUMPRODUCT((자동계산!$A$4:$A$48&gt;=INDEX(회차설정!$C$13:$C$27,$S$588))*(자동계산!$A$4:$A$48&lt;=INDEX(회차설정!$D$13:$D$27,$S$588))*자동계산!$C$4:$C$48)))</f>
        <v/>
      </c>
      <c r="E598" s="14">
        <f>IF(OR($S$588="",$R$577=""),"",SUM(OFFSET(전체채점!$AW$2,$R$577,INDEX(회차설정!$C$13:$C$27,$S$588),1,INDEX(회차설정!$D$13:$D$27,$S$588)-INDEX(회차설정!$C$13:$C$27,$S$588)+1)))</f>
        <v/>
      </c>
      <c r="F598" s="46">
        <f>IF(OR($S$588="",$D598=0,$D598="",$E598=""),"",$E598/$D598*100)</f>
        <v/>
      </c>
      <c r="G598" s="8" t="n"/>
      <c r="H598" s="47">
        <f>IF($F598="","",REPT("■",ROUND($F598/5,0)))</f>
        <v/>
      </c>
      <c r="I598" s="7" t="n"/>
      <c r="J598" s="7" t="n"/>
      <c r="K598" s="7" t="n"/>
      <c r="L598" s="7" t="n"/>
      <c r="M598" s="7" t="n"/>
      <c r="N598" s="7" t="n"/>
      <c r="O598" s="7" t="n"/>
      <c r="P598" s="8" t="n"/>
    </row>
    <row r="599">
      <c r="A599" s="5">
        <f>IF($R$577="","","합계")</f>
        <v/>
      </c>
      <c r="B599" s="7" t="n"/>
      <c r="C599" s="8" t="n"/>
      <c r="D599" s="5">
        <f>IF($R$577="","",SUM(D587:D598))</f>
        <v/>
      </c>
      <c r="E599" s="5">
        <f>IF($R$577="","",SUM(E587:E598))</f>
        <v/>
      </c>
      <c r="F599" s="48">
        <f>IF(OR($D599=0,$D599=""),"",$E599/$D599*100)</f>
        <v/>
      </c>
      <c r="G599" s="8" t="n"/>
      <c r="H599" s="49">
        <f>IF($F599="","",REPT("■",ROUND($F599/5,0)))</f>
        <v/>
      </c>
      <c r="I599" s="7" t="n"/>
      <c r="J599" s="7" t="n"/>
      <c r="K599" s="7" t="n"/>
      <c r="L599" s="7" t="n"/>
      <c r="M599" s="7" t="n"/>
      <c r="N599" s="7" t="n"/>
      <c r="O599" s="7" t="n"/>
      <c r="P599" s="8" t="n"/>
    </row>
    <row r="601">
      <c r="A601" s="12" t="inlineStr">
        <is>
          <t>4. 문항 채점표</t>
        </is>
      </c>
    </row>
    <row r="602">
      <c r="A602" s="50" t="inlineStr">
        <is>
          <t>문항 번호</t>
        </is>
      </c>
      <c r="B602" s="51" t="n">
        <v>1</v>
      </c>
      <c r="C602" s="51" t="n">
        <v>2</v>
      </c>
      <c r="D602" s="51" t="n">
        <v>3</v>
      </c>
      <c r="E602" s="51" t="n">
        <v>4</v>
      </c>
      <c r="F602" s="51" t="n">
        <v>5</v>
      </c>
      <c r="G602" s="51" t="n">
        <v>6</v>
      </c>
      <c r="H602" s="51" t="n">
        <v>7</v>
      </c>
      <c r="I602" s="51" t="n">
        <v>8</v>
      </c>
      <c r="J602" s="51" t="n">
        <v>9</v>
      </c>
      <c r="K602" s="51" t="n">
        <v>10</v>
      </c>
      <c r="L602" s="51" t="n">
        <v>11</v>
      </c>
      <c r="M602" s="51" t="n">
        <v>12</v>
      </c>
      <c r="N602" s="51" t="n">
        <v>13</v>
      </c>
      <c r="O602" s="51" t="n">
        <v>14</v>
      </c>
      <c r="P602" s="51" t="n">
        <v>15</v>
      </c>
    </row>
    <row r="603">
      <c r="A603" s="52" t="inlineStr">
        <is>
          <t>정답</t>
        </is>
      </c>
      <c r="B603" s="33">
        <f>IF($R$578="","",IF($R$578="언어와 매체",자동계산!$D$4,자동계산!$B$4))</f>
        <v/>
      </c>
      <c r="C603" s="33">
        <f>IF($R$578="","",IF($R$578="언어와 매체",자동계산!$D$5,자동계산!$B$5))</f>
        <v/>
      </c>
      <c r="D603" s="33">
        <f>IF($R$578="","",IF($R$578="언어와 매체",자동계산!$D$6,자동계산!$B$6))</f>
        <v/>
      </c>
      <c r="E603" s="33">
        <f>IF($R$578="","",IF($R$578="언어와 매체",자동계산!$D$7,자동계산!$B$7))</f>
        <v/>
      </c>
      <c r="F603" s="33">
        <f>IF($R$578="","",IF($R$578="언어와 매체",자동계산!$D$8,자동계산!$B$8))</f>
        <v/>
      </c>
      <c r="G603" s="33">
        <f>IF($R$578="","",IF($R$578="언어와 매체",자동계산!$D$9,자동계산!$B$9))</f>
        <v/>
      </c>
      <c r="H603" s="33">
        <f>IF($R$578="","",IF($R$578="언어와 매체",자동계산!$D$10,자동계산!$B$10))</f>
        <v/>
      </c>
      <c r="I603" s="33">
        <f>IF($R$578="","",IF($R$578="언어와 매체",자동계산!$D$11,자동계산!$B$11))</f>
        <v/>
      </c>
      <c r="J603" s="33">
        <f>IF($R$578="","",IF($R$578="언어와 매체",자동계산!$D$12,자동계산!$B$12))</f>
        <v/>
      </c>
      <c r="K603" s="33">
        <f>IF($R$578="","",IF($R$578="언어와 매체",자동계산!$D$13,자동계산!$B$13))</f>
        <v/>
      </c>
      <c r="L603" s="33">
        <f>IF($R$578="","",IF($R$578="언어와 매체",자동계산!$D$14,자동계산!$B$14))</f>
        <v/>
      </c>
      <c r="M603" s="33">
        <f>IF($R$578="","",IF($R$578="언어와 매체",자동계산!$D$15,자동계산!$B$15))</f>
        <v/>
      </c>
      <c r="N603" s="33">
        <f>IF($R$578="","",IF($R$578="언어와 매체",자동계산!$D$16,자동계산!$B$16))</f>
        <v/>
      </c>
      <c r="O603" s="33">
        <f>IF($R$578="","",IF($R$578="언어와 매체",자동계산!$D$17,자동계산!$B$17))</f>
        <v/>
      </c>
      <c r="P603" s="33">
        <f>IF($R$578="","",IF($R$578="언어와 매체",자동계산!$D$18,자동계산!$B$18))</f>
        <v/>
      </c>
    </row>
    <row r="604">
      <c r="A604" s="52" t="inlineStr">
        <is>
          <t>학생답안</t>
        </is>
      </c>
      <c r="B604" s="33">
        <f>IF($R$577="","",INDEX(전체채점!E$3:E$62,$R$577))</f>
        <v/>
      </c>
      <c r="C604" s="33">
        <f>IF($R$577="","",INDEX(전체채점!F$3:F$62,$R$577))</f>
        <v/>
      </c>
      <c r="D604" s="33">
        <f>IF($R$577="","",INDEX(전체채점!G$3:G$62,$R$577))</f>
        <v/>
      </c>
      <c r="E604" s="33">
        <f>IF($R$577="","",INDEX(전체채점!H$3:H$62,$R$577))</f>
        <v/>
      </c>
      <c r="F604" s="33">
        <f>IF($R$577="","",INDEX(전체채점!I$3:I$62,$R$577))</f>
        <v/>
      </c>
      <c r="G604" s="33">
        <f>IF($R$577="","",INDEX(전체채점!J$3:J$62,$R$577))</f>
        <v/>
      </c>
      <c r="H604" s="33">
        <f>IF($R$577="","",INDEX(전체채점!K$3:K$62,$R$577))</f>
        <v/>
      </c>
      <c r="I604" s="33">
        <f>IF($R$577="","",INDEX(전체채점!L$3:L$62,$R$577))</f>
        <v/>
      </c>
      <c r="J604" s="33">
        <f>IF($R$577="","",INDEX(전체채점!M$3:M$62,$R$577))</f>
        <v/>
      </c>
      <c r="K604" s="33">
        <f>IF($R$577="","",INDEX(전체채점!N$3:N$62,$R$577))</f>
        <v/>
      </c>
      <c r="L604" s="33">
        <f>IF($R$577="","",INDEX(전체채점!O$3:O$62,$R$577))</f>
        <v/>
      </c>
      <c r="M604" s="33">
        <f>IF($R$577="","",INDEX(전체채점!P$3:P$62,$R$577))</f>
        <v/>
      </c>
      <c r="N604" s="33">
        <f>IF($R$577="","",INDEX(전체채점!Q$3:Q$62,$R$577))</f>
        <v/>
      </c>
      <c r="O604" s="33">
        <f>IF($R$577="","",INDEX(전체채점!R$3:R$62,$R$577))</f>
        <v/>
      </c>
      <c r="P604" s="33">
        <f>IF($R$577="","",INDEX(전체채점!S$3:S$62,$R$577))</f>
        <v/>
      </c>
    </row>
    <row r="605">
      <c r="A605" s="52" t="inlineStr">
        <is>
          <t>정오</t>
        </is>
      </c>
      <c r="B605" s="33">
        <f>IF($R$577="","",INDEX(전체채점!AX$3:AX$62,$R$577))</f>
        <v/>
      </c>
      <c r="C605" s="33">
        <f>IF($R$577="","",INDEX(전체채점!AY$3:AY$62,$R$577))</f>
        <v/>
      </c>
      <c r="D605" s="33">
        <f>IF($R$577="","",INDEX(전체채점!AZ$3:AZ$62,$R$577))</f>
        <v/>
      </c>
      <c r="E605" s="33">
        <f>IF($R$577="","",INDEX(전체채점!BA$3:BA$62,$R$577))</f>
        <v/>
      </c>
      <c r="F605" s="33">
        <f>IF($R$577="","",INDEX(전체채점!BB$3:BB$62,$R$577))</f>
        <v/>
      </c>
      <c r="G605" s="33">
        <f>IF($R$577="","",INDEX(전체채점!BC$3:BC$62,$R$577))</f>
        <v/>
      </c>
      <c r="H605" s="33">
        <f>IF($R$577="","",INDEX(전체채점!BD$3:BD$62,$R$577))</f>
        <v/>
      </c>
      <c r="I605" s="33">
        <f>IF($R$577="","",INDEX(전체채점!BE$3:BE$62,$R$577))</f>
        <v/>
      </c>
      <c r="J605" s="33">
        <f>IF($R$577="","",INDEX(전체채점!BF$3:BF$62,$R$577))</f>
        <v/>
      </c>
      <c r="K605" s="33">
        <f>IF($R$577="","",INDEX(전체채점!BG$3:BG$62,$R$577))</f>
        <v/>
      </c>
      <c r="L605" s="33">
        <f>IF($R$577="","",INDEX(전체채점!BH$3:BH$62,$R$577))</f>
        <v/>
      </c>
      <c r="M605" s="33">
        <f>IF($R$577="","",INDEX(전체채점!BI$3:BI$62,$R$577))</f>
        <v/>
      </c>
      <c r="N605" s="33">
        <f>IF($R$577="","",INDEX(전체채점!BJ$3:BJ$62,$R$577))</f>
        <v/>
      </c>
      <c r="O605" s="33">
        <f>IF($R$577="","",INDEX(전체채점!BK$3:BK$62,$R$577))</f>
        <v/>
      </c>
      <c r="P605" s="33">
        <f>IF($R$577="","",INDEX(전체채점!BL$3:BL$62,$R$577))</f>
        <v/>
      </c>
    </row>
    <row r="606">
      <c r="A606" s="50" t="inlineStr">
        <is>
          <t>문항 번호</t>
        </is>
      </c>
      <c r="B606" s="51" t="n">
        <v>16</v>
      </c>
      <c r="C606" s="51" t="n">
        <v>17</v>
      </c>
      <c r="D606" s="51" t="n">
        <v>18</v>
      </c>
      <c r="E606" s="51" t="n">
        <v>19</v>
      </c>
      <c r="F606" s="51" t="n">
        <v>20</v>
      </c>
      <c r="G606" s="51" t="n">
        <v>21</v>
      </c>
      <c r="H606" s="51" t="n">
        <v>22</v>
      </c>
      <c r="I606" s="51" t="n">
        <v>23</v>
      </c>
      <c r="J606" s="51" t="n">
        <v>24</v>
      </c>
      <c r="K606" s="51" t="n">
        <v>25</v>
      </c>
      <c r="L606" s="51" t="n">
        <v>26</v>
      </c>
      <c r="M606" s="51" t="n">
        <v>27</v>
      </c>
      <c r="N606" s="51" t="n">
        <v>28</v>
      </c>
      <c r="O606" s="51" t="n">
        <v>29</v>
      </c>
      <c r="P606" s="51" t="n">
        <v>30</v>
      </c>
    </row>
    <row r="607">
      <c r="A607" s="52" t="inlineStr">
        <is>
          <t>정답</t>
        </is>
      </c>
      <c r="B607" s="33">
        <f>IF($R$578="","",IF($R$578="언어와 매체",자동계산!$D$19,자동계산!$B$19))</f>
        <v/>
      </c>
      <c r="C607" s="33">
        <f>IF($R$578="","",IF($R$578="언어와 매체",자동계산!$D$20,자동계산!$B$20))</f>
        <v/>
      </c>
      <c r="D607" s="33">
        <f>IF($R$578="","",IF($R$578="언어와 매체",자동계산!$D$21,자동계산!$B$21))</f>
        <v/>
      </c>
      <c r="E607" s="33">
        <f>IF($R$578="","",IF($R$578="언어와 매체",자동계산!$D$22,자동계산!$B$22))</f>
        <v/>
      </c>
      <c r="F607" s="33">
        <f>IF($R$578="","",IF($R$578="언어와 매체",자동계산!$D$23,자동계산!$B$23))</f>
        <v/>
      </c>
      <c r="G607" s="33">
        <f>IF($R$578="","",IF($R$578="언어와 매체",자동계산!$D$24,자동계산!$B$24))</f>
        <v/>
      </c>
      <c r="H607" s="33">
        <f>IF($R$578="","",IF($R$578="언어와 매체",자동계산!$D$25,자동계산!$B$25))</f>
        <v/>
      </c>
      <c r="I607" s="33">
        <f>IF($R$578="","",IF($R$578="언어와 매체",자동계산!$D$26,자동계산!$B$26))</f>
        <v/>
      </c>
      <c r="J607" s="33">
        <f>IF($R$578="","",IF($R$578="언어와 매체",자동계산!$D$27,자동계산!$B$27))</f>
        <v/>
      </c>
      <c r="K607" s="33">
        <f>IF($R$578="","",IF($R$578="언어와 매체",자동계산!$D$28,자동계산!$B$28))</f>
        <v/>
      </c>
      <c r="L607" s="33">
        <f>IF($R$578="","",IF($R$578="언어와 매체",자동계산!$D$29,자동계산!$B$29))</f>
        <v/>
      </c>
      <c r="M607" s="33">
        <f>IF($R$578="","",IF($R$578="언어와 매체",자동계산!$D$30,자동계산!$B$30))</f>
        <v/>
      </c>
      <c r="N607" s="33">
        <f>IF($R$578="","",IF($R$578="언어와 매체",자동계산!$D$31,자동계산!$B$31))</f>
        <v/>
      </c>
      <c r="O607" s="33">
        <f>IF($R$578="","",IF($R$578="언어와 매체",자동계산!$D$32,자동계산!$B$32))</f>
        <v/>
      </c>
      <c r="P607" s="33">
        <f>IF($R$578="","",IF($R$578="언어와 매체",자동계산!$D$33,자동계산!$B$33))</f>
        <v/>
      </c>
    </row>
    <row r="608">
      <c r="A608" s="52" t="inlineStr">
        <is>
          <t>학생답안</t>
        </is>
      </c>
      <c r="B608" s="33">
        <f>IF($R$577="","",INDEX(전체채점!T$3:T$62,$R$577))</f>
        <v/>
      </c>
      <c r="C608" s="33">
        <f>IF($R$577="","",INDEX(전체채점!U$3:U$62,$R$577))</f>
        <v/>
      </c>
      <c r="D608" s="33">
        <f>IF($R$577="","",INDEX(전체채점!V$3:V$62,$R$577))</f>
        <v/>
      </c>
      <c r="E608" s="33">
        <f>IF($R$577="","",INDEX(전체채점!W$3:W$62,$R$577))</f>
        <v/>
      </c>
      <c r="F608" s="33">
        <f>IF($R$577="","",INDEX(전체채점!X$3:X$62,$R$577))</f>
        <v/>
      </c>
      <c r="G608" s="33">
        <f>IF($R$577="","",INDEX(전체채점!Y$3:Y$62,$R$577))</f>
        <v/>
      </c>
      <c r="H608" s="33">
        <f>IF($R$577="","",INDEX(전체채점!Z$3:Z$62,$R$577))</f>
        <v/>
      </c>
      <c r="I608" s="33">
        <f>IF($R$577="","",INDEX(전체채점!AA$3:AA$62,$R$577))</f>
        <v/>
      </c>
      <c r="J608" s="33">
        <f>IF($R$577="","",INDEX(전체채점!AB$3:AB$62,$R$577))</f>
        <v/>
      </c>
      <c r="K608" s="33">
        <f>IF($R$577="","",INDEX(전체채점!AC$3:AC$62,$R$577))</f>
        <v/>
      </c>
      <c r="L608" s="33">
        <f>IF($R$577="","",INDEX(전체채점!AD$3:AD$62,$R$577))</f>
        <v/>
      </c>
      <c r="M608" s="33">
        <f>IF($R$577="","",INDEX(전체채점!AE$3:AE$62,$R$577))</f>
        <v/>
      </c>
      <c r="N608" s="33">
        <f>IF($R$577="","",INDEX(전체채점!AF$3:AF$62,$R$577))</f>
        <v/>
      </c>
      <c r="O608" s="33">
        <f>IF($R$577="","",INDEX(전체채점!AG$3:AG$62,$R$577))</f>
        <v/>
      </c>
      <c r="P608" s="33">
        <f>IF($R$577="","",INDEX(전체채점!AH$3:AH$62,$R$577))</f>
        <v/>
      </c>
    </row>
    <row r="609">
      <c r="A609" s="52" t="inlineStr">
        <is>
          <t>정오</t>
        </is>
      </c>
      <c r="B609" s="33">
        <f>IF($R$577="","",INDEX(전체채점!BM$3:BM$62,$R$577))</f>
        <v/>
      </c>
      <c r="C609" s="33">
        <f>IF($R$577="","",INDEX(전체채점!BN$3:BN$62,$R$577))</f>
        <v/>
      </c>
      <c r="D609" s="33">
        <f>IF($R$577="","",INDEX(전체채점!BO$3:BO$62,$R$577))</f>
        <v/>
      </c>
      <c r="E609" s="33">
        <f>IF($R$577="","",INDEX(전체채점!BP$3:BP$62,$R$577))</f>
        <v/>
      </c>
      <c r="F609" s="33">
        <f>IF($R$577="","",INDEX(전체채점!BQ$3:BQ$62,$R$577))</f>
        <v/>
      </c>
      <c r="G609" s="33">
        <f>IF($R$577="","",INDEX(전체채점!BR$3:BR$62,$R$577))</f>
        <v/>
      </c>
      <c r="H609" s="33">
        <f>IF($R$577="","",INDEX(전체채점!BS$3:BS$62,$R$577))</f>
        <v/>
      </c>
      <c r="I609" s="33">
        <f>IF($R$577="","",INDEX(전체채점!BT$3:BT$62,$R$577))</f>
        <v/>
      </c>
      <c r="J609" s="33">
        <f>IF($R$577="","",INDEX(전체채점!BU$3:BU$62,$R$577))</f>
        <v/>
      </c>
      <c r="K609" s="33">
        <f>IF($R$577="","",INDEX(전체채점!BV$3:BV$62,$R$577))</f>
        <v/>
      </c>
      <c r="L609" s="33">
        <f>IF($R$577="","",INDEX(전체채점!BW$3:BW$62,$R$577))</f>
        <v/>
      </c>
      <c r="M609" s="33">
        <f>IF($R$577="","",INDEX(전체채점!BX$3:BX$62,$R$577))</f>
        <v/>
      </c>
      <c r="N609" s="33">
        <f>IF($R$577="","",INDEX(전체채점!BY$3:BY$62,$R$577))</f>
        <v/>
      </c>
      <c r="O609" s="33">
        <f>IF($R$577="","",INDEX(전체채점!BZ$3:BZ$62,$R$577))</f>
        <v/>
      </c>
      <c r="P609" s="33">
        <f>IF($R$577="","",INDEX(전체채점!CA$3:CA$62,$R$577))</f>
        <v/>
      </c>
    </row>
    <row r="610">
      <c r="A610" s="50" t="inlineStr">
        <is>
          <t>문항 번호</t>
        </is>
      </c>
      <c r="B610" s="51" t="n">
        <v>31</v>
      </c>
      <c r="C610" s="51" t="n">
        <v>32</v>
      </c>
      <c r="D610" s="51" t="n">
        <v>33</v>
      </c>
      <c r="E610" s="51" t="n">
        <v>34</v>
      </c>
      <c r="F610" s="51" t="n">
        <v>35</v>
      </c>
      <c r="G610" s="51" t="n">
        <v>36</v>
      </c>
      <c r="H610" s="51" t="n">
        <v>37</v>
      </c>
      <c r="I610" s="51" t="n">
        <v>38</v>
      </c>
      <c r="J610" s="51" t="n">
        <v>39</v>
      </c>
      <c r="K610" s="51" t="n">
        <v>40</v>
      </c>
      <c r="L610" s="51" t="n">
        <v>41</v>
      </c>
      <c r="M610" s="51" t="n">
        <v>42</v>
      </c>
      <c r="N610" s="51" t="n">
        <v>43</v>
      </c>
      <c r="O610" s="51" t="n">
        <v>44</v>
      </c>
      <c r="P610" s="51" t="n">
        <v>45</v>
      </c>
    </row>
    <row r="611">
      <c r="A611" s="52" t="inlineStr">
        <is>
          <t>정답</t>
        </is>
      </c>
      <c r="B611" s="33">
        <f>IF($R$578="","",IF($R$578="언어와 매체",자동계산!$D$34,자동계산!$B$34))</f>
        <v/>
      </c>
      <c r="C611" s="33">
        <f>IF($R$578="","",IF($R$578="언어와 매체",자동계산!$D$35,자동계산!$B$35))</f>
        <v/>
      </c>
      <c r="D611" s="33">
        <f>IF($R$578="","",IF($R$578="언어와 매체",자동계산!$D$36,자동계산!$B$36))</f>
        <v/>
      </c>
      <c r="E611" s="33">
        <f>IF($R$578="","",IF($R$578="언어와 매체",자동계산!$D$37,자동계산!$B$37))</f>
        <v/>
      </c>
      <c r="F611" s="33">
        <f>IF($R$578="","",IF($R$578="언어와 매체",자동계산!$D$38,자동계산!$B$38))</f>
        <v/>
      </c>
      <c r="G611" s="33">
        <f>IF($R$578="","",IF($R$578="언어와 매체",자동계산!$D$39,자동계산!$B$39))</f>
        <v/>
      </c>
      <c r="H611" s="33">
        <f>IF($R$578="","",IF($R$578="언어와 매체",자동계산!$D$40,자동계산!$B$40))</f>
        <v/>
      </c>
      <c r="I611" s="33">
        <f>IF($R$578="","",IF($R$578="언어와 매체",자동계산!$D$41,자동계산!$B$41))</f>
        <v/>
      </c>
      <c r="J611" s="33">
        <f>IF($R$578="","",IF($R$578="언어와 매체",자동계산!$D$42,자동계산!$B$42))</f>
        <v/>
      </c>
      <c r="K611" s="33">
        <f>IF($R$578="","",IF($R$578="언어와 매체",자동계산!$D$43,자동계산!$B$43))</f>
        <v/>
      </c>
      <c r="L611" s="33">
        <f>IF($R$578="","",IF($R$578="언어와 매체",자동계산!$D$44,자동계산!$B$44))</f>
        <v/>
      </c>
      <c r="M611" s="33">
        <f>IF($R$578="","",IF($R$578="언어와 매체",자동계산!$D$45,자동계산!$B$45))</f>
        <v/>
      </c>
      <c r="N611" s="33">
        <f>IF($R$578="","",IF($R$578="언어와 매체",자동계산!$D$46,자동계산!$B$46))</f>
        <v/>
      </c>
      <c r="O611" s="33">
        <f>IF($R$578="","",IF($R$578="언어와 매체",자동계산!$D$47,자동계산!$B$47))</f>
        <v/>
      </c>
      <c r="P611" s="33">
        <f>IF($R$578="","",IF($R$578="언어와 매체",자동계산!$D$48,자동계산!$B$48))</f>
        <v/>
      </c>
    </row>
    <row r="612">
      <c r="A612" s="52" t="inlineStr">
        <is>
          <t>학생답안</t>
        </is>
      </c>
      <c r="B612" s="33">
        <f>IF($R$577="","",INDEX(전체채점!AI$3:AI$62,$R$577))</f>
        <v/>
      </c>
      <c r="C612" s="33">
        <f>IF($R$577="","",INDEX(전체채점!AJ$3:AJ$62,$R$577))</f>
        <v/>
      </c>
      <c r="D612" s="33">
        <f>IF($R$577="","",INDEX(전체채점!AK$3:AK$62,$R$577))</f>
        <v/>
      </c>
      <c r="E612" s="33">
        <f>IF($R$577="","",INDEX(전체채점!AL$3:AL$62,$R$577))</f>
        <v/>
      </c>
      <c r="F612" s="33">
        <f>IF($R$577="","",INDEX(전체채점!AM$3:AM$62,$R$577))</f>
        <v/>
      </c>
      <c r="G612" s="33">
        <f>IF($R$577="","",INDEX(전체채점!AN$3:AN$62,$R$577))</f>
        <v/>
      </c>
      <c r="H612" s="33">
        <f>IF($R$577="","",INDEX(전체채점!AO$3:AO$62,$R$577))</f>
        <v/>
      </c>
      <c r="I612" s="33">
        <f>IF($R$577="","",INDEX(전체채점!AP$3:AP$62,$R$577))</f>
        <v/>
      </c>
      <c r="J612" s="33">
        <f>IF($R$577="","",INDEX(전체채점!AQ$3:AQ$62,$R$577))</f>
        <v/>
      </c>
      <c r="K612" s="33">
        <f>IF($R$577="","",INDEX(전체채점!AR$3:AR$62,$R$577))</f>
        <v/>
      </c>
      <c r="L612" s="33">
        <f>IF($R$577="","",INDEX(전체채점!AS$3:AS$62,$R$577))</f>
        <v/>
      </c>
      <c r="M612" s="33">
        <f>IF($R$577="","",INDEX(전체채점!AT$3:AT$62,$R$577))</f>
        <v/>
      </c>
      <c r="N612" s="33">
        <f>IF($R$577="","",INDEX(전체채점!AU$3:AU$62,$R$577))</f>
        <v/>
      </c>
      <c r="O612" s="33">
        <f>IF($R$577="","",INDEX(전체채점!AV$3:AV$62,$R$577))</f>
        <v/>
      </c>
      <c r="P612" s="33">
        <f>IF($R$577="","",INDEX(전체채점!AW$3:AW$62,$R$577))</f>
        <v/>
      </c>
    </row>
    <row r="613">
      <c r="A613" s="52" t="inlineStr">
        <is>
          <t>정오</t>
        </is>
      </c>
      <c r="B613" s="33">
        <f>IF($R$577="","",INDEX(전체채점!CB$3:CB$62,$R$577))</f>
        <v/>
      </c>
      <c r="C613" s="33">
        <f>IF($R$577="","",INDEX(전체채점!CC$3:CC$62,$R$577))</f>
        <v/>
      </c>
      <c r="D613" s="33">
        <f>IF($R$577="","",INDEX(전체채점!CD$3:CD$62,$R$577))</f>
        <v/>
      </c>
      <c r="E613" s="33">
        <f>IF($R$577="","",INDEX(전체채점!CE$3:CE$62,$R$577))</f>
        <v/>
      </c>
      <c r="F613" s="33">
        <f>IF($R$577="","",INDEX(전체채점!CF$3:CF$62,$R$577))</f>
        <v/>
      </c>
      <c r="G613" s="33">
        <f>IF($R$577="","",INDEX(전체채점!CG$3:CG$62,$R$577))</f>
        <v/>
      </c>
      <c r="H613" s="33">
        <f>IF($R$577="","",INDEX(전체채점!CH$3:CH$62,$R$577))</f>
        <v/>
      </c>
      <c r="I613" s="33">
        <f>IF($R$577="","",INDEX(전체채점!CI$3:CI$62,$R$577))</f>
        <v/>
      </c>
      <c r="J613" s="33">
        <f>IF($R$577="","",INDEX(전체채점!CJ$3:CJ$62,$R$577))</f>
        <v/>
      </c>
      <c r="K613" s="33">
        <f>IF($R$577="","",INDEX(전체채점!CK$3:CK$62,$R$577))</f>
        <v/>
      </c>
      <c r="L613" s="33">
        <f>IF($R$577="","",INDEX(전체채점!CL$3:CL$62,$R$577))</f>
        <v/>
      </c>
      <c r="M613" s="33">
        <f>IF($R$577="","",INDEX(전체채점!CM$3:CM$62,$R$577))</f>
        <v/>
      </c>
      <c r="N613" s="33">
        <f>IF($R$577="","",INDEX(전체채점!CN$3:CN$62,$R$577))</f>
        <v/>
      </c>
      <c r="O613" s="33">
        <f>IF($R$577="","",INDEX(전체채점!CO$3:CO$62,$R$577))</f>
        <v/>
      </c>
      <c r="P613" s="33">
        <f>IF($R$577="","",INDEX(전체채점!CP$3:CP$62,$R$577))</f>
        <v/>
      </c>
    </row>
    <row r="616" ht="34" customHeight="1">
      <c r="A616" s="36">
        <f>IF($R$618="","",회차설정!$B$2&amp;" 성적표")</f>
        <v/>
      </c>
    </row>
    <row r="618">
      <c r="A618" s="12" t="inlineStr">
        <is>
          <t>1. 학생정보</t>
        </is>
      </c>
      <c r="R618" s="37">
        <f>IF(답안입력!$A$18="","",16)</f>
        <v/>
      </c>
      <c r="S618" s="37">
        <f>IF($R$619="","",IFERROR(IF($R$619="언어와 매체",MATCH(1,회차설정!$G$13:$G$27,0),MATCH(1,회차설정!$F$13:$F$27,0)),""))</f>
        <v/>
      </c>
    </row>
    <row r="619">
      <c r="A619" s="13" t="inlineStr">
        <is>
          <t>성명</t>
        </is>
      </c>
      <c r="B619" s="7" t="n"/>
      <c r="C619" s="8" t="n"/>
      <c r="D619" s="13" t="inlineStr">
        <is>
          <t>선택과목</t>
        </is>
      </c>
      <c r="E619" s="7" t="n"/>
      <c r="F619" s="7" t="n"/>
      <c r="G619" s="8" t="n"/>
      <c r="H619" s="13" t="inlineStr">
        <is>
          <t>학년</t>
        </is>
      </c>
      <c r="I619" s="7" t="n"/>
      <c r="J619" s="7" t="n"/>
      <c r="K619" s="8" t="n"/>
      <c r="L619" s="13" t="inlineStr">
        <is>
          <t>시행일</t>
        </is>
      </c>
      <c r="M619" s="7" t="n"/>
      <c r="N619" s="7" t="n"/>
      <c r="O619" s="7" t="n"/>
      <c r="P619" s="8" t="n"/>
      <c r="R619" s="37">
        <f>IF($R$618="","",INDEX(전체채점!$B$3:$B$62,$R$618))</f>
        <v/>
      </c>
      <c r="S619" s="37">
        <f>IF($R$619="","",IFERROR(IF($R$619="언어와 매체",MATCH(2,회차설정!$G$13:$G$27,0),MATCH(2,회차설정!$F$13:$F$27,0)),""))</f>
        <v/>
      </c>
    </row>
    <row r="620" ht="26" customHeight="1">
      <c r="A620" s="39">
        <f>IF($R$618="","",INDEX(답안입력!$A$3:$A$62,$R$618))</f>
        <v/>
      </c>
      <c r="B620" s="7" t="n"/>
      <c r="C620" s="8" t="n"/>
      <c r="D620" s="39">
        <f>IF($R$618="","",INDEX(답안입력!$C$3:$C$62,$R$618))</f>
        <v/>
      </c>
      <c r="E620" s="7" t="n"/>
      <c r="F620" s="7" t="n"/>
      <c r="G620" s="8" t="n"/>
      <c r="H620" s="39">
        <f>IF($R$618="","",INDEX(답안입력!$B$3:$B$62,$R$618))</f>
        <v/>
      </c>
      <c r="I620" s="7" t="n"/>
      <c r="J620" s="7" t="n"/>
      <c r="K620" s="8" t="n"/>
      <c r="L620" s="40">
        <f>회차설정!$B$3</f>
        <v/>
      </c>
      <c r="M620" s="7" t="n"/>
      <c r="N620" s="7" t="n"/>
      <c r="O620" s="7" t="n"/>
      <c r="P620" s="8" t="n"/>
      <c r="R620" s="37">
        <f>IF($R$619="언어와 매체",회차설정!$B$9,회차설정!$B$8)</f>
        <v/>
      </c>
      <c r="S620" s="37">
        <f>IF($R$619="","",IFERROR(IF($R$619="언어와 매체",MATCH(3,회차설정!$G$13:$G$27,0),MATCH(3,회차설정!$F$13:$F$27,0)),""))</f>
        <v/>
      </c>
    </row>
    <row r="621">
      <c r="R621" s="37">
        <f>IF($R$619="언어와 매체",회차설정!$C$9,회차설정!$C$8)</f>
        <v/>
      </c>
      <c r="S621" s="37">
        <f>IF($R$619="","",IFERROR(IF($R$619="언어와 매체",MATCH(4,회차설정!$G$13:$G$27,0),MATCH(4,회차설정!$F$13:$F$27,0)),""))</f>
        <v/>
      </c>
    </row>
    <row r="622">
      <c r="A622" s="12" t="inlineStr">
        <is>
          <t>2. 성적</t>
        </is>
      </c>
      <c r="R622" s="37">
        <f>IF($R$619="언어와 매체",회차설정!$D$9,회차설정!$D$8)</f>
        <v/>
      </c>
      <c r="S622" s="37">
        <f>IF($R$619="","",IFERROR(IF($R$619="언어와 매체",MATCH(5,회차설정!$G$13:$G$27,0),MATCH(5,회차설정!$F$13:$F$27,0)),""))</f>
        <v/>
      </c>
    </row>
    <row r="623">
      <c r="A623" s="13" t="inlineStr">
        <is>
          <t>점수 (100점 만점)</t>
        </is>
      </c>
      <c r="B623" s="7" t="n"/>
      <c r="C623" s="7" t="n"/>
      <c r="D623" s="7" t="n"/>
      <c r="E623" s="8" t="n"/>
      <c r="F623" s="13" t="inlineStr">
        <is>
          <t>등급</t>
        </is>
      </c>
      <c r="G623" s="7" t="n"/>
      <c r="H623" s="8" t="n"/>
      <c r="I623" s="13" t="inlineStr">
        <is>
          <t>등급컷</t>
        </is>
      </c>
      <c r="J623" s="7" t="n"/>
      <c r="K623" s="7" t="n"/>
      <c r="L623" s="8" t="n"/>
      <c r="M623" s="13" t="inlineStr">
        <is>
          <t>같은 선택과목 평균</t>
        </is>
      </c>
      <c r="N623" s="7" t="n"/>
      <c r="O623" s="7" t="n"/>
      <c r="P623" s="8" t="n"/>
      <c r="R623" s="37">
        <f>IF($R$619="언어와 매체",회차설정!$E$9,회차설정!$E$8)</f>
        <v/>
      </c>
      <c r="S623" s="37">
        <f>IF($R$619="","",IFERROR(IF($R$619="언어와 매체",MATCH(6,회차설정!$G$13:$G$27,0),MATCH(6,회차설정!$F$13:$F$27,0)),""))</f>
        <v/>
      </c>
    </row>
    <row r="624" ht="34" customHeight="1">
      <c r="A624" s="41">
        <f>IF($R$618="","",INDEX(전체채점!$C$3:$C$62,$R$618))</f>
        <v/>
      </c>
      <c r="B624" s="7" t="n"/>
      <c r="C624" s="7" t="n"/>
      <c r="D624" s="7" t="n"/>
      <c r="E624" s="8" t="n"/>
      <c r="F624" s="42">
        <f>IF($R$618="","",INDEX(전체채점!$D$3:$D$62,$R$618))</f>
        <v/>
      </c>
      <c r="G624" s="7" t="n"/>
      <c r="H624" s="8" t="n"/>
      <c r="I624" s="43">
        <f>IF($R$618="","",$R$620&amp;"-"&amp;$R$621&amp;"-"&amp;$R$622&amp;"-"&amp;$R$623)</f>
        <v/>
      </c>
      <c r="J624" s="7" t="n"/>
      <c r="K624" s="7" t="n"/>
      <c r="L624" s="8" t="n"/>
      <c r="M624" s="44">
        <f>IFERROR(AVERAGEIF(전체채점!$B$3:$B$62,$R$619,전체채점!$C$3:$C$62),"")</f>
        <v/>
      </c>
      <c r="N624" s="7" t="n"/>
      <c r="O624" s="7" t="n"/>
      <c r="P624" s="8" t="n"/>
      <c r="S624" s="37">
        <f>IF($R$619="","",IFERROR(IF($R$619="언어와 매체",MATCH(7,회차설정!$G$13:$G$27,0),MATCH(7,회차설정!$F$13:$F$27,0)),""))</f>
        <v/>
      </c>
    </row>
    <row r="625">
      <c r="S625" s="37">
        <f>IF($R$619="","",IFERROR(IF($R$619="언어와 매체",MATCH(8,회차설정!$G$13:$G$27,0),MATCH(8,회차설정!$F$13:$F$27,0)),""))</f>
        <v/>
      </c>
    </row>
    <row r="626">
      <c r="A626" s="12" t="inlineStr">
        <is>
          <t>3. 영역분류별 성취도 분석</t>
        </is>
      </c>
      <c r="F626" s="45">
        <f>IF(OR($R$618="",$E640=""),"",IF($E640=INDEX(전체채점!$C$3:$C$62,$R$618),"","※ 회차설정의 영역 표를 확인하세요 — 영역 합계와 점수가 다릅니다"))</f>
        <v/>
      </c>
      <c r="S626" s="37">
        <f>IF($R$619="","",IFERROR(IF($R$619="언어와 매체",MATCH(9,회차설정!$G$13:$G$27,0),MATCH(9,회차설정!$F$13:$F$27,0)),""))</f>
        <v/>
      </c>
    </row>
    <row r="627">
      <c r="A627" s="13" t="inlineStr">
        <is>
          <t>분류</t>
        </is>
      </c>
      <c r="B627" s="13" t="inlineStr">
        <is>
          <t>영역</t>
        </is>
      </c>
      <c r="C627" s="8" t="n"/>
      <c r="D627" s="13" t="inlineStr">
        <is>
          <t>배점</t>
        </is>
      </c>
      <c r="E627" s="13" t="inlineStr">
        <is>
          <t>득점</t>
        </is>
      </c>
      <c r="F627" s="13" t="inlineStr">
        <is>
          <t>성취도(%)</t>
        </is>
      </c>
      <c r="G627" s="8" t="n"/>
      <c r="H627" s="13" t="inlineStr"/>
      <c r="I627" s="7" t="n"/>
      <c r="J627" s="7" t="n"/>
      <c r="K627" s="7" t="n"/>
      <c r="L627" s="7" t="n"/>
      <c r="M627" s="7" t="n"/>
      <c r="N627" s="7" t="n"/>
      <c r="O627" s="7" t="n"/>
      <c r="P627" s="8" t="n"/>
      <c r="S627" s="37">
        <f>IF($R$619="","",IFERROR(IF($R$619="언어와 매체",MATCH(10,회차설정!$G$13:$G$27,0),MATCH(10,회차설정!$F$13:$F$27,0)),""))</f>
        <v/>
      </c>
    </row>
    <row r="628">
      <c r="A628" s="14">
        <f>IF($S$618="","",INDEX(회차설정!$A$13:$A$27,$S$618))</f>
        <v/>
      </c>
      <c r="B628" s="14">
        <f>IF($S$618="","",INDEX(회차설정!$B$13:$B$27,$S$618))</f>
        <v/>
      </c>
      <c r="C628" s="8" t="n"/>
      <c r="D628" s="14">
        <f>IF($S$618="","",IF($R$619="언어와 매체",SUMPRODUCT((자동계산!$A$4:$A$48&gt;=INDEX(회차설정!$C$13:$C$27,$S$618))*(자동계산!$A$4:$A$48&lt;=INDEX(회차설정!$D$13:$D$27,$S$618))*자동계산!$E$4:$E$48),SUMPRODUCT((자동계산!$A$4:$A$48&gt;=INDEX(회차설정!$C$13:$C$27,$S$618))*(자동계산!$A$4:$A$48&lt;=INDEX(회차설정!$D$13:$D$27,$S$618))*자동계산!$C$4:$C$48)))</f>
        <v/>
      </c>
      <c r="E628" s="14">
        <f>IF(OR($S$618="",$R$618=""),"",SUM(OFFSET(전체채점!$AW$2,$R$618,INDEX(회차설정!$C$13:$C$27,$S$618),1,INDEX(회차설정!$D$13:$D$27,$S$618)-INDEX(회차설정!$C$13:$C$27,$S$618)+1)))</f>
        <v/>
      </c>
      <c r="F628" s="46">
        <f>IF(OR($S$618="",$D628=0,$D628="",$E628=""),"",$E628/$D628*100)</f>
        <v/>
      </c>
      <c r="G628" s="8" t="n"/>
      <c r="H628" s="47">
        <f>IF($F628="","",REPT("■",ROUND($F628/5,0)))</f>
        <v/>
      </c>
      <c r="I628" s="7" t="n"/>
      <c r="J628" s="7" t="n"/>
      <c r="K628" s="7" t="n"/>
      <c r="L628" s="7" t="n"/>
      <c r="M628" s="7" t="n"/>
      <c r="N628" s="7" t="n"/>
      <c r="O628" s="7" t="n"/>
      <c r="P628" s="8" t="n"/>
      <c r="S628" s="37">
        <f>IF($R$619="","",IFERROR(IF($R$619="언어와 매체",MATCH(11,회차설정!$G$13:$G$27,0),MATCH(11,회차설정!$F$13:$F$27,0)),""))</f>
        <v/>
      </c>
    </row>
    <row r="629">
      <c r="A629" s="14">
        <f>IF($S$619="","",INDEX(회차설정!$A$13:$A$27,$S$619))</f>
        <v/>
      </c>
      <c r="B629" s="14">
        <f>IF($S$619="","",INDEX(회차설정!$B$13:$B$27,$S$619))</f>
        <v/>
      </c>
      <c r="C629" s="8" t="n"/>
      <c r="D629" s="14">
        <f>IF($S$619="","",IF($R$619="언어와 매체",SUMPRODUCT((자동계산!$A$4:$A$48&gt;=INDEX(회차설정!$C$13:$C$27,$S$619))*(자동계산!$A$4:$A$48&lt;=INDEX(회차설정!$D$13:$D$27,$S$619))*자동계산!$E$4:$E$48),SUMPRODUCT((자동계산!$A$4:$A$48&gt;=INDEX(회차설정!$C$13:$C$27,$S$619))*(자동계산!$A$4:$A$48&lt;=INDEX(회차설정!$D$13:$D$27,$S$619))*자동계산!$C$4:$C$48)))</f>
        <v/>
      </c>
      <c r="E629" s="14">
        <f>IF(OR($S$619="",$R$618=""),"",SUM(OFFSET(전체채점!$AW$2,$R$618,INDEX(회차설정!$C$13:$C$27,$S$619),1,INDEX(회차설정!$D$13:$D$27,$S$619)-INDEX(회차설정!$C$13:$C$27,$S$619)+1)))</f>
        <v/>
      </c>
      <c r="F629" s="46">
        <f>IF(OR($S$619="",$D629=0,$D629="",$E629=""),"",$E629/$D629*100)</f>
        <v/>
      </c>
      <c r="G629" s="8" t="n"/>
      <c r="H629" s="47">
        <f>IF($F629="","",REPT("■",ROUND($F629/5,0)))</f>
        <v/>
      </c>
      <c r="I629" s="7" t="n"/>
      <c r="J629" s="7" t="n"/>
      <c r="K629" s="7" t="n"/>
      <c r="L629" s="7" t="n"/>
      <c r="M629" s="7" t="n"/>
      <c r="N629" s="7" t="n"/>
      <c r="O629" s="7" t="n"/>
      <c r="P629" s="8" t="n"/>
      <c r="S629" s="37">
        <f>IF($R$619="","",IFERROR(IF($R$619="언어와 매체",MATCH(12,회차설정!$G$13:$G$27,0),MATCH(12,회차설정!$F$13:$F$27,0)),""))</f>
        <v/>
      </c>
    </row>
    <row r="630">
      <c r="A630" s="14">
        <f>IF($S$620="","",INDEX(회차설정!$A$13:$A$27,$S$620))</f>
        <v/>
      </c>
      <c r="B630" s="14">
        <f>IF($S$620="","",INDEX(회차설정!$B$13:$B$27,$S$620))</f>
        <v/>
      </c>
      <c r="C630" s="8" t="n"/>
      <c r="D630" s="14">
        <f>IF($S$620="","",IF($R$619="언어와 매체",SUMPRODUCT((자동계산!$A$4:$A$48&gt;=INDEX(회차설정!$C$13:$C$27,$S$620))*(자동계산!$A$4:$A$48&lt;=INDEX(회차설정!$D$13:$D$27,$S$620))*자동계산!$E$4:$E$48),SUMPRODUCT((자동계산!$A$4:$A$48&gt;=INDEX(회차설정!$C$13:$C$27,$S$620))*(자동계산!$A$4:$A$48&lt;=INDEX(회차설정!$D$13:$D$27,$S$620))*자동계산!$C$4:$C$48)))</f>
        <v/>
      </c>
      <c r="E630" s="14">
        <f>IF(OR($S$620="",$R$618=""),"",SUM(OFFSET(전체채점!$AW$2,$R$618,INDEX(회차설정!$C$13:$C$27,$S$620),1,INDEX(회차설정!$D$13:$D$27,$S$620)-INDEX(회차설정!$C$13:$C$27,$S$620)+1)))</f>
        <v/>
      </c>
      <c r="F630" s="46">
        <f>IF(OR($S$620="",$D630=0,$D630="",$E630=""),"",$E630/$D630*100)</f>
        <v/>
      </c>
      <c r="G630" s="8" t="n"/>
      <c r="H630" s="47">
        <f>IF($F630="","",REPT("■",ROUND($F630/5,0)))</f>
        <v/>
      </c>
      <c r="I630" s="7" t="n"/>
      <c r="J630" s="7" t="n"/>
      <c r="K630" s="7" t="n"/>
      <c r="L630" s="7" t="n"/>
      <c r="M630" s="7" t="n"/>
      <c r="N630" s="7" t="n"/>
      <c r="O630" s="7" t="n"/>
      <c r="P630" s="8" t="n"/>
    </row>
    <row r="631">
      <c r="A631" s="14">
        <f>IF($S$621="","",INDEX(회차설정!$A$13:$A$27,$S$621))</f>
        <v/>
      </c>
      <c r="B631" s="14">
        <f>IF($S$621="","",INDEX(회차설정!$B$13:$B$27,$S$621))</f>
        <v/>
      </c>
      <c r="C631" s="8" t="n"/>
      <c r="D631" s="14">
        <f>IF($S$621="","",IF($R$619="언어와 매체",SUMPRODUCT((자동계산!$A$4:$A$48&gt;=INDEX(회차설정!$C$13:$C$27,$S$621))*(자동계산!$A$4:$A$48&lt;=INDEX(회차설정!$D$13:$D$27,$S$621))*자동계산!$E$4:$E$48),SUMPRODUCT((자동계산!$A$4:$A$48&gt;=INDEX(회차설정!$C$13:$C$27,$S$621))*(자동계산!$A$4:$A$48&lt;=INDEX(회차설정!$D$13:$D$27,$S$621))*자동계산!$C$4:$C$48)))</f>
        <v/>
      </c>
      <c r="E631" s="14">
        <f>IF(OR($S$621="",$R$618=""),"",SUM(OFFSET(전체채점!$AW$2,$R$618,INDEX(회차설정!$C$13:$C$27,$S$621),1,INDEX(회차설정!$D$13:$D$27,$S$621)-INDEX(회차설정!$C$13:$C$27,$S$621)+1)))</f>
        <v/>
      </c>
      <c r="F631" s="46">
        <f>IF(OR($S$621="",$D631=0,$D631="",$E631=""),"",$E631/$D631*100)</f>
        <v/>
      </c>
      <c r="G631" s="8" t="n"/>
      <c r="H631" s="47">
        <f>IF($F631="","",REPT("■",ROUND($F631/5,0)))</f>
        <v/>
      </c>
      <c r="I631" s="7" t="n"/>
      <c r="J631" s="7" t="n"/>
      <c r="K631" s="7" t="n"/>
      <c r="L631" s="7" t="n"/>
      <c r="M631" s="7" t="n"/>
      <c r="N631" s="7" t="n"/>
      <c r="O631" s="7" t="n"/>
      <c r="P631" s="8" t="n"/>
    </row>
    <row r="632">
      <c r="A632" s="14">
        <f>IF($S$622="","",INDEX(회차설정!$A$13:$A$27,$S$622))</f>
        <v/>
      </c>
      <c r="B632" s="14">
        <f>IF($S$622="","",INDEX(회차설정!$B$13:$B$27,$S$622))</f>
        <v/>
      </c>
      <c r="C632" s="8" t="n"/>
      <c r="D632" s="14">
        <f>IF($S$622="","",IF($R$619="언어와 매체",SUMPRODUCT((자동계산!$A$4:$A$48&gt;=INDEX(회차설정!$C$13:$C$27,$S$622))*(자동계산!$A$4:$A$48&lt;=INDEX(회차설정!$D$13:$D$27,$S$622))*자동계산!$E$4:$E$48),SUMPRODUCT((자동계산!$A$4:$A$48&gt;=INDEX(회차설정!$C$13:$C$27,$S$622))*(자동계산!$A$4:$A$48&lt;=INDEX(회차설정!$D$13:$D$27,$S$622))*자동계산!$C$4:$C$48)))</f>
        <v/>
      </c>
      <c r="E632" s="14">
        <f>IF(OR($S$622="",$R$618=""),"",SUM(OFFSET(전체채점!$AW$2,$R$618,INDEX(회차설정!$C$13:$C$27,$S$622),1,INDEX(회차설정!$D$13:$D$27,$S$622)-INDEX(회차설정!$C$13:$C$27,$S$622)+1)))</f>
        <v/>
      </c>
      <c r="F632" s="46">
        <f>IF(OR($S$622="",$D632=0,$D632="",$E632=""),"",$E632/$D632*100)</f>
        <v/>
      </c>
      <c r="G632" s="8" t="n"/>
      <c r="H632" s="47">
        <f>IF($F632="","",REPT("■",ROUND($F632/5,0)))</f>
        <v/>
      </c>
      <c r="I632" s="7" t="n"/>
      <c r="J632" s="7" t="n"/>
      <c r="K632" s="7" t="n"/>
      <c r="L632" s="7" t="n"/>
      <c r="M632" s="7" t="n"/>
      <c r="N632" s="7" t="n"/>
      <c r="O632" s="7" t="n"/>
      <c r="P632" s="8" t="n"/>
    </row>
    <row r="633">
      <c r="A633" s="14">
        <f>IF($S$623="","",INDEX(회차설정!$A$13:$A$27,$S$623))</f>
        <v/>
      </c>
      <c r="B633" s="14">
        <f>IF($S$623="","",INDEX(회차설정!$B$13:$B$27,$S$623))</f>
        <v/>
      </c>
      <c r="C633" s="8" t="n"/>
      <c r="D633" s="14">
        <f>IF($S$623="","",IF($R$619="언어와 매체",SUMPRODUCT((자동계산!$A$4:$A$48&gt;=INDEX(회차설정!$C$13:$C$27,$S$623))*(자동계산!$A$4:$A$48&lt;=INDEX(회차설정!$D$13:$D$27,$S$623))*자동계산!$E$4:$E$48),SUMPRODUCT((자동계산!$A$4:$A$48&gt;=INDEX(회차설정!$C$13:$C$27,$S$623))*(자동계산!$A$4:$A$48&lt;=INDEX(회차설정!$D$13:$D$27,$S$623))*자동계산!$C$4:$C$48)))</f>
        <v/>
      </c>
      <c r="E633" s="14">
        <f>IF(OR($S$623="",$R$618=""),"",SUM(OFFSET(전체채점!$AW$2,$R$618,INDEX(회차설정!$C$13:$C$27,$S$623),1,INDEX(회차설정!$D$13:$D$27,$S$623)-INDEX(회차설정!$C$13:$C$27,$S$623)+1)))</f>
        <v/>
      </c>
      <c r="F633" s="46">
        <f>IF(OR($S$623="",$D633=0,$D633="",$E633=""),"",$E633/$D633*100)</f>
        <v/>
      </c>
      <c r="G633" s="8" t="n"/>
      <c r="H633" s="47">
        <f>IF($F633="","",REPT("■",ROUND($F633/5,0)))</f>
        <v/>
      </c>
      <c r="I633" s="7" t="n"/>
      <c r="J633" s="7" t="n"/>
      <c r="K633" s="7" t="n"/>
      <c r="L633" s="7" t="n"/>
      <c r="M633" s="7" t="n"/>
      <c r="N633" s="7" t="n"/>
      <c r="O633" s="7" t="n"/>
      <c r="P633" s="8" t="n"/>
    </row>
    <row r="634">
      <c r="A634" s="14">
        <f>IF($S$624="","",INDEX(회차설정!$A$13:$A$27,$S$624))</f>
        <v/>
      </c>
      <c r="B634" s="14">
        <f>IF($S$624="","",INDEX(회차설정!$B$13:$B$27,$S$624))</f>
        <v/>
      </c>
      <c r="C634" s="8" t="n"/>
      <c r="D634" s="14">
        <f>IF($S$624="","",IF($R$619="언어와 매체",SUMPRODUCT((자동계산!$A$4:$A$48&gt;=INDEX(회차설정!$C$13:$C$27,$S$624))*(자동계산!$A$4:$A$48&lt;=INDEX(회차설정!$D$13:$D$27,$S$624))*자동계산!$E$4:$E$48),SUMPRODUCT((자동계산!$A$4:$A$48&gt;=INDEX(회차설정!$C$13:$C$27,$S$624))*(자동계산!$A$4:$A$48&lt;=INDEX(회차설정!$D$13:$D$27,$S$624))*자동계산!$C$4:$C$48)))</f>
        <v/>
      </c>
      <c r="E634" s="14">
        <f>IF(OR($S$624="",$R$618=""),"",SUM(OFFSET(전체채점!$AW$2,$R$618,INDEX(회차설정!$C$13:$C$27,$S$624),1,INDEX(회차설정!$D$13:$D$27,$S$624)-INDEX(회차설정!$C$13:$C$27,$S$624)+1)))</f>
        <v/>
      </c>
      <c r="F634" s="46">
        <f>IF(OR($S$624="",$D634=0,$D634="",$E634=""),"",$E634/$D634*100)</f>
        <v/>
      </c>
      <c r="G634" s="8" t="n"/>
      <c r="H634" s="47">
        <f>IF($F634="","",REPT("■",ROUND($F634/5,0)))</f>
        <v/>
      </c>
      <c r="I634" s="7" t="n"/>
      <c r="J634" s="7" t="n"/>
      <c r="K634" s="7" t="n"/>
      <c r="L634" s="7" t="n"/>
      <c r="M634" s="7" t="n"/>
      <c r="N634" s="7" t="n"/>
      <c r="O634" s="7" t="n"/>
      <c r="P634" s="8" t="n"/>
    </row>
    <row r="635">
      <c r="A635" s="14">
        <f>IF($S$625="","",INDEX(회차설정!$A$13:$A$27,$S$625))</f>
        <v/>
      </c>
      <c r="B635" s="14">
        <f>IF($S$625="","",INDEX(회차설정!$B$13:$B$27,$S$625))</f>
        <v/>
      </c>
      <c r="C635" s="8" t="n"/>
      <c r="D635" s="14">
        <f>IF($S$625="","",IF($R$619="언어와 매체",SUMPRODUCT((자동계산!$A$4:$A$48&gt;=INDEX(회차설정!$C$13:$C$27,$S$625))*(자동계산!$A$4:$A$48&lt;=INDEX(회차설정!$D$13:$D$27,$S$625))*자동계산!$E$4:$E$48),SUMPRODUCT((자동계산!$A$4:$A$48&gt;=INDEX(회차설정!$C$13:$C$27,$S$625))*(자동계산!$A$4:$A$48&lt;=INDEX(회차설정!$D$13:$D$27,$S$625))*자동계산!$C$4:$C$48)))</f>
        <v/>
      </c>
      <c r="E635" s="14">
        <f>IF(OR($S$625="",$R$618=""),"",SUM(OFFSET(전체채점!$AW$2,$R$618,INDEX(회차설정!$C$13:$C$27,$S$625),1,INDEX(회차설정!$D$13:$D$27,$S$625)-INDEX(회차설정!$C$13:$C$27,$S$625)+1)))</f>
        <v/>
      </c>
      <c r="F635" s="46">
        <f>IF(OR($S$625="",$D635=0,$D635="",$E635=""),"",$E635/$D635*100)</f>
        <v/>
      </c>
      <c r="G635" s="8" t="n"/>
      <c r="H635" s="47">
        <f>IF($F635="","",REPT("■",ROUND($F635/5,0)))</f>
        <v/>
      </c>
      <c r="I635" s="7" t="n"/>
      <c r="J635" s="7" t="n"/>
      <c r="K635" s="7" t="n"/>
      <c r="L635" s="7" t="n"/>
      <c r="M635" s="7" t="n"/>
      <c r="N635" s="7" t="n"/>
      <c r="O635" s="7" t="n"/>
      <c r="P635" s="8" t="n"/>
    </row>
    <row r="636">
      <c r="A636" s="14">
        <f>IF($S$626="","",INDEX(회차설정!$A$13:$A$27,$S$626))</f>
        <v/>
      </c>
      <c r="B636" s="14">
        <f>IF($S$626="","",INDEX(회차설정!$B$13:$B$27,$S$626))</f>
        <v/>
      </c>
      <c r="C636" s="8" t="n"/>
      <c r="D636" s="14">
        <f>IF($S$626="","",IF($R$619="언어와 매체",SUMPRODUCT((자동계산!$A$4:$A$48&gt;=INDEX(회차설정!$C$13:$C$27,$S$626))*(자동계산!$A$4:$A$48&lt;=INDEX(회차설정!$D$13:$D$27,$S$626))*자동계산!$E$4:$E$48),SUMPRODUCT((자동계산!$A$4:$A$48&gt;=INDEX(회차설정!$C$13:$C$27,$S$626))*(자동계산!$A$4:$A$48&lt;=INDEX(회차설정!$D$13:$D$27,$S$626))*자동계산!$C$4:$C$48)))</f>
        <v/>
      </c>
      <c r="E636" s="14">
        <f>IF(OR($S$626="",$R$618=""),"",SUM(OFFSET(전체채점!$AW$2,$R$618,INDEX(회차설정!$C$13:$C$27,$S$626),1,INDEX(회차설정!$D$13:$D$27,$S$626)-INDEX(회차설정!$C$13:$C$27,$S$626)+1)))</f>
        <v/>
      </c>
      <c r="F636" s="46">
        <f>IF(OR($S$626="",$D636=0,$D636="",$E636=""),"",$E636/$D636*100)</f>
        <v/>
      </c>
      <c r="G636" s="8" t="n"/>
      <c r="H636" s="47">
        <f>IF($F636="","",REPT("■",ROUND($F636/5,0)))</f>
        <v/>
      </c>
      <c r="I636" s="7" t="n"/>
      <c r="J636" s="7" t="n"/>
      <c r="K636" s="7" t="n"/>
      <c r="L636" s="7" t="n"/>
      <c r="M636" s="7" t="n"/>
      <c r="N636" s="7" t="n"/>
      <c r="O636" s="7" t="n"/>
      <c r="P636" s="8" t="n"/>
    </row>
    <row r="637">
      <c r="A637" s="14">
        <f>IF($S$627="","",INDEX(회차설정!$A$13:$A$27,$S$627))</f>
        <v/>
      </c>
      <c r="B637" s="14">
        <f>IF($S$627="","",INDEX(회차설정!$B$13:$B$27,$S$627))</f>
        <v/>
      </c>
      <c r="C637" s="8" t="n"/>
      <c r="D637" s="14">
        <f>IF($S$627="","",IF($R$619="언어와 매체",SUMPRODUCT((자동계산!$A$4:$A$48&gt;=INDEX(회차설정!$C$13:$C$27,$S$627))*(자동계산!$A$4:$A$48&lt;=INDEX(회차설정!$D$13:$D$27,$S$627))*자동계산!$E$4:$E$48),SUMPRODUCT((자동계산!$A$4:$A$48&gt;=INDEX(회차설정!$C$13:$C$27,$S$627))*(자동계산!$A$4:$A$48&lt;=INDEX(회차설정!$D$13:$D$27,$S$627))*자동계산!$C$4:$C$48)))</f>
        <v/>
      </c>
      <c r="E637" s="14">
        <f>IF(OR($S$627="",$R$618=""),"",SUM(OFFSET(전체채점!$AW$2,$R$618,INDEX(회차설정!$C$13:$C$27,$S$627),1,INDEX(회차설정!$D$13:$D$27,$S$627)-INDEX(회차설정!$C$13:$C$27,$S$627)+1)))</f>
        <v/>
      </c>
      <c r="F637" s="46">
        <f>IF(OR($S$627="",$D637=0,$D637="",$E637=""),"",$E637/$D637*100)</f>
        <v/>
      </c>
      <c r="G637" s="8" t="n"/>
      <c r="H637" s="47">
        <f>IF($F637="","",REPT("■",ROUND($F637/5,0)))</f>
        <v/>
      </c>
      <c r="I637" s="7" t="n"/>
      <c r="J637" s="7" t="n"/>
      <c r="K637" s="7" t="n"/>
      <c r="L637" s="7" t="n"/>
      <c r="M637" s="7" t="n"/>
      <c r="N637" s="7" t="n"/>
      <c r="O637" s="7" t="n"/>
      <c r="P637" s="8" t="n"/>
    </row>
    <row r="638">
      <c r="A638" s="14">
        <f>IF($S$628="","",INDEX(회차설정!$A$13:$A$27,$S$628))</f>
        <v/>
      </c>
      <c r="B638" s="14">
        <f>IF($S$628="","",INDEX(회차설정!$B$13:$B$27,$S$628))</f>
        <v/>
      </c>
      <c r="C638" s="8" t="n"/>
      <c r="D638" s="14">
        <f>IF($S$628="","",IF($R$619="언어와 매체",SUMPRODUCT((자동계산!$A$4:$A$48&gt;=INDEX(회차설정!$C$13:$C$27,$S$628))*(자동계산!$A$4:$A$48&lt;=INDEX(회차설정!$D$13:$D$27,$S$628))*자동계산!$E$4:$E$48),SUMPRODUCT((자동계산!$A$4:$A$48&gt;=INDEX(회차설정!$C$13:$C$27,$S$628))*(자동계산!$A$4:$A$48&lt;=INDEX(회차설정!$D$13:$D$27,$S$628))*자동계산!$C$4:$C$48)))</f>
        <v/>
      </c>
      <c r="E638" s="14">
        <f>IF(OR($S$628="",$R$618=""),"",SUM(OFFSET(전체채점!$AW$2,$R$618,INDEX(회차설정!$C$13:$C$27,$S$628),1,INDEX(회차설정!$D$13:$D$27,$S$628)-INDEX(회차설정!$C$13:$C$27,$S$628)+1)))</f>
        <v/>
      </c>
      <c r="F638" s="46">
        <f>IF(OR($S$628="",$D638=0,$D638="",$E638=""),"",$E638/$D638*100)</f>
        <v/>
      </c>
      <c r="G638" s="8" t="n"/>
      <c r="H638" s="47">
        <f>IF($F638="","",REPT("■",ROUND($F638/5,0)))</f>
        <v/>
      </c>
      <c r="I638" s="7" t="n"/>
      <c r="J638" s="7" t="n"/>
      <c r="K638" s="7" t="n"/>
      <c r="L638" s="7" t="n"/>
      <c r="M638" s="7" t="n"/>
      <c r="N638" s="7" t="n"/>
      <c r="O638" s="7" t="n"/>
      <c r="P638" s="8" t="n"/>
    </row>
    <row r="639">
      <c r="A639" s="14">
        <f>IF($S$629="","",INDEX(회차설정!$A$13:$A$27,$S$629))</f>
        <v/>
      </c>
      <c r="B639" s="14">
        <f>IF($S$629="","",INDEX(회차설정!$B$13:$B$27,$S$629))</f>
        <v/>
      </c>
      <c r="C639" s="8" t="n"/>
      <c r="D639" s="14">
        <f>IF($S$629="","",IF($R$619="언어와 매체",SUMPRODUCT((자동계산!$A$4:$A$48&gt;=INDEX(회차설정!$C$13:$C$27,$S$629))*(자동계산!$A$4:$A$48&lt;=INDEX(회차설정!$D$13:$D$27,$S$629))*자동계산!$E$4:$E$48),SUMPRODUCT((자동계산!$A$4:$A$48&gt;=INDEX(회차설정!$C$13:$C$27,$S$629))*(자동계산!$A$4:$A$48&lt;=INDEX(회차설정!$D$13:$D$27,$S$629))*자동계산!$C$4:$C$48)))</f>
        <v/>
      </c>
      <c r="E639" s="14">
        <f>IF(OR($S$629="",$R$618=""),"",SUM(OFFSET(전체채점!$AW$2,$R$618,INDEX(회차설정!$C$13:$C$27,$S$629),1,INDEX(회차설정!$D$13:$D$27,$S$629)-INDEX(회차설정!$C$13:$C$27,$S$629)+1)))</f>
        <v/>
      </c>
      <c r="F639" s="46">
        <f>IF(OR($S$629="",$D639=0,$D639="",$E639=""),"",$E639/$D639*100)</f>
        <v/>
      </c>
      <c r="G639" s="8" t="n"/>
      <c r="H639" s="47">
        <f>IF($F639="","",REPT("■",ROUND($F639/5,0)))</f>
        <v/>
      </c>
      <c r="I639" s="7" t="n"/>
      <c r="J639" s="7" t="n"/>
      <c r="K639" s="7" t="n"/>
      <c r="L639" s="7" t="n"/>
      <c r="M639" s="7" t="n"/>
      <c r="N639" s="7" t="n"/>
      <c r="O639" s="7" t="n"/>
      <c r="P639" s="8" t="n"/>
    </row>
    <row r="640">
      <c r="A640" s="5">
        <f>IF($R$618="","","합계")</f>
        <v/>
      </c>
      <c r="B640" s="7" t="n"/>
      <c r="C640" s="8" t="n"/>
      <c r="D640" s="5">
        <f>IF($R$618="","",SUM(D628:D639))</f>
        <v/>
      </c>
      <c r="E640" s="5">
        <f>IF($R$618="","",SUM(E628:E639))</f>
        <v/>
      </c>
      <c r="F640" s="48">
        <f>IF(OR($D640=0,$D640=""),"",$E640/$D640*100)</f>
        <v/>
      </c>
      <c r="G640" s="8" t="n"/>
      <c r="H640" s="49">
        <f>IF($F640="","",REPT("■",ROUND($F640/5,0)))</f>
        <v/>
      </c>
      <c r="I640" s="7" t="n"/>
      <c r="J640" s="7" t="n"/>
      <c r="K640" s="7" t="n"/>
      <c r="L640" s="7" t="n"/>
      <c r="M640" s="7" t="n"/>
      <c r="N640" s="7" t="n"/>
      <c r="O640" s="7" t="n"/>
      <c r="P640" s="8" t="n"/>
    </row>
    <row r="642">
      <c r="A642" s="12" t="inlineStr">
        <is>
          <t>4. 문항 채점표</t>
        </is>
      </c>
    </row>
    <row r="643">
      <c r="A643" s="50" t="inlineStr">
        <is>
          <t>문항 번호</t>
        </is>
      </c>
      <c r="B643" s="51" t="n">
        <v>1</v>
      </c>
      <c r="C643" s="51" t="n">
        <v>2</v>
      </c>
      <c r="D643" s="51" t="n">
        <v>3</v>
      </c>
      <c r="E643" s="51" t="n">
        <v>4</v>
      </c>
      <c r="F643" s="51" t="n">
        <v>5</v>
      </c>
      <c r="G643" s="51" t="n">
        <v>6</v>
      </c>
      <c r="H643" s="51" t="n">
        <v>7</v>
      </c>
      <c r="I643" s="51" t="n">
        <v>8</v>
      </c>
      <c r="J643" s="51" t="n">
        <v>9</v>
      </c>
      <c r="K643" s="51" t="n">
        <v>10</v>
      </c>
      <c r="L643" s="51" t="n">
        <v>11</v>
      </c>
      <c r="M643" s="51" t="n">
        <v>12</v>
      </c>
      <c r="N643" s="51" t="n">
        <v>13</v>
      </c>
      <c r="O643" s="51" t="n">
        <v>14</v>
      </c>
      <c r="P643" s="51" t="n">
        <v>15</v>
      </c>
    </row>
    <row r="644">
      <c r="A644" s="52" t="inlineStr">
        <is>
          <t>정답</t>
        </is>
      </c>
      <c r="B644" s="33">
        <f>IF($R$619="","",IF($R$619="언어와 매체",자동계산!$D$4,자동계산!$B$4))</f>
        <v/>
      </c>
      <c r="C644" s="33">
        <f>IF($R$619="","",IF($R$619="언어와 매체",자동계산!$D$5,자동계산!$B$5))</f>
        <v/>
      </c>
      <c r="D644" s="33">
        <f>IF($R$619="","",IF($R$619="언어와 매체",자동계산!$D$6,자동계산!$B$6))</f>
        <v/>
      </c>
      <c r="E644" s="33">
        <f>IF($R$619="","",IF($R$619="언어와 매체",자동계산!$D$7,자동계산!$B$7))</f>
        <v/>
      </c>
      <c r="F644" s="33">
        <f>IF($R$619="","",IF($R$619="언어와 매체",자동계산!$D$8,자동계산!$B$8))</f>
        <v/>
      </c>
      <c r="G644" s="33">
        <f>IF($R$619="","",IF($R$619="언어와 매체",자동계산!$D$9,자동계산!$B$9))</f>
        <v/>
      </c>
      <c r="H644" s="33">
        <f>IF($R$619="","",IF($R$619="언어와 매체",자동계산!$D$10,자동계산!$B$10))</f>
        <v/>
      </c>
      <c r="I644" s="33">
        <f>IF($R$619="","",IF($R$619="언어와 매체",자동계산!$D$11,자동계산!$B$11))</f>
        <v/>
      </c>
      <c r="J644" s="33">
        <f>IF($R$619="","",IF($R$619="언어와 매체",자동계산!$D$12,자동계산!$B$12))</f>
        <v/>
      </c>
      <c r="K644" s="33">
        <f>IF($R$619="","",IF($R$619="언어와 매체",자동계산!$D$13,자동계산!$B$13))</f>
        <v/>
      </c>
      <c r="L644" s="33">
        <f>IF($R$619="","",IF($R$619="언어와 매체",자동계산!$D$14,자동계산!$B$14))</f>
        <v/>
      </c>
      <c r="M644" s="33">
        <f>IF($R$619="","",IF($R$619="언어와 매체",자동계산!$D$15,자동계산!$B$15))</f>
        <v/>
      </c>
      <c r="N644" s="33">
        <f>IF($R$619="","",IF($R$619="언어와 매체",자동계산!$D$16,자동계산!$B$16))</f>
        <v/>
      </c>
      <c r="O644" s="33">
        <f>IF($R$619="","",IF($R$619="언어와 매체",자동계산!$D$17,자동계산!$B$17))</f>
        <v/>
      </c>
      <c r="P644" s="33">
        <f>IF($R$619="","",IF($R$619="언어와 매체",자동계산!$D$18,자동계산!$B$18))</f>
        <v/>
      </c>
    </row>
    <row r="645">
      <c r="A645" s="52" t="inlineStr">
        <is>
          <t>학생답안</t>
        </is>
      </c>
      <c r="B645" s="33">
        <f>IF($R$618="","",INDEX(전체채점!E$3:E$62,$R$618))</f>
        <v/>
      </c>
      <c r="C645" s="33">
        <f>IF($R$618="","",INDEX(전체채점!F$3:F$62,$R$618))</f>
        <v/>
      </c>
      <c r="D645" s="33">
        <f>IF($R$618="","",INDEX(전체채점!G$3:G$62,$R$618))</f>
        <v/>
      </c>
      <c r="E645" s="33">
        <f>IF($R$618="","",INDEX(전체채점!H$3:H$62,$R$618))</f>
        <v/>
      </c>
      <c r="F645" s="33">
        <f>IF($R$618="","",INDEX(전체채점!I$3:I$62,$R$618))</f>
        <v/>
      </c>
      <c r="G645" s="33">
        <f>IF($R$618="","",INDEX(전체채점!J$3:J$62,$R$618))</f>
        <v/>
      </c>
      <c r="H645" s="33">
        <f>IF($R$618="","",INDEX(전체채점!K$3:K$62,$R$618))</f>
        <v/>
      </c>
      <c r="I645" s="33">
        <f>IF($R$618="","",INDEX(전체채점!L$3:L$62,$R$618))</f>
        <v/>
      </c>
      <c r="J645" s="33">
        <f>IF($R$618="","",INDEX(전체채점!M$3:M$62,$R$618))</f>
        <v/>
      </c>
      <c r="K645" s="33">
        <f>IF($R$618="","",INDEX(전체채점!N$3:N$62,$R$618))</f>
        <v/>
      </c>
      <c r="L645" s="33">
        <f>IF($R$618="","",INDEX(전체채점!O$3:O$62,$R$618))</f>
        <v/>
      </c>
      <c r="M645" s="33">
        <f>IF($R$618="","",INDEX(전체채점!P$3:P$62,$R$618))</f>
        <v/>
      </c>
      <c r="N645" s="33">
        <f>IF($R$618="","",INDEX(전체채점!Q$3:Q$62,$R$618))</f>
        <v/>
      </c>
      <c r="O645" s="33">
        <f>IF($R$618="","",INDEX(전체채점!R$3:R$62,$R$618))</f>
        <v/>
      </c>
      <c r="P645" s="33">
        <f>IF($R$618="","",INDEX(전체채점!S$3:S$62,$R$618))</f>
        <v/>
      </c>
    </row>
    <row r="646">
      <c r="A646" s="52" t="inlineStr">
        <is>
          <t>정오</t>
        </is>
      </c>
      <c r="B646" s="33">
        <f>IF($R$618="","",INDEX(전체채점!AX$3:AX$62,$R$618))</f>
        <v/>
      </c>
      <c r="C646" s="33">
        <f>IF($R$618="","",INDEX(전체채점!AY$3:AY$62,$R$618))</f>
        <v/>
      </c>
      <c r="D646" s="33">
        <f>IF($R$618="","",INDEX(전체채점!AZ$3:AZ$62,$R$618))</f>
        <v/>
      </c>
      <c r="E646" s="33">
        <f>IF($R$618="","",INDEX(전체채점!BA$3:BA$62,$R$618))</f>
        <v/>
      </c>
      <c r="F646" s="33">
        <f>IF($R$618="","",INDEX(전체채점!BB$3:BB$62,$R$618))</f>
        <v/>
      </c>
      <c r="G646" s="33">
        <f>IF($R$618="","",INDEX(전체채점!BC$3:BC$62,$R$618))</f>
        <v/>
      </c>
      <c r="H646" s="33">
        <f>IF($R$618="","",INDEX(전체채점!BD$3:BD$62,$R$618))</f>
        <v/>
      </c>
      <c r="I646" s="33">
        <f>IF($R$618="","",INDEX(전체채점!BE$3:BE$62,$R$618))</f>
        <v/>
      </c>
      <c r="J646" s="33">
        <f>IF($R$618="","",INDEX(전체채점!BF$3:BF$62,$R$618))</f>
        <v/>
      </c>
      <c r="K646" s="33">
        <f>IF($R$618="","",INDEX(전체채점!BG$3:BG$62,$R$618))</f>
        <v/>
      </c>
      <c r="L646" s="33">
        <f>IF($R$618="","",INDEX(전체채점!BH$3:BH$62,$R$618))</f>
        <v/>
      </c>
      <c r="M646" s="33">
        <f>IF($R$618="","",INDEX(전체채점!BI$3:BI$62,$R$618))</f>
        <v/>
      </c>
      <c r="N646" s="33">
        <f>IF($R$618="","",INDEX(전체채점!BJ$3:BJ$62,$R$618))</f>
        <v/>
      </c>
      <c r="O646" s="33">
        <f>IF($R$618="","",INDEX(전체채점!BK$3:BK$62,$R$618))</f>
        <v/>
      </c>
      <c r="P646" s="33">
        <f>IF($R$618="","",INDEX(전체채점!BL$3:BL$62,$R$618))</f>
        <v/>
      </c>
    </row>
    <row r="647">
      <c r="A647" s="50" t="inlineStr">
        <is>
          <t>문항 번호</t>
        </is>
      </c>
      <c r="B647" s="51" t="n">
        <v>16</v>
      </c>
      <c r="C647" s="51" t="n">
        <v>17</v>
      </c>
      <c r="D647" s="51" t="n">
        <v>18</v>
      </c>
      <c r="E647" s="51" t="n">
        <v>19</v>
      </c>
      <c r="F647" s="51" t="n">
        <v>20</v>
      </c>
      <c r="G647" s="51" t="n">
        <v>21</v>
      </c>
      <c r="H647" s="51" t="n">
        <v>22</v>
      </c>
      <c r="I647" s="51" t="n">
        <v>23</v>
      </c>
      <c r="J647" s="51" t="n">
        <v>24</v>
      </c>
      <c r="K647" s="51" t="n">
        <v>25</v>
      </c>
      <c r="L647" s="51" t="n">
        <v>26</v>
      </c>
      <c r="M647" s="51" t="n">
        <v>27</v>
      </c>
      <c r="N647" s="51" t="n">
        <v>28</v>
      </c>
      <c r="O647" s="51" t="n">
        <v>29</v>
      </c>
      <c r="P647" s="51" t="n">
        <v>30</v>
      </c>
    </row>
    <row r="648">
      <c r="A648" s="52" t="inlineStr">
        <is>
          <t>정답</t>
        </is>
      </c>
      <c r="B648" s="33">
        <f>IF($R$619="","",IF($R$619="언어와 매체",자동계산!$D$19,자동계산!$B$19))</f>
        <v/>
      </c>
      <c r="C648" s="33">
        <f>IF($R$619="","",IF($R$619="언어와 매체",자동계산!$D$20,자동계산!$B$20))</f>
        <v/>
      </c>
      <c r="D648" s="33">
        <f>IF($R$619="","",IF($R$619="언어와 매체",자동계산!$D$21,자동계산!$B$21))</f>
        <v/>
      </c>
      <c r="E648" s="33">
        <f>IF($R$619="","",IF($R$619="언어와 매체",자동계산!$D$22,자동계산!$B$22))</f>
        <v/>
      </c>
      <c r="F648" s="33">
        <f>IF($R$619="","",IF($R$619="언어와 매체",자동계산!$D$23,자동계산!$B$23))</f>
        <v/>
      </c>
      <c r="G648" s="33">
        <f>IF($R$619="","",IF($R$619="언어와 매체",자동계산!$D$24,자동계산!$B$24))</f>
        <v/>
      </c>
      <c r="H648" s="33">
        <f>IF($R$619="","",IF($R$619="언어와 매체",자동계산!$D$25,자동계산!$B$25))</f>
        <v/>
      </c>
      <c r="I648" s="33">
        <f>IF($R$619="","",IF($R$619="언어와 매체",자동계산!$D$26,자동계산!$B$26))</f>
        <v/>
      </c>
      <c r="J648" s="33">
        <f>IF($R$619="","",IF($R$619="언어와 매체",자동계산!$D$27,자동계산!$B$27))</f>
        <v/>
      </c>
      <c r="K648" s="33">
        <f>IF($R$619="","",IF($R$619="언어와 매체",자동계산!$D$28,자동계산!$B$28))</f>
        <v/>
      </c>
      <c r="L648" s="33">
        <f>IF($R$619="","",IF($R$619="언어와 매체",자동계산!$D$29,자동계산!$B$29))</f>
        <v/>
      </c>
      <c r="M648" s="33">
        <f>IF($R$619="","",IF($R$619="언어와 매체",자동계산!$D$30,자동계산!$B$30))</f>
        <v/>
      </c>
      <c r="N648" s="33">
        <f>IF($R$619="","",IF($R$619="언어와 매체",자동계산!$D$31,자동계산!$B$31))</f>
        <v/>
      </c>
      <c r="O648" s="33">
        <f>IF($R$619="","",IF($R$619="언어와 매체",자동계산!$D$32,자동계산!$B$32))</f>
        <v/>
      </c>
      <c r="P648" s="33">
        <f>IF($R$619="","",IF($R$619="언어와 매체",자동계산!$D$33,자동계산!$B$33))</f>
        <v/>
      </c>
    </row>
    <row r="649">
      <c r="A649" s="52" t="inlineStr">
        <is>
          <t>학생답안</t>
        </is>
      </c>
      <c r="B649" s="33">
        <f>IF($R$618="","",INDEX(전체채점!T$3:T$62,$R$618))</f>
        <v/>
      </c>
      <c r="C649" s="33">
        <f>IF($R$618="","",INDEX(전체채점!U$3:U$62,$R$618))</f>
        <v/>
      </c>
      <c r="D649" s="33">
        <f>IF($R$618="","",INDEX(전체채점!V$3:V$62,$R$618))</f>
        <v/>
      </c>
      <c r="E649" s="33">
        <f>IF($R$618="","",INDEX(전체채점!W$3:W$62,$R$618))</f>
        <v/>
      </c>
      <c r="F649" s="33">
        <f>IF($R$618="","",INDEX(전체채점!X$3:X$62,$R$618))</f>
        <v/>
      </c>
      <c r="G649" s="33">
        <f>IF($R$618="","",INDEX(전체채점!Y$3:Y$62,$R$618))</f>
        <v/>
      </c>
      <c r="H649" s="33">
        <f>IF($R$618="","",INDEX(전체채점!Z$3:Z$62,$R$618))</f>
        <v/>
      </c>
      <c r="I649" s="33">
        <f>IF($R$618="","",INDEX(전체채점!AA$3:AA$62,$R$618))</f>
        <v/>
      </c>
      <c r="J649" s="33">
        <f>IF($R$618="","",INDEX(전체채점!AB$3:AB$62,$R$618))</f>
        <v/>
      </c>
      <c r="K649" s="33">
        <f>IF($R$618="","",INDEX(전체채점!AC$3:AC$62,$R$618))</f>
        <v/>
      </c>
      <c r="L649" s="33">
        <f>IF($R$618="","",INDEX(전체채점!AD$3:AD$62,$R$618))</f>
        <v/>
      </c>
      <c r="M649" s="33">
        <f>IF($R$618="","",INDEX(전체채점!AE$3:AE$62,$R$618))</f>
        <v/>
      </c>
      <c r="N649" s="33">
        <f>IF($R$618="","",INDEX(전체채점!AF$3:AF$62,$R$618))</f>
        <v/>
      </c>
      <c r="O649" s="33">
        <f>IF($R$618="","",INDEX(전체채점!AG$3:AG$62,$R$618))</f>
        <v/>
      </c>
      <c r="P649" s="33">
        <f>IF($R$618="","",INDEX(전체채점!AH$3:AH$62,$R$618))</f>
        <v/>
      </c>
    </row>
    <row r="650">
      <c r="A650" s="52" t="inlineStr">
        <is>
          <t>정오</t>
        </is>
      </c>
      <c r="B650" s="33">
        <f>IF($R$618="","",INDEX(전체채점!BM$3:BM$62,$R$618))</f>
        <v/>
      </c>
      <c r="C650" s="33">
        <f>IF($R$618="","",INDEX(전체채점!BN$3:BN$62,$R$618))</f>
        <v/>
      </c>
      <c r="D650" s="33">
        <f>IF($R$618="","",INDEX(전체채점!BO$3:BO$62,$R$618))</f>
        <v/>
      </c>
      <c r="E650" s="33">
        <f>IF($R$618="","",INDEX(전체채점!BP$3:BP$62,$R$618))</f>
        <v/>
      </c>
      <c r="F650" s="33">
        <f>IF($R$618="","",INDEX(전체채점!BQ$3:BQ$62,$R$618))</f>
        <v/>
      </c>
      <c r="G650" s="33">
        <f>IF($R$618="","",INDEX(전체채점!BR$3:BR$62,$R$618))</f>
        <v/>
      </c>
      <c r="H650" s="33">
        <f>IF($R$618="","",INDEX(전체채점!BS$3:BS$62,$R$618))</f>
        <v/>
      </c>
      <c r="I650" s="33">
        <f>IF($R$618="","",INDEX(전체채점!BT$3:BT$62,$R$618))</f>
        <v/>
      </c>
      <c r="J650" s="33">
        <f>IF($R$618="","",INDEX(전체채점!BU$3:BU$62,$R$618))</f>
        <v/>
      </c>
      <c r="K650" s="33">
        <f>IF($R$618="","",INDEX(전체채점!BV$3:BV$62,$R$618))</f>
        <v/>
      </c>
      <c r="L650" s="33">
        <f>IF($R$618="","",INDEX(전체채점!BW$3:BW$62,$R$618))</f>
        <v/>
      </c>
      <c r="M650" s="33">
        <f>IF($R$618="","",INDEX(전체채점!BX$3:BX$62,$R$618))</f>
        <v/>
      </c>
      <c r="N650" s="33">
        <f>IF($R$618="","",INDEX(전체채점!BY$3:BY$62,$R$618))</f>
        <v/>
      </c>
      <c r="O650" s="33">
        <f>IF($R$618="","",INDEX(전체채점!BZ$3:BZ$62,$R$618))</f>
        <v/>
      </c>
      <c r="P650" s="33">
        <f>IF($R$618="","",INDEX(전체채점!CA$3:CA$62,$R$618))</f>
        <v/>
      </c>
    </row>
    <row r="651">
      <c r="A651" s="50" t="inlineStr">
        <is>
          <t>문항 번호</t>
        </is>
      </c>
      <c r="B651" s="51" t="n">
        <v>31</v>
      </c>
      <c r="C651" s="51" t="n">
        <v>32</v>
      </c>
      <c r="D651" s="51" t="n">
        <v>33</v>
      </c>
      <c r="E651" s="51" t="n">
        <v>34</v>
      </c>
      <c r="F651" s="51" t="n">
        <v>35</v>
      </c>
      <c r="G651" s="51" t="n">
        <v>36</v>
      </c>
      <c r="H651" s="51" t="n">
        <v>37</v>
      </c>
      <c r="I651" s="51" t="n">
        <v>38</v>
      </c>
      <c r="J651" s="51" t="n">
        <v>39</v>
      </c>
      <c r="K651" s="51" t="n">
        <v>40</v>
      </c>
      <c r="L651" s="51" t="n">
        <v>41</v>
      </c>
      <c r="M651" s="51" t="n">
        <v>42</v>
      </c>
      <c r="N651" s="51" t="n">
        <v>43</v>
      </c>
      <c r="O651" s="51" t="n">
        <v>44</v>
      </c>
      <c r="P651" s="51" t="n">
        <v>45</v>
      </c>
    </row>
    <row r="652">
      <c r="A652" s="52" t="inlineStr">
        <is>
          <t>정답</t>
        </is>
      </c>
      <c r="B652" s="33">
        <f>IF($R$619="","",IF($R$619="언어와 매체",자동계산!$D$34,자동계산!$B$34))</f>
        <v/>
      </c>
      <c r="C652" s="33">
        <f>IF($R$619="","",IF($R$619="언어와 매체",자동계산!$D$35,자동계산!$B$35))</f>
        <v/>
      </c>
      <c r="D652" s="33">
        <f>IF($R$619="","",IF($R$619="언어와 매체",자동계산!$D$36,자동계산!$B$36))</f>
        <v/>
      </c>
      <c r="E652" s="33">
        <f>IF($R$619="","",IF($R$619="언어와 매체",자동계산!$D$37,자동계산!$B$37))</f>
        <v/>
      </c>
      <c r="F652" s="33">
        <f>IF($R$619="","",IF($R$619="언어와 매체",자동계산!$D$38,자동계산!$B$38))</f>
        <v/>
      </c>
      <c r="G652" s="33">
        <f>IF($R$619="","",IF($R$619="언어와 매체",자동계산!$D$39,자동계산!$B$39))</f>
        <v/>
      </c>
      <c r="H652" s="33">
        <f>IF($R$619="","",IF($R$619="언어와 매체",자동계산!$D$40,자동계산!$B$40))</f>
        <v/>
      </c>
      <c r="I652" s="33">
        <f>IF($R$619="","",IF($R$619="언어와 매체",자동계산!$D$41,자동계산!$B$41))</f>
        <v/>
      </c>
      <c r="J652" s="33">
        <f>IF($R$619="","",IF($R$619="언어와 매체",자동계산!$D$42,자동계산!$B$42))</f>
        <v/>
      </c>
      <c r="K652" s="33">
        <f>IF($R$619="","",IF($R$619="언어와 매체",자동계산!$D$43,자동계산!$B$43))</f>
        <v/>
      </c>
      <c r="L652" s="33">
        <f>IF($R$619="","",IF($R$619="언어와 매체",자동계산!$D$44,자동계산!$B$44))</f>
        <v/>
      </c>
      <c r="M652" s="33">
        <f>IF($R$619="","",IF($R$619="언어와 매체",자동계산!$D$45,자동계산!$B$45))</f>
        <v/>
      </c>
      <c r="N652" s="33">
        <f>IF($R$619="","",IF($R$619="언어와 매체",자동계산!$D$46,자동계산!$B$46))</f>
        <v/>
      </c>
      <c r="O652" s="33">
        <f>IF($R$619="","",IF($R$619="언어와 매체",자동계산!$D$47,자동계산!$B$47))</f>
        <v/>
      </c>
      <c r="P652" s="33">
        <f>IF($R$619="","",IF($R$619="언어와 매체",자동계산!$D$48,자동계산!$B$48))</f>
        <v/>
      </c>
    </row>
    <row r="653">
      <c r="A653" s="52" t="inlineStr">
        <is>
          <t>학생답안</t>
        </is>
      </c>
      <c r="B653" s="33">
        <f>IF($R$618="","",INDEX(전체채점!AI$3:AI$62,$R$618))</f>
        <v/>
      </c>
      <c r="C653" s="33">
        <f>IF($R$618="","",INDEX(전체채점!AJ$3:AJ$62,$R$618))</f>
        <v/>
      </c>
      <c r="D653" s="33">
        <f>IF($R$618="","",INDEX(전체채점!AK$3:AK$62,$R$618))</f>
        <v/>
      </c>
      <c r="E653" s="33">
        <f>IF($R$618="","",INDEX(전체채점!AL$3:AL$62,$R$618))</f>
        <v/>
      </c>
      <c r="F653" s="33">
        <f>IF($R$618="","",INDEX(전체채점!AM$3:AM$62,$R$618))</f>
        <v/>
      </c>
      <c r="G653" s="33">
        <f>IF($R$618="","",INDEX(전체채점!AN$3:AN$62,$R$618))</f>
        <v/>
      </c>
      <c r="H653" s="33">
        <f>IF($R$618="","",INDEX(전체채점!AO$3:AO$62,$R$618))</f>
        <v/>
      </c>
      <c r="I653" s="33">
        <f>IF($R$618="","",INDEX(전체채점!AP$3:AP$62,$R$618))</f>
        <v/>
      </c>
      <c r="J653" s="33">
        <f>IF($R$618="","",INDEX(전체채점!AQ$3:AQ$62,$R$618))</f>
        <v/>
      </c>
      <c r="K653" s="33">
        <f>IF($R$618="","",INDEX(전체채점!AR$3:AR$62,$R$618))</f>
        <v/>
      </c>
      <c r="L653" s="33">
        <f>IF($R$618="","",INDEX(전체채점!AS$3:AS$62,$R$618))</f>
        <v/>
      </c>
      <c r="M653" s="33">
        <f>IF($R$618="","",INDEX(전체채점!AT$3:AT$62,$R$618))</f>
        <v/>
      </c>
      <c r="N653" s="33">
        <f>IF($R$618="","",INDEX(전체채점!AU$3:AU$62,$R$618))</f>
        <v/>
      </c>
      <c r="O653" s="33">
        <f>IF($R$618="","",INDEX(전체채점!AV$3:AV$62,$R$618))</f>
        <v/>
      </c>
      <c r="P653" s="33">
        <f>IF($R$618="","",INDEX(전체채점!AW$3:AW$62,$R$618))</f>
        <v/>
      </c>
    </row>
    <row r="654">
      <c r="A654" s="52" t="inlineStr">
        <is>
          <t>정오</t>
        </is>
      </c>
      <c r="B654" s="33">
        <f>IF($R$618="","",INDEX(전체채점!CB$3:CB$62,$R$618))</f>
        <v/>
      </c>
      <c r="C654" s="33">
        <f>IF($R$618="","",INDEX(전체채점!CC$3:CC$62,$R$618))</f>
        <v/>
      </c>
      <c r="D654" s="33">
        <f>IF($R$618="","",INDEX(전체채점!CD$3:CD$62,$R$618))</f>
        <v/>
      </c>
      <c r="E654" s="33">
        <f>IF($R$618="","",INDEX(전체채점!CE$3:CE$62,$R$618))</f>
        <v/>
      </c>
      <c r="F654" s="33">
        <f>IF($R$618="","",INDEX(전체채점!CF$3:CF$62,$R$618))</f>
        <v/>
      </c>
      <c r="G654" s="33">
        <f>IF($R$618="","",INDEX(전체채점!CG$3:CG$62,$R$618))</f>
        <v/>
      </c>
      <c r="H654" s="33">
        <f>IF($R$618="","",INDEX(전체채점!CH$3:CH$62,$R$618))</f>
        <v/>
      </c>
      <c r="I654" s="33">
        <f>IF($R$618="","",INDEX(전체채점!CI$3:CI$62,$R$618))</f>
        <v/>
      </c>
      <c r="J654" s="33">
        <f>IF($R$618="","",INDEX(전체채점!CJ$3:CJ$62,$R$618))</f>
        <v/>
      </c>
      <c r="K654" s="33">
        <f>IF($R$618="","",INDEX(전체채점!CK$3:CK$62,$R$618))</f>
        <v/>
      </c>
      <c r="L654" s="33">
        <f>IF($R$618="","",INDEX(전체채점!CL$3:CL$62,$R$618))</f>
        <v/>
      </c>
      <c r="M654" s="33">
        <f>IF($R$618="","",INDEX(전체채점!CM$3:CM$62,$R$618))</f>
        <v/>
      </c>
      <c r="N654" s="33">
        <f>IF($R$618="","",INDEX(전체채점!CN$3:CN$62,$R$618))</f>
        <v/>
      </c>
      <c r="O654" s="33">
        <f>IF($R$618="","",INDEX(전체채점!CO$3:CO$62,$R$618))</f>
        <v/>
      </c>
      <c r="P654" s="33">
        <f>IF($R$618="","",INDEX(전체채점!CP$3:CP$62,$R$618))</f>
        <v/>
      </c>
    </row>
    <row r="657" ht="34" customHeight="1">
      <c r="A657" s="36">
        <f>IF($R$659="","",회차설정!$B$2&amp;" 성적표")</f>
        <v/>
      </c>
    </row>
    <row r="659">
      <c r="A659" s="12" t="inlineStr">
        <is>
          <t>1. 학생정보</t>
        </is>
      </c>
      <c r="R659" s="37">
        <f>IF(답안입력!$A$19="","",17)</f>
        <v/>
      </c>
      <c r="S659" s="37">
        <f>IF($R$660="","",IFERROR(IF($R$660="언어와 매체",MATCH(1,회차설정!$G$13:$G$27,0),MATCH(1,회차설정!$F$13:$F$27,0)),""))</f>
        <v/>
      </c>
    </row>
    <row r="660">
      <c r="A660" s="13" t="inlineStr">
        <is>
          <t>성명</t>
        </is>
      </c>
      <c r="B660" s="7" t="n"/>
      <c r="C660" s="8" t="n"/>
      <c r="D660" s="13" t="inlineStr">
        <is>
          <t>선택과목</t>
        </is>
      </c>
      <c r="E660" s="7" t="n"/>
      <c r="F660" s="7" t="n"/>
      <c r="G660" s="8" t="n"/>
      <c r="H660" s="13" t="inlineStr">
        <is>
          <t>학년</t>
        </is>
      </c>
      <c r="I660" s="7" t="n"/>
      <c r="J660" s="7" t="n"/>
      <c r="K660" s="8" t="n"/>
      <c r="L660" s="13" t="inlineStr">
        <is>
          <t>시행일</t>
        </is>
      </c>
      <c r="M660" s="7" t="n"/>
      <c r="N660" s="7" t="n"/>
      <c r="O660" s="7" t="n"/>
      <c r="P660" s="8" t="n"/>
      <c r="R660" s="37">
        <f>IF($R$659="","",INDEX(전체채점!$B$3:$B$62,$R$659))</f>
        <v/>
      </c>
      <c r="S660" s="37">
        <f>IF($R$660="","",IFERROR(IF($R$660="언어와 매체",MATCH(2,회차설정!$G$13:$G$27,0),MATCH(2,회차설정!$F$13:$F$27,0)),""))</f>
        <v/>
      </c>
    </row>
    <row r="661" ht="26" customHeight="1">
      <c r="A661" s="39">
        <f>IF($R$659="","",INDEX(답안입력!$A$3:$A$62,$R$659))</f>
        <v/>
      </c>
      <c r="B661" s="7" t="n"/>
      <c r="C661" s="8" t="n"/>
      <c r="D661" s="39">
        <f>IF($R$659="","",INDEX(답안입력!$C$3:$C$62,$R$659))</f>
        <v/>
      </c>
      <c r="E661" s="7" t="n"/>
      <c r="F661" s="7" t="n"/>
      <c r="G661" s="8" t="n"/>
      <c r="H661" s="39">
        <f>IF($R$659="","",INDEX(답안입력!$B$3:$B$62,$R$659))</f>
        <v/>
      </c>
      <c r="I661" s="7" t="n"/>
      <c r="J661" s="7" t="n"/>
      <c r="K661" s="8" t="n"/>
      <c r="L661" s="40">
        <f>회차설정!$B$3</f>
        <v/>
      </c>
      <c r="M661" s="7" t="n"/>
      <c r="N661" s="7" t="n"/>
      <c r="O661" s="7" t="n"/>
      <c r="P661" s="8" t="n"/>
      <c r="R661" s="37">
        <f>IF($R$660="언어와 매체",회차설정!$B$9,회차설정!$B$8)</f>
        <v/>
      </c>
      <c r="S661" s="37">
        <f>IF($R$660="","",IFERROR(IF($R$660="언어와 매체",MATCH(3,회차설정!$G$13:$G$27,0),MATCH(3,회차설정!$F$13:$F$27,0)),""))</f>
        <v/>
      </c>
    </row>
    <row r="662">
      <c r="R662" s="37">
        <f>IF($R$660="언어와 매체",회차설정!$C$9,회차설정!$C$8)</f>
        <v/>
      </c>
      <c r="S662" s="37">
        <f>IF($R$660="","",IFERROR(IF($R$660="언어와 매체",MATCH(4,회차설정!$G$13:$G$27,0),MATCH(4,회차설정!$F$13:$F$27,0)),""))</f>
        <v/>
      </c>
    </row>
    <row r="663">
      <c r="A663" s="12" t="inlineStr">
        <is>
          <t>2. 성적</t>
        </is>
      </c>
      <c r="R663" s="37">
        <f>IF($R$660="언어와 매체",회차설정!$D$9,회차설정!$D$8)</f>
        <v/>
      </c>
      <c r="S663" s="37">
        <f>IF($R$660="","",IFERROR(IF($R$660="언어와 매체",MATCH(5,회차설정!$G$13:$G$27,0),MATCH(5,회차설정!$F$13:$F$27,0)),""))</f>
        <v/>
      </c>
    </row>
    <row r="664">
      <c r="A664" s="13" t="inlineStr">
        <is>
          <t>점수 (100점 만점)</t>
        </is>
      </c>
      <c r="B664" s="7" t="n"/>
      <c r="C664" s="7" t="n"/>
      <c r="D664" s="7" t="n"/>
      <c r="E664" s="8" t="n"/>
      <c r="F664" s="13" t="inlineStr">
        <is>
          <t>등급</t>
        </is>
      </c>
      <c r="G664" s="7" t="n"/>
      <c r="H664" s="8" t="n"/>
      <c r="I664" s="13" t="inlineStr">
        <is>
          <t>등급컷</t>
        </is>
      </c>
      <c r="J664" s="7" t="n"/>
      <c r="K664" s="7" t="n"/>
      <c r="L664" s="8" t="n"/>
      <c r="M664" s="13" t="inlineStr">
        <is>
          <t>같은 선택과목 평균</t>
        </is>
      </c>
      <c r="N664" s="7" t="n"/>
      <c r="O664" s="7" t="n"/>
      <c r="P664" s="8" t="n"/>
      <c r="R664" s="37">
        <f>IF($R$660="언어와 매체",회차설정!$E$9,회차설정!$E$8)</f>
        <v/>
      </c>
      <c r="S664" s="37">
        <f>IF($R$660="","",IFERROR(IF($R$660="언어와 매체",MATCH(6,회차설정!$G$13:$G$27,0),MATCH(6,회차설정!$F$13:$F$27,0)),""))</f>
        <v/>
      </c>
    </row>
    <row r="665" ht="34" customHeight="1">
      <c r="A665" s="41">
        <f>IF($R$659="","",INDEX(전체채점!$C$3:$C$62,$R$659))</f>
        <v/>
      </c>
      <c r="B665" s="7" t="n"/>
      <c r="C665" s="7" t="n"/>
      <c r="D665" s="7" t="n"/>
      <c r="E665" s="8" t="n"/>
      <c r="F665" s="42">
        <f>IF($R$659="","",INDEX(전체채점!$D$3:$D$62,$R$659))</f>
        <v/>
      </c>
      <c r="G665" s="7" t="n"/>
      <c r="H665" s="8" t="n"/>
      <c r="I665" s="43">
        <f>IF($R$659="","",$R$661&amp;"-"&amp;$R$662&amp;"-"&amp;$R$663&amp;"-"&amp;$R$664)</f>
        <v/>
      </c>
      <c r="J665" s="7" t="n"/>
      <c r="K665" s="7" t="n"/>
      <c r="L665" s="8" t="n"/>
      <c r="M665" s="44">
        <f>IFERROR(AVERAGEIF(전체채점!$B$3:$B$62,$R$660,전체채점!$C$3:$C$62),"")</f>
        <v/>
      </c>
      <c r="N665" s="7" t="n"/>
      <c r="O665" s="7" t="n"/>
      <c r="P665" s="8" t="n"/>
      <c r="S665" s="37">
        <f>IF($R$660="","",IFERROR(IF($R$660="언어와 매체",MATCH(7,회차설정!$G$13:$G$27,0),MATCH(7,회차설정!$F$13:$F$27,0)),""))</f>
        <v/>
      </c>
    </row>
    <row r="666">
      <c r="S666" s="37">
        <f>IF($R$660="","",IFERROR(IF($R$660="언어와 매체",MATCH(8,회차설정!$G$13:$G$27,0),MATCH(8,회차설정!$F$13:$F$27,0)),""))</f>
        <v/>
      </c>
    </row>
    <row r="667">
      <c r="A667" s="12" t="inlineStr">
        <is>
          <t>3. 영역분류별 성취도 분석</t>
        </is>
      </c>
      <c r="F667" s="45">
        <f>IF(OR($R$659="",$E681=""),"",IF($E681=INDEX(전체채점!$C$3:$C$62,$R$659),"","※ 회차설정의 영역 표를 확인하세요 — 영역 합계와 점수가 다릅니다"))</f>
        <v/>
      </c>
      <c r="S667" s="37">
        <f>IF($R$660="","",IFERROR(IF($R$660="언어와 매체",MATCH(9,회차설정!$G$13:$G$27,0),MATCH(9,회차설정!$F$13:$F$27,0)),""))</f>
        <v/>
      </c>
    </row>
    <row r="668">
      <c r="A668" s="13" t="inlineStr">
        <is>
          <t>분류</t>
        </is>
      </c>
      <c r="B668" s="13" t="inlineStr">
        <is>
          <t>영역</t>
        </is>
      </c>
      <c r="C668" s="8" t="n"/>
      <c r="D668" s="13" t="inlineStr">
        <is>
          <t>배점</t>
        </is>
      </c>
      <c r="E668" s="13" t="inlineStr">
        <is>
          <t>득점</t>
        </is>
      </c>
      <c r="F668" s="13" t="inlineStr">
        <is>
          <t>성취도(%)</t>
        </is>
      </c>
      <c r="G668" s="8" t="n"/>
      <c r="H668" s="13" t="inlineStr"/>
      <c r="I668" s="7" t="n"/>
      <c r="J668" s="7" t="n"/>
      <c r="K668" s="7" t="n"/>
      <c r="L668" s="7" t="n"/>
      <c r="M668" s="7" t="n"/>
      <c r="N668" s="7" t="n"/>
      <c r="O668" s="7" t="n"/>
      <c r="P668" s="8" t="n"/>
      <c r="S668" s="37">
        <f>IF($R$660="","",IFERROR(IF($R$660="언어와 매체",MATCH(10,회차설정!$G$13:$G$27,0),MATCH(10,회차설정!$F$13:$F$27,0)),""))</f>
        <v/>
      </c>
    </row>
    <row r="669">
      <c r="A669" s="14">
        <f>IF($S$659="","",INDEX(회차설정!$A$13:$A$27,$S$659))</f>
        <v/>
      </c>
      <c r="B669" s="14">
        <f>IF($S$659="","",INDEX(회차설정!$B$13:$B$27,$S$659))</f>
        <v/>
      </c>
      <c r="C669" s="8" t="n"/>
      <c r="D669" s="14">
        <f>IF($S$659="","",IF($R$660="언어와 매체",SUMPRODUCT((자동계산!$A$4:$A$48&gt;=INDEX(회차설정!$C$13:$C$27,$S$659))*(자동계산!$A$4:$A$48&lt;=INDEX(회차설정!$D$13:$D$27,$S$659))*자동계산!$E$4:$E$48),SUMPRODUCT((자동계산!$A$4:$A$48&gt;=INDEX(회차설정!$C$13:$C$27,$S$659))*(자동계산!$A$4:$A$48&lt;=INDEX(회차설정!$D$13:$D$27,$S$659))*자동계산!$C$4:$C$48)))</f>
        <v/>
      </c>
      <c r="E669" s="14">
        <f>IF(OR($S$659="",$R$659=""),"",SUM(OFFSET(전체채점!$AW$2,$R$659,INDEX(회차설정!$C$13:$C$27,$S$659),1,INDEX(회차설정!$D$13:$D$27,$S$659)-INDEX(회차설정!$C$13:$C$27,$S$659)+1)))</f>
        <v/>
      </c>
      <c r="F669" s="46">
        <f>IF(OR($S$659="",$D669=0,$D669="",$E669=""),"",$E669/$D669*100)</f>
        <v/>
      </c>
      <c r="G669" s="8" t="n"/>
      <c r="H669" s="47">
        <f>IF($F669="","",REPT("■",ROUND($F669/5,0)))</f>
        <v/>
      </c>
      <c r="I669" s="7" t="n"/>
      <c r="J669" s="7" t="n"/>
      <c r="K669" s="7" t="n"/>
      <c r="L669" s="7" t="n"/>
      <c r="M669" s="7" t="n"/>
      <c r="N669" s="7" t="n"/>
      <c r="O669" s="7" t="n"/>
      <c r="P669" s="8" t="n"/>
      <c r="S669" s="37">
        <f>IF($R$660="","",IFERROR(IF($R$660="언어와 매체",MATCH(11,회차설정!$G$13:$G$27,0),MATCH(11,회차설정!$F$13:$F$27,0)),""))</f>
        <v/>
      </c>
    </row>
    <row r="670">
      <c r="A670" s="14">
        <f>IF($S$660="","",INDEX(회차설정!$A$13:$A$27,$S$660))</f>
        <v/>
      </c>
      <c r="B670" s="14">
        <f>IF($S$660="","",INDEX(회차설정!$B$13:$B$27,$S$660))</f>
        <v/>
      </c>
      <c r="C670" s="8" t="n"/>
      <c r="D670" s="14">
        <f>IF($S$660="","",IF($R$660="언어와 매체",SUMPRODUCT((자동계산!$A$4:$A$48&gt;=INDEX(회차설정!$C$13:$C$27,$S$660))*(자동계산!$A$4:$A$48&lt;=INDEX(회차설정!$D$13:$D$27,$S$660))*자동계산!$E$4:$E$48),SUMPRODUCT((자동계산!$A$4:$A$48&gt;=INDEX(회차설정!$C$13:$C$27,$S$660))*(자동계산!$A$4:$A$48&lt;=INDEX(회차설정!$D$13:$D$27,$S$660))*자동계산!$C$4:$C$48)))</f>
        <v/>
      </c>
      <c r="E670" s="14">
        <f>IF(OR($S$660="",$R$659=""),"",SUM(OFFSET(전체채점!$AW$2,$R$659,INDEX(회차설정!$C$13:$C$27,$S$660),1,INDEX(회차설정!$D$13:$D$27,$S$660)-INDEX(회차설정!$C$13:$C$27,$S$660)+1)))</f>
        <v/>
      </c>
      <c r="F670" s="46">
        <f>IF(OR($S$660="",$D670=0,$D670="",$E670=""),"",$E670/$D670*100)</f>
        <v/>
      </c>
      <c r="G670" s="8" t="n"/>
      <c r="H670" s="47">
        <f>IF($F670="","",REPT("■",ROUND($F670/5,0)))</f>
        <v/>
      </c>
      <c r="I670" s="7" t="n"/>
      <c r="J670" s="7" t="n"/>
      <c r="K670" s="7" t="n"/>
      <c r="L670" s="7" t="n"/>
      <c r="M670" s="7" t="n"/>
      <c r="N670" s="7" t="n"/>
      <c r="O670" s="7" t="n"/>
      <c r="P670" s="8" t="n"/>
      <c r="S670" s="37">
        <f>IF($R$660="","",IFERROR(IF($R$660="언어와 매체",MATCH(12,회차설정!$G$13:$G$27,0),MATCH(12,회차설정!$F$13:$F$27,0)),""))</f>
        <v/>
      </c>
    </row>
    <row r="671">
      <c r="A671" s="14">
        <f>IF($S$661="","",INDEX(회차설정!$A$13:$A$27,$S$661))</f>
        <v/>
      </c>
      <c r="B671" s="14">
        <f>IF($S$661="","",INDEX(회차설정!$B$13:$B$27,$S$661))</f>
        <v/>
      </c>
      <c r="C671" s="8" t="n"/>
      <c r="D671" s="14">
        <f>IF($S$661="","",IF($R$660="언어와 매체",SUMPRODUCT((자동계산!$A$4:$A$48&gt;=INDEX(회차설정!$C$13:$C$27,$S$661))*(자동계산!$A$4:$A$48&lt;=INDEX(회차설정!$D$13:$D$27,$S$661))*자동계산!$E$4:$E$48),SUMPRODUCT((자동계산!$A$4:$A$48&gt;=INDEX(회차설정!$C$13:$C$27,$S$661))*(자동계산!$A$4:$A$48&lt;=INDEX(회차설정!$D$13:$D$27,$S$661))*자동계산!$C$4:$C$48)))</f>
        <v/>
      </c>
      <c r="E671" s="14">
        <f>IF(OR($S$661="",$R$659=""),"",SUM(OFFSET(전체채점!$AW$2,$R$659,INDEX(회차설정!$C$13:$C$27,$S$661),1,INDEX(회차설정!$D$13:$D$27,$S$661)-INDEX(회차설정!$C$13:$C$27,$S$661)+1)))</f>
        <v/>
      </c>
      <c r="F671" s="46">
        <f>IF(OR($S$661="",$D671=0,$D671="",$E671=""),"",$E671/$D671*100)</f>
        <v/>
      </c>
      <c r="G671" s="8" t="n"/>
      <c r="H671" s="47">
        <f>IF($F671="","",REPT("■",ROUND($F671/5,0)))</f>
        <v/>
      </c>
      <c r="I671" s="7" t="n"/>
      <c r="J671" s="7" t="n"/>
      <c r="K671" s="7" t="n"/>
      <c r="L671" s="7" t="n"/>
      <c r="M671" s="7" t="n"/>
      <c r="N671" s="7" t="n"/>
      <c r="O671" s="7" t="n"/>
      <c r="P671" s="8" t="n"/>
    </row>
    <row r="672">
      <c r="A672" s="14">
        <f>IF($S$662="","",INDEX(회차설정!$A$13:$A$27,$S$662))</f>
        <v/>
      </c>
      <c r="B672" s="14">
        <f>IF($S$662="","",INDEX(회차설정!$B$13:$B$27,$S$662))</f>
        <v/>
      </c>
      <c r="C672" s="8" t="n"/>
      <c r="D672" s="14">
        <f>IF($S$662="","",IF($R$660="언어와 매체",SUMPRODUCT((자동계산!$A$4:$A$48&gt;=INDEX(회차설정!$C$13:$C$27,$S$662))*(자동계산!$A$4:$A$48&lt;=INDEX(회차설정!$D$13:$D$27,$S$662))*자동계산!$E$4:$E$48),SUMPRODUCT((자동계산!$A$4:$A$48&gt;=INDEX(회차설정!$C$13:$C$27,$S$662))*(자동계산!$A$4:$A$48&lt;=INDEX(회차설정!$D$13:$D$27,$S$662))*자동계산!$C$4:$C$48)))</f>
        <v/>
      </c>
      <c r="E672" s="14">
        <f>IF(OR($S$662="",$R$659=""),"",SUM(OFFSET(전체채점!$AW$2,$R$659,INDEX(회차설정!$C$13:$C$27,$S$662),1,INDEX(회차설정!$D$13:$D$27,$S$662)-INDEX(회차설정!$C$13:$C$27,$S$662)+1)))</f>
        <v/>
      </c>
      <c r="F672" s="46">
        <f>IF(OR($S$662="",$D672=0,$D672="",$E672=""),"",$E672/$D672*100)</f>
        <v/>
      </c>
      <c r="G672" s="8" t="n"/>
      <c r="H672" s="47">
        <f>IF($F672="","",REPT("■",ROUND($F672/5,0)))</f>
        <v/>
      </c>
      <c r="I672" s="7" t="n"/>
      <c r="J672" s="7" t="n"/>
      <c r="K672" s="7" t="n"/>
      <c r="L672" s="7" t="n"/>
      <c r="M672" s="7" t="n"/>
      <c r="N672" s="7" t="n"/>
      <c r="O672" s="7" t="n"/>
      <c r="P672" s="8" t="n"/>
    </row>
    <row r="673">
      <c r="A673" s="14">
        <f>IF($S$663="","",INDEX(회차설정!$A$13:$A$27,$S$663))</f>
        <v/>
      </c>
      <c r="B673" s="14">
        <f>IF($S$663="","",INDEX(회차설정!$B$13:$B$27,$S$663))</f>
        <v/>
      </c>
      <c r="C673" s="8" t="n"/>
      <c r="D673" s="14">
        <f>IF($S$663="","",IF($R$660="언어와 매체",SUMPRODUCT((자동계산!$A$4:$A$48&gt;=INDEX(회차설정!$C$13:$C$27,$S$663))*(자동계산!$A$4:$A$48&lt;=INDEX(회차설정!$D$13:$D$27,$S$663))*자동계산!$E$4:$E$48),SUMPRODUCT((자동계산!$A$4:$A$48&gt;=INDEX(회차설정!$C$13:$C$27,$S$663))*(자동계산!$A$4:$A$48&lt;=INDEX(회차설정!$D$13:$D$27,$S$663))*자동계산!$C$4:$C$48)))</f>
        <v/>
      </c>
      <c r="E673" s="14">
        <f>IF(OR($S$663="",$R$659=""),"",SUM(OFFSET(전체채점!$AW$2,$R$659,INDEX(회차설정!$C$13:$C$27,$S$663),1,INDEX(회차설정!$D$13:$D$27,$S$663)-INDEX(회차설정!$C$13:$C$27,$S$663)+1)))</f>
        <v/>
      </c>
      <c r="F673" s="46">
        <f>IF(OR($S$663="",$D673=0,$D673="",$E673=""),"",$E673/$D673*100)</f>
        <v/>
      </c>
      <c r="G673" s="8" t="n"/>
      <c r="H673" s="47">
        <f>IF($F673="","",REPT("■",ROUND($F673/5,0)))</f>
        <v/>
      </c>
      <c r="I673" s="7" t="n"/>
      <c r="J673" s="7" t="n"/>
      <c r="K673" s="7" t="n"/>
      <c r="L673" s="7" t="n"/>
      <c r="M673" s="7" t="n"/>
      <c r="N673" s="7" t="n"/>
      <c r="O673" s="7" t="n"/>
      <c r="P673" s="8" t="n"/>
    </row>
    <row r="674">
      <c r="A674" s="14">
        <f>IF($S$664="","",INDEX(회차설정!$A$13:$A$27,$S$664))</f>
        <v/>
      </c>
      <c r="B674" s="14">
        <f>IF($S$664="","",INDEX(회차설정!$B$13:$B$27,$S$664))</f>
        <v/>
      </c>
      <c r="C674" s="8" t="n"/>
      <c r="D674" s="14">
        <f>IF($S$664="","",IF($R$660="언어와 매체",SUMPRODUCT((자동계산!$A$4:$A$48&gt;=INDEX(회차설정!$C$13:$C$27,$S$664))*(자동계산!$A$4:$A$48&lt;=INDEX(회차설정!$D$13:$D$27,$S$664))*자동계산!$E$4:$E$48),SUMPRODUCT((자동계산!$A$4:$A$48&gt;=INDEX(회차설정!$C$13:$C$27,$S$664))*(자동계산!$A$4:$A$48&lt;=INDEX(회차설정!$D$13:$D$27,$S$664))*자동계산!$C$4:$C$48)))</f>
        <v/>
      </c>
      <c r="E674" s="14">
        <f>IF(OR($S$664="",$R$659=""),"",SUM(OFFSET(전체채점!$AW$2,$R$659,INDEX(회차설정!$C$13:$C$27,$S$664),1,INDEX(회차설정!$D$13:$D$27,$S$664)-INDEX(회차설정!$C$13:$C$27,$S$664)+1)))</f>
        <v/>
      </c>
      <c r="F674" s="46">
        <f>IF(OR($S$664="",$D674=0,$D674="",$E674=""),"",$E674/$D674*100)</f>
        <v/>
      </c>
      <c r="G674" s="8" t="n"/>
      <c r="H674" s="47">
        <f>IF($F674="","",REPT("■",ROUND($F674/5,0)))</f>
        <v/>
      </c>
      <c r="I674" s="7" t="n"/>
      <c r="J674" s="7" t="n"/>
      <c r="K674" s="7" t="n"/>
      <c r="L674" s="7" t="n"/>
      <c r="M674" s="7" t="n"/>
      <c r="N674" s="7" t="n"/>
      <c r="O674" s="7" t="n"/>
      <c r="P674" s="8" t="n"/>
    </row>
    <row r="675">
      <c r="A675" s="14">
        <f>IF($S$665="","",INDEX(회차설정!$A$13:$A$27,$S$665))</f>
        <v/>
      </c>
      <c r="B675" s="14">
        <f>IF($S$665="","",INDEX(회차설정!$B$13:$B$27,$S$665))</f>
        <v/>
      </c>
      <c r="C675" s="8" t="n"/>
      <c r="D675" s="14">
        <f>IF($S$665="","",IF($R$660="언어와 매체",SUMPRODUCT((자동계산!$A$4:$A$48&gt;=INDEX(회차설정!$C$13:$C$27,$S$665))*(자동계산!$A$4:$A$48&lt;=INDEX(회차설정!$D$13:$D$27,$S$665))*자동계산!$E$4:$E$48),SUMPRODUCT((자동계산!$A$4:$A$48&gt;=INDEX(회차설정!$C$13:$C$27,$S$665))*(자동계산!$A$4:$A$48&lt;=INDEX(회차설정!$D$13:$D$27,$S$665))*자동계산!$C$4:$C$48)))</f>
        <v/>
      </c>
      <c r="E675" s="14">
        <f>IF(OR($S$665="",$R$659=""),"",SUM(OFFSET(전체채점!$AW$2,$R$659,INDEX(회차설정!$C$13:$C$27,$S$665),1,INDEX(회차설정!$D$13:$D$27,$S$665)-INDEX(회차설정!$C$13:$C$27,$S$665)+1)))</f>
        <v/>
      </c>
      <c r="F675" s="46">
        <f>IF(OR($S$665="",$D675=0,$D675="",$E675=""),"",$E675/$D675*100)</f>
        <v/>
      </c>
      <c r="G675" s="8" t="n"/>
      <c r="H675" s="47">
        <f>IF($F675="","",REPT("■",ROUND($F675/5,0)))</f>
        <v/>
      </c>
      <c r="I675" s="7" t="n"/>
      <c r="J675" s="7" t="n"/>
      <c r="K675" s="7" t="n"/>
      <c r="L675" s="7" t="n"/>
      <c r="M675" s="7" t="n"/>
      <c r="N675" s="7" t="n"/>
      <c r="O675" s="7" t="n"/>
      <c r="P675" s="8" t="n"/>
    </row>
    <row r="676">
      <c r="A676" s="14">
        <f>IF($S$666="","",INDEX(회차설정!$A$13:$A$27,$S$666))</f>
        <v/>
      </c>
      <c r="B676" s="14">
        <f>IF($S$666="","",INDEX(회차설정!$B$13:$B$27,$S$666))</f>
        <v/>
      </c>
      <c r="C676" s="8" t="n"/>
      <c r="D676" s="14">
        <f>IF($S$666="","",IF($R$660="언어와 매체",SUMPRODUCT((자동계산!$A$4:$A$48&gt;=INDEX(회차설정!$C$13:$C$27,$S$666))*(자동계산!$A$4:$A$48&lt;=INDEX(회차설정!$D$13:$D$27,$S$666))*자동계산!$E$4:$E$48),SUMPRODUCT((자동계산!$A$4:$A$48&gt;=INDEX(회차설정!$C$13:$C$27,$S$666))*(자동계산!$A$4:$A$48&lt;=INDEX(회차설정!$D$13:$D$27,$S$666))*자동계산!$C$4:$C$48)))</f>
        <v/>
      </c>
      <c r="E676" s="14">
        <f>IF(OR($S$666="",$R$659=""),"",SUM(OFFSET(전체채점!$AW$2,$R$659,INDEX(회차설정!$C$13:$C$27,$S$666),1,INDEX(회차설정!$D$13:$D$27,$S$666)-INDEX(회차설정!$C$13:$C$27,$S$666)+1)))</f>
        <v/>
      </c>
      <c r="F676" s="46">
        <f>IF(OR($S$666="",$D676=0,$D676="",$E676=""),"",$E676/$D676*100)</f>
        <v/>
      </c>
      <c r="G676" s="8" t="n"/>
      <c r="H676" s="47">
        <f>IF($F676="","",REPT("■",ROUND($F676/5,0)))</f>
        <v/>
      </c>
      <c r="I676" s="7" t="n"/>
      <c r="J676" s="7" t="n"/>
      <c r="K676" s="7" t="n"/>
      <c r="L676" s="7" t="n"/>
      <c r="M676" s="7" t="n"/>
      <c r="N676" s="7" t="n"/>
      <c r="O676" s="7" t="n"/>
      <c r="P676" s="8" t="n"/>
    </row>
    <row r="677">
      <c r="A677" s="14">
        <f>IF($S$667="","",INDEX(회차설정!$A$13:$A$27,$S$667))</f>
        <v/>
      </c>
      <c r="B677" s="14">
        <f>IF($S$667="","",INDEX(회차설정!$B$13:$B$27,$S$667))</f>
        <v/>
      </c>
      <c r="C677" s="8" t="n"/>
      <c r="D677" s="14">
        <f>IF($S$667="","",IF($R$660="언어와 매체",SUMPRODUCT((자동계산!$A$4:$A$48&gt;=INDEX(회차설정!$C$13:$C$27,$S$667))*(자동계산!$A$4:$A$48&lt;=INDEX(회차설정!$D$13:$D$27,$S$667))*자동계산!$E$4:$E$48),SUMPRODUCT((자동계산!$A$4:$A$48&gt;=INDEX(회차설정!$C$13:$C$27,$S$667))*(자동계산!$A$4:$A$48&lt;=INDEX(회차설정!$D$13:$D$27,$S$667))*자동계산!$C$4:$C$48)))</f>
        <v/>
      </c>
      <c r="E677" s="14">
        <f>IF(OR($S$667="",$R$659=""),"",SUM(OFFSET(전체채점!$AW$2,$R$659,INDEX(회차설정!$C$13:$C$27,$S$667),1,INDEX(회차설정!$D$13:$D$27,$S$667)-INDEX(회차설정!$C$13:$C$27,$S$667)+1)))</f>
        <v/>
      </c>
      <c r="F677" s="46">
        <f>IF(OR($S$667="",$D677=0,$D677="",$E677=""),"",$E677/$D677*100)</f>
        <v/>
      </c>
      <c r="G677" s="8" t="n"/>
      <c r="H677" s="47">
        <f>IF($F677="","",REPT("■",ROUND($F677/5,0)))</f>
        <v/>
      </c>
      <c r="I677" s="7" t="n"/>
      <c r="J677" s="7" t="n"/>
      <c r="K677" s="7" t="n"/>
      <c r="L677" s="7" t="n"/>
      <c r="M677" s="7" t="n"/>
      <c r="N677" s="7" t="n"/>
      <c r="O677" s="7" t="n"/>
      <c r="P677" s="8" t="n"/>
    </row>
    <row r="678">
      <c r="A678" s="14">
        <f>IF($S$668="","",INDEX(회차설정!$A$13:$A$27,$S$668))</f>
        <v/>
      </c>
      <c r="B678" s="14">
        <f>IF($S$668="","",INDEX(회차설정!$B$13:$B$27,$S$668))</f>
        <v/>
      </c>
      <c r="C678" s="8" t="n"/>
      <c r="D678" s="14">
        <f>IF($S$668="","",IF($R$660="언어와 매체",SUMPRODUCT((자동계산!$A$4:$A$48&gt;=INDEX(회차설정!$C$13:$C$27,$S$668))*(자동계산!$A$4:$A$48&lt;=INDEX(회차설정!$D$13:$D$27,$S$668))*자동계산!$E$4:$E$48),SUMPRODUCT((자동계산!$A$4:$A$48&gt;=INDEX(회차설정!$C$13:$C$27,$S$668))*(자동계산!$A$4:$A$48&lt;=INDEX(회차설정!$D$13:$D$27,$S$668))*자동계산!$C$4:$C$48)))</f>
        <v/>
      </c>
      <c r="E678" s="14">
        <f>IF(OR($S$668="",$R$659=""),"",SUM(OFFSET(전체채점!$AW$2,$R$659,INDEX(회차설정!$C$13:$C$27,$S$668),1,INDEX(회차설정!$D$13:$D$27,$S$668)-INDEX(회차설정!$C$13:$C$27,$S$668)+1)))</f>
        <v/>
      </c>
      <c r="F678" s="46">
        <f>IF(OR($S$668="",$D678=0,$D678="",$E678=""),"",$E678/$D678*100)</f>
        <v/>
      </c>
      <c r="G678" s="8" t="n"/>
      <c r="H678" s="47">
        <f>IF($F678="","",REPT("■",ROUND($F678/5,0)))</f>
        <v/>
      </c>
      <c r="I678" s="7" t="n"/>
      <c r="J678" s="7" t="n"/>
      <c r="K678" s="7" t="n"/>
      <c r="L678" s="7" t="n"/>
      <c r="M678" s="7" t="n"/>
      <c r="N678" s="7" t="n"/>
      <c r="O678" s="7" t="n"/>
      <c r="P678" s="8" t="n"/>
    </row>
    <row r="679">
      <c r="A679" s="14">
        <f>IF($S$669="","",INDEX(회차설정!$A$13:$A$27,$S$669))</f>
        <v/>
      </c>
      <c r="B679" s="14">
        <f>IF($S$669="","",INDEX(회차설정!$B$13:$B$27,$S$669))</f>
        <v/>
      </c>
      <c r="C679" s="8" t="n"/>
      <c r="D679" s="14">
        <f>IF($S$669="","",IF($R$660="언어와 매체",SUMPRODUCT((자동계산!$A$4:$A$48&gt;=INDEX(회차설정!$C$13:$C$27,$S$669))*(자동계산!$A$4:$A$48&lt;=INDEX(회차설정!$D$13:$D$27,$S$669))*자동계산!$E$4:$E$48),SUMPRODUCT((자동계산!$A$4:$A$48&gt;=INDEX(회차설정!$C$13:$C$27,$S$669))*(자동계산!$A$4:$A$48&lt;=INDEX(회차설정!$D$13:$D$27,$S$669))*자동계산!$C$4:$C$48)))</f>
        <v/>
      </c>
      <c r="E679" s="14">
        <f>IF(OR($S$669="",$R$659=""),"",SUM(OFFSET(전체채점!$AW$2,$R$659,INDEX(회차설정!$C$13:$C$27,$S$669),1,INDEX(회차설정!$D$13:$D$27,$S$669)-INDEX(회차설정!$C$13:$C$27,$S$669)+1)))</f>
        <v/>
      </c>
      <c r="F679" s="46">
        <f>IF(OR($S$669="",$D679=0,$D679="",$E679=""),"",$E679/$D679*100)</f>
        <v/>
      </c>
      <c r="G679" s="8" t="n"/>
      <c r="H679" s="47">
        <f>IF($F679="","",REPT("■",ROUND($F679/5,0)))</f>
        <v/>
      </c>
      <c r="I679" s="7" t="n"/>
      <c r="J679" s="7" t="n"/>
      <c r="K679" s="7" t="n"/>
      <c r="L679" s="7" t="n"/>
      <c r="M679" s="7" t="n"/>
      <c r="N679" s="7" t="n"/>
      <c r="O679" s="7" t="n"/>
      <c r="P679" s="8" t="n"/>
    </row>
    <row r="680">
      <c r="A680" s="14">
        <f>IF($S$670="","",INDEX(회차설정!$A$13:$A$27,$S$670))</f>
        <v/>
      </c>
      <c r="B680" s="14">
        <f>IF($S$670="","",INDEX(회차설정!$B$13:$B$27,$S$670))</f>
        <v/>
      </c>
      <c r="C680" s="8" t="n"/>
      <c r="D680" s="14">
        <f>IF($S$670="","",IF($R$660="언어와 매체",SUMPRODUCT((자동계산!$A$4:$A$48&gt;=INDEX(회차설정!$C$13:$C$27,$S$670))*(자동계산!$A$4:$A$48&lt;=INDEX(회차설정!$D$13:$D$27,$S$670))*자동계산!$E$4:$E$48),SUMPRODUCT((자동계산!$A$4:$A$48&gt;=INDEX(회차설정!$C$13:$C$27,$S$670))*(자동계산!$A$4:$A$48&lt;=INDEX(회차설정!$D$13:$D$27,$S$670))*자동계산!$C$4:$C$48)))</f>
        <v/>
      </c>
      <c r="E680" s="14">
        <f>IF(OR($S$670="",$R$659=""),"",SUM(OFFSET(전체채점!$AW$2,$R$659,INDEX(회차설정!$C$13:$C$27,$S$670),1,INDEX(회차설정!$D$13:$D$27,$S$670)-INDEX(회차설정!$C$13:$C$27,$S$670)+1)))</f>
        <v/>
      </c>
      <c r="F680" s="46">
        <f>IF(OR($S$670="",$D680=0,$D680="",$E680=""),"",$E680/$D680*100)</f>
        <v/>
      </c>
      <c r="G680" s="8" t="n"/>
      <c r="H680" s="47">
        <f>IF($F680="","",REPT("■",ROUND($F680/5,0)))</f>
        <v/>
      </c>
      <c r="I680" s="7" t="n"/>
      <c r="J680" s="7" t="n"/>
      <c r="K680" s="7" t="n"/>
      <c r="L680" s="7" t="n"/>
      <c r="M680" s="7" t="n"/>
      <c r="N680" s="7" t="n"/>
      <c r="O680" s="7" t="n"/>
      <c r="P680" s="8" t="n"/>
    </row>
    <row r="681">
      <c r="A681" s="5">
        <f>IF($R$659="","","합계")</f>
        <v/>
      </c>
      <c r="B681" s="7" t="n"/>
      <c r="C681" s="8" t="n"/>
      <c r="D681" s="5">
        <f>IF($R$659="","",SUM(D669:D680))</f>
        <v/>
      </c>
      <c r="E681" s="5">
        <f>IF($R$659="","",SUM(E669:E680))</f>
        <v/>
      </c>
      <c r="F681" s="48">
        <f>IF(OR($D681=0,$D681=""),"",$E681/$D681*100)</f>
        <v/>
      </c>
      <c r="G681" s="8" t="n"/>
      <c r="H681" s="49">
        <f>IF($F681="","",REPT("■",ROUND($F681/5,0)))</f>
        <v/>
      </c>
      <c r="I681" s="7" t="n"/>
      <c r="J681" s="7" t="n"/>
      <c r="K681" s="7" t="n"/>
      <c r="L681" s="7" t="n"/>
      <c r="M681" s="7" t="n"/>
      <c r="N681" s="7" t="n"/>
      <c r="O681" s="7" t="n"/>
      <c r="P681" s="8" t="n"/>
    </row>
    <row r="683">
      <c r="A683" s="12" t="inlineStr">
        <is>
          <t>4. 문항 채점표</t>
        </is>
      </c>
    </row>
    <row r="684">
      <c r="A684" s="50" t="inlineStr">
        <is>
          <t>문항 번호</t>
        </is>
      </c>
      <c r="B684" s="51" t="n">
        <v>1</v>
      </c>
      <c r="C684" s="51" t="n">
        <v>2</v>
      </c>
      <c r="D684" s="51" t="n">
        <v>3</v>
      </c>
      <c r="E684" s="51" t="n">
        <v>4</v>
      </c>
      <c r="F684" s="51" t="n">
        <v>5</v>
      </c>
      <c r="G684" s="51" t="n">
        <v>6</v>
      </c>
      <c r="H684" s="51" t="n">
        <v>7</v>
      </c>
      <c r="I684" s="51" t="n">
        <v>8</v>
      </c>
      <c r="J684" s="51" t="n">
        <v>9</v>
      </c>
      <c r="K684" s="51" t="n">
        <v>10</v>
      </c>
      <c r="L684" s="51" t="n">
        <v>11</v>
      </c>
      <c r="M684" s="51" t="n">
        <v>12</v>
      </c>
      <c r="N684" s="51" t="n">
        <v>13</v>
      </c>
      <c r="O684" s="51" t="n">
        <v>14</v>
      </c>
      <c r="P684" s="51" t="n">
        <v>15</v>
      </c>
    </row>
    <row r="685">
      <c r="A685" s="52" t="inlineStr">
        <is>
          <t>정답</t>
        </is>
      </c>
      <c r="B685" s="33">
        <f>IF($R$660="","",IF($R$660="언어와 매체",자동계산!$D$4,자동계산!$B$4))</f>
        <v/>
      </c>
      <c r="C685" s="33">
        <f>IF($R$660="","",IF($R$660="언어와 매체",자동계산!$D$5,자동계산!$B$5))</f>
        <v/>
      </c>
      <c r="D685" s="33">
        <f>IF($R$660="","",IF($R$660="언어와 매체",자동계산!$D$6,자동계산!$B$6))</f>
        <v/>
      </c>
      <c r="E685" s="33">
        <f>IF($R$660="","",IF($R$660="언어와 매체",자동계산!$D$7,자동계산!$B$7))</f>
        <v/>
      </c>
      <c r="F685" s="33">
        <f>IF($R$660="","",IF($R$660="언어와 매체",자동계산!$D$8,자동계산!$B$8))</f>
        <v/>
      </c>
      <c r="G685" s="33">
        <f>IF($R$660="","",IF($R$660="언어와 매체",자동계산!$D$9,자동계산!$B$9))</f>
        <v/>
      </c>
      <c r="H685" s="33">
        <f>IF($R$660="","",IF($R$660="언어와 매체",자동계산!$D$10,자동계산!$B$10))</f>
        <v/>
      </c>
      <c r="I685" s="33">
        <f>IF($R$660="","",IF($R$660="언어와 매체",자동계산!$D$11,자동계산!$B$11))</f>
        <v/>
      </c>
      <c r="J685" s="33">
        <f>IF($R$660="","",IF($R$660="언어와 매체",자동계산!$D$12,자동계산!$B$12))</f>
        <v/>
      </c>
      <c r="K685" s="33">
        <f>IF($R$660="","",IF($R$660="언어와 매체",자동계산!$D$13,자동계산!$B$13))</f>
        <v/>
      </c>
      <c r="L685" s="33">
        <f>IF($R$660="","",IF($R$660="언어와 매체",자동계산!$D$14,자동계산!$B$14))</f>
        <v/>
      </c>
      <c r="M685" s="33">
        <f>IF($R$660="","",IF($R$660="언어와 매체",자동계산!$D$15,자동계산!$B$15))</f>
        <v/>
      </c>
      <c r="N685" s="33">
        <f>IF($R$660="","",IF($R$660="언어와 매체",자동계산!$D$16,자동계산!$B$16))</f>
        <v/>
      </c>
      <c r="O685" s="33">
        <f>IF($R$660="","",IF($R$660="언어와 매체",자동계산!$D$17,자동계산!$B$17))</f>
        <v/>
      </c>
      <c r="P685" s="33">
        <f>IF($R$660="","",IF($R$660="언어와 매체",자동계산!$D$18,자동계산!$B$18))</f>
        <v/>
      </c>
    </row>
    <row r="686">
      <c r="A686" s="52" t="inlineStr">
        <is>
          <t>학생답안</t>
        </is>
      </c>
      <c r="B686" s="33">
        <f>IF($R$659="","",INDEX(전체채점!E$3:E$62,$R$659))</f>
        <v/>
      </c>
      <c r="C686" s="33">
        <f>IF($R$659="","",INDEX(전체채점!F$3:F$62,$R$659))</f>
        <v/>
      </c>
      <c r="D686" s="33">
        <f>IF($R$659="","",INDEX(전체채점!G$3:G$62,$R$659))</f>
        <v/>
      </c>
      <c r="E686" s="33">
        <f>IF($R$659="","",INDEX(전체채점!H$3:H$62,$R$659))</f>
        <v/>
      </c>
      <c r="F686" s="33">
        <f>IF($R$659="","",INDEX(전체채점!I$3:I$62,$R$659))</f>
        <v/>
      </c>
      <c r="G686" s="33">
        <f>IF($R$659="","",INDEX(전체채점!J$3:J$62,$R$659))</f>
        <v/>
      </c>
      <c r="H686" s="33">
        <f>IF($R$659="","",INDEX(전체채점!K$3:K$62,$R$659))</f>
        <v/>
      </c>
      <c r="I686" s="33">
        <f>IF($R$659="","",INDEX(전체채점!L$3:L$62,$R$659))</f>
        <v/>
      </c>
      <c r="J686" s="33">
        <f>IF($R$659="","",INDEX(전체채점!M$3:M$62,$R$659))</f>
        <v/>
      </c>
      <c r="K686" s="33">
        <f>IF($R$659="","",INDEX(전체채점!N$3:N$62,$R$659))</f>
        <v/>
      </c>
      <c r="L686" s="33">
        <f>IF($R$659="","",INDEX(전체채점!O$3:O$62,$R$659))</f>
        <v/>
      </c>
      <c r="M686" s="33">
        <f>IF($R$659="","",INDEX(전체채점!P$3:P$62,$R$659))</f>
        <v/>
      </c>
      <c r="N686" s="33">
        <f>IF($R$659="","",INDEX(전체채점!Q$3:Q$62,$R$659))</f>
        <v/>
      </c>
      <c r="O686" s="33">
        <f>IF($R$659="","",INDEX(전체채점!R$3:R$62,$R$659))</f>
        <v/>
      </c>
      <c r="P686" s="33">
        <f>IF($R$659="","",INDEX(전체채점!S$3:S$62,$R$659))</f>
        <v/>
      </c>
    </row>
    <row r="687">
      <c r="A687" s="52" t="inlineStr">
        <is>
          <t>정오</t>
        </is>
      </c>
      <c r="B687" s="33">
        <f>IF($R$659="","",INDEX(전체채점!AX$3:AX$62,$R$659))</f>
        <v/>
      </c>
      <c r="C687" s="33">
        <f>IF($R$659="","",INDEX(전체채점!AY$3:AY$62,$R$659))</f>
        <v/>
      </c>
      <c r="D687" s="33">
        <f>IF($R$659="","",INDEX(전체채점!AZ$3:AZ$62,$R$659))</f>
        <v/>
      </c>
      <c r="E687" s="33">
        <f>IF($R$659="","",INDEX(전체채점!BA$3:BA$62,$R$659))</f>
        <v/>
      </c>
      <c r="F687" s="33">
        <f>IF($R$659="","",INDEX(전체채점!BB$3:BB$62,$R$659))</f>
        <v/>
      </c>
      <c r="G687" s="33">
        <f>IF($R$659="","",INDEX(전체채점!BC$3:BC$62,$R$659))</f>
        <v/>
      </c>
      <c r="H687" s="33">
        <f>IF($R$659="","",INDEX(전체채점!BD$3:BD$62,$R$659))</f>
        <v/>
      </c>
      <c r="I687" s="33">
        <f>IF($R$659="","",INDEX(전체채점!BE$3:BE$62,$R$659))</f>
        <v/>
      </c>
      <c r="J687" s="33">
        <f>IF($R$659="","",INDEX(전체채점!BF$3:BF$62,$R$659))</f>
        <v/>
      </c>
      <c r="K687" s="33">
        <f>IF($R$659="","",INDEX(전체채점!BG$3:BG$62,$R$659))</f>
        <v/>
      </c>
      <c r="L687" s="33">
        <f>IF($R$659="","",INDEX(전체채점!BH$3:BH$62,$R$659))</f>
        <v/>
      </c>
      <c r="M687" s="33">
        <f>IF($R$659="","",INDEX(전체채점!BI$3:BI$62,$R$659))</f>
        <v/>
      </c>
      <c r="N687" s="33">
        <f>IF($R$659="","",INDEX(전체채점!BJ$3:BJ$62,$R$659))</f>
        <v/>
      </c>
      <c r="O687" s="33">
        <f>IF($R$659="","",INDEX(전체채점!BK$3:BK$62,$R$659))</f>
        <v/>
      </c>
      <c r="P687" s="33">
        <f>IF($R$659="","",INDEX(전체채점!BL$3:BL$62,$R$659))</f>
        <v/>
      </c>
    </row>
    <row r="688">
      <c r="A688" s="50" t="inlineStr">
        <is>
          <t>문항 번호</t>
        </is>
      </c>
      <c r="B688" s="51" t="n">
        <v>16</v>
      </c>
      <c r="C688" s="51" t="n">
        <v>17</v>
      </c>
      <c r="D688" s="51" t="n">
        <v>18</v>
      </c>
      <c r="E688" s="51" t="n">
        <v>19</v>
      </c>
      <c r="F688" s="51" t="n">
        <v>20</v>
      </c>
      <c r="G688" s="51" t="n">
        <v>21</v>
      </c>
      <c r="H688" s="51" t="n">
        <v>22</v>
      </c>
      <c r="I688" s="51" t="n">
        <v>23</v>
      </c>
      <c r="J688" s="51" t="n">
        <v>24</v>
      </c>
      <c r="K688" s="51" t="n">
        <v>25</v>
      </c>
      <c r="L688" s="51" t="n">
        <v>26</v>
      </c>
      <c r="M688" s="51" t="n">
        <v>27</v>
      </c>
      <c r="N688" s="51" t="n">
        <v>28</v>
      </c>
      <c r="O688" s="51" t="n">
        <v>29</v>
      </c>
      <c r="P688" s="51" t="n">
        <v>30</v>
      </c>
    </row>
    <row r="689">
      <c r="A689" s="52" t="inlineStr">
        <is>
          <t>정답</t>
        </is>
      </c>
      <c r="B689" s="33">
        <f>IF($R$660="","",IF($R$660="언어와 매체",자동계산!$D$19,자동계산!$B$19))</f>
        <v/>
      </c>
      <c r="C689" s="33">
        <f>IF($R$660="","",IF($R$660="언어와 매체",자동계산!$D$20,자동계산!$B$20))</f>
        <v/>
      </c>
      <c r="D689" s="33">
        <f>IF($R$660="","",IF($R$660="언어와 매체",자동계산!$D$21,자동계산!$B$21))</f>
        <v/>
      </c>
      <c r="E689" s="33">
        <f>IF($R$660="","",IF($R$660="언어와 매체",자동계산!$D$22,자동계산!$B$22))</f>
        <v/>
      </c>
      <c r="F689" s="33">
        <f>IF($R$660="","",IF($R$660="언어와 매체",자동계산!$D$23,자동계산!$B$23))</f>
        <v/>
      </c>
      <c r="G689" s="33">
        <f>IF($R$660="","",IF($R$660="언어와 매체",자동계산!$D$24,자동계산!$B$24))</f>
        <v/>
      </c>
      <c r="H689" s="33">
        <f>IF($R$660="","",IF($R$660="언어와 매체",자동계산!$D$25,자동계산!$B$25))</f>
        <v/>
      </c>
      <c r="I689" s="33">
        <f>IF($R$660="","",IF($R$660="언어와 매체",자동계산!$D$26,자동계산!$B$26))</f>
        <v/>
      </c>
      <c r="J689" s="33">
        <f>IF($R$660="","",IF($R$660="언어와 매체",자동계산!$D$27,자동계산!$B$27))</f>
        <v/>
      </c>
      <c r="K689" s="33">
        <f>IF($R$660="","",IF($R$660="언어와 매체",자동계산!$D$28,자동계산!$B$28))</f>
        <v/>
      </c>
      <c r="L689" s="33">
        <f>IF($R$660="","",IF($R$660="언어와 매체",자동계산!$D$29,자동계산!$B$29))</f>
        <v/>
      </c>
      <c r="M689" s="33">
        <f>IF($R$660="","",IF($R$660="언어와 매체",자동계산!$D$30,자동계산!$B$30))</f>
        <v/>
      </c>
      <c r="N689" s="33">
        <f>IF($R$660="","",IF($R$660="언어와 매체",자동계산!$D$31,자동계산!$B$31))</f>
        <v/>
      </c>
      <c r="O689" s="33">
        <f>IF($R$660="","",IF($R$660="언어와 매체",자동계산!$D$32,자동계산!$B$32))</f>
        <v/>
      </c>
      <c r="P689" s="33">
        <f>IF($R$660="","",IF($R$660="언어와 매체",자동계산!$D$33,자동계산!$B$33))</f>
        <v/>
      </c>
    </row>
    <row r="690">
      <c r="A690" s="52" t="inlineStr">
        <is>
          <t>학생답안</t>
        </is>
      </c>
      <c r="B690" s="33">
        <f>IF($R$659="","",INDEX(전체채점!T$3:T$62,$R$659))</f>
        <v/>
      </c>
      <c r="C690" s="33">
        <f>IF($R$659="","",INDEX(전체채점!U$3:U$62,$R$659))</f>
        <v/>
      </c>
      <c r="D690" s="33">
        <f>IF($R$659="","",INDEX(전체채점!V$3:V$62,$R$659))</f>
        <v/>
      </c>
      <c r="E690" s="33">
        <f>IF($R$659="","",INDEX(전체채점!W$3:W$62,$R$659))</f>
        <v/>
      </c>
      <c r="F690" s="33">
        <f>IF($R$659="","",INDEX(전체채점!X$3:X$62,$R$659))</f>
        <v/>
      </c>
      <c r="G690" s="33">
        <f>IF($R$659="","",INDEX(전체채점!Y$3:Y$62,$R$659))</f>
        <v/>
      </c>
      <c r="H690" s="33">
        <f>IF($R$659="","",INDEX(전체채점!Z$3:Z$62,$R$659))</f>
        <v/>
      </c>
      <c r="I690" s="33">
        <f>IF($R$659="","",INDEX(전체채점!AA$3:AA$62,$R$659))</f>
        <v/>
      </c>
      <c r="J690" s="33">
        <f>IF($R$659="","",INDEX(전체채점!AB$3:AB$62,$R$659))</f>
        <v/>
      </c>
      <c r="K690" s="33">
        <f>IF($R$659="","",INDEX(전체채점!AC$3:AC$62,$R$659))</f>
        <v/>
      </c>
      <c r="L690" s="33">
        <f>IF($R$659="","",INDEX(전체채점!AD$3:AD$62,$R$659))</f>
        <v/>
      </c>
      <c r="M690" s="33">
        <f>IF($R$659="","",INDEX(전체채점!AE$3:AE$62,$R$659))</f>
        <v/>
      </c>
      <c r="N690" s="33">
        <f>IF($R$659="","",INDEX(전체채점!AF$3:AF$62,$R$659))</f>
        <v/>
      </c>
      <c r="O690" s="33">
        <f>IF($R$659="","",INDEX(전체채점!AG$3:AG$62,$R$659))</f>
        <v/>
      </c>
      <c r="P690" s="33">
        <f>IF($R$659="","",INDEX(전체채점!AH$3:AH$62,$R$659))</f>
        <v/>
      </c>
    </row>
    <row r="691">
      <c r="A691" s="52" t="inlineStr">
        <is>
          <t>정오</t>
        </is>
      </c>
      <c r="B691" s="33">
        <f>IF($R$659="","",INDEX(전체채점!BM$3:BM$62,$R$659))</f>
        <v/>
      </c>
      <c r="C691" s="33">
        <f>IF($R$659="","",INDEX(전체채점!BN$3:BN$62,$R$659))</f>
        <v/>
      </c>
      <c r="D691" s="33">
        <f>IF($R$659="","",INDEX(전체채점!BO$3:BO$62,$R$659))</f>
        <v/>
      </c>
      <c r="E691" s="33">
        <f>IF($R$659="","",INDEX(전체채점!BP$3:BP$62,$R$659))</f>
        <v/>
      </c>
      <c r="F691" s="33">
        <f>IF($R$659="","",INDEX(전체채점!BQ$3:BQ$62,$R$659))</f>
        <v/>
      </c>
      <c r="G691" s="33">
        <f>IF($R$659="","",INDEX(전체채점!BR$3:BR$62,$R$659))</f>
        <v/>
      </c>
      <c r="H691" s="33">
        <f>IF($R$659="","",INDEX(전체채점!BS$3:BS$62,$R$659))</f>
        <v/>
      </c>
      <c r="I691" s="33">
        <f>IF($R$659="","",INDEX(전체채점!BT$3:BT$62,$R$659))</f>
        <v/>
      </c>
      <c r="J691" s="33">
        <f>IF($R$659="","",INDEX(전체채점!BU$3:BU$62,$R$659))</f>
        <v/>
      </c>
      <c r="K691" s="33">
        <f>IF($R$659="","",INDEX(전체채점!BV$3:BV$62,$R$659))</f>
        <v/>
      </c>
      <c r="L691" s="33">
        <f>IF($R$659="","",INDEX(전체채점!BW$3:BW$62,$R$659))</f>
        <v/>
      </c>
      <c r="M691" s="33">
        <f>IF($R$659="","",INDEX(전체채점!BX$3:BX$62,$R$659))</f>
        <v/>
      </c>
      <c r="N691" s="33">
        <f>IF($R$659="","",INDEX(전체채점!BY$3:BY$62,$R$659))</f>
        <v/>
      </c>
      <c r="O691" s="33">
        <f>IF($R$659="","",INDEX(전체채점!BZ$3:BZ$62,$R$659))</f>
        <v/>
      </c>
      <c r="P691" s="33">
        <f>IF($R$659="","",INDEX(전체채점!CA$3:CA$62,$R$659))</f>
        <v/>
      </c>
    </row>
    <row r="692">
      <c r="A692" s="50" t="inlineStr">
        <is>
          <t>문항 번호</t>
        </is>
      </c>
      <c r="B692" s="51" t="n">
        <v>31</v>
      </c>
      <c r="C692" s="51" t="n">
        <v>32</v>
      </c>
      <c r="D692" s="51" t="n">
        <v>33</v>
      </c>
      <c r="E692" s="51" t="n">
        <v>34</v>
      </c>
      <c r="F692" s="51" t="n">
        <v>35</v>
      </c>
      <c r="G692" s="51" t="n">
        <v>36</v>
      </c>
      <c r="H692" s="51" t="n">
        <v>37</v>
      </c>
      <c r="I692" s="51" t="n">
        <v>38</v>
      </c>
      <c r="J692" s="51" t="n">
        <v>39</v>
      </c>
      <c r="K692" s="51" t="n">
        <v>40</v>
      </c>
      <c r="L692" s="51" t="n">
        <v>41</v>
      </c>
      <c r="M692" s="51" t="n">
        <v>42</v>
      </c>
      <c r="N692" s="51" t="n">
        <v>43</v>
      </c>
      <c r="O692" s="51" t="n">
        <v>44</v>
      </c>
      <c r="P692" s="51" t="n">
        <v>45</v>
      </c>
    </row>
    <row r="693">
      <c r="A693" s="52" t="inlineStr">
        <is>
          <t>정답</t>
        </is>
      </c>
      <c r="B693" s="33">
        <f>IF($R$660="","",IF($R$660="언어와 매체",자동계산!$D$34,자동계산!$B$34))</f>
        <v/>
      </c>
      <c r="C693" s="33">
        <f>IF($R$660="","",IF($R$660="언어와 매체",자동계산!$D$35,자동계산!$B$35))</f>
        <v/>
      </c>
      <c r="D693" s="33">
        <f>IF($R$660="","",IF($R$660="언어와 매체",자동계산!$D$36,자동계산!$B$36))</f>
        <v/>
      </c>
      <c r="E693" s="33">
        <f>IF($R$660="","",IF($R$660="언어와 매체",자동계산!$D$37,자동계산!$B$37))</f>
        <v/>
      </c>
      <c r="F693" s="33">
        <f>IF($R$660="","",IF($R$660="언어와 매체",자동계산!$D$38,자동계산!$B$38))</f>
        <v/>
      </c>
      <c r="G693" s="33">
        <f>IF($R$660="","",IF($R$660="언어와 매체",자동계산!$D$39,자동계산!$B$39))</f>
        <v/>
      </c>
      <c r="H693" s="33">
        <f>IF($R$660="","",IF($R$660="언어와 매체",자동계산!$D$40,자동계산!$B$40))</f>
        <v/>
      </c>
      <c r="I693" s="33">
        <f>IF($R$660="","",IF($R$660="언어와 매체",자동계산!$D$41,자동계산!$B$41))</f>
        <v/>
      </c>
      <c r="J693" s="33">
        <f>IF($R$660="","",IF($R$660="언어와 매체",자동계산!$D$42,자동계산!$B$42))</f>
        <v/>
      </c>
      <c r="K693" s="33">
        <f>IF($R$660="","",IF($R$660="언어와 매체",자동계산!$D$43,자동계산!$B$43))</f>
        <v/>
      </c>
      <c r="L693" s="33">
        <f>IF($R$660="","",IF($R$660="언어와 매체",자동계산!$D$44,자동계산!$B$44))</f>
        <v/>
      </c>
      <c r="M693" s="33">
        <f>IF($R$660="","",IF($R$660="언어와 매체",자동계산!$D$45,자동계산!$B$45))</f>
        <v/>
      </c>
      <c r="N693" s="33">
        <f>IF($R$660="","",IF($R$660="언어와 매체",자동계산!$D$46,자동계산!$B$46))</f>
        <v/>
      </c>
      <c r="O693" s="33">
        <f>IF($R$660="","",IF($R$660="언어와 매체",자동계산!$D$47,자동계산!$B$47))</f>
        <v/>
      </c>
      <c r="P693" s="33">
        <f>IF($R$660="","",IF($R$660="언어와 매체",자동계산!$D$48,자동계산!$B$48))</f>
        <v/>
      </c>
    </row>
    <row r="694">
      <c r="A694" s="52" t="inlineStr">
        <is>
          <t>학생답안</t>
        </is>
      </c>
      <c r="B694" s="33">
        <f>IF($R$659="","",INDEX(전체채점!AI$3:AI$62,$R$659))</f>
        <v/>
      </c>
      <c r="C694" s="33">
        <f>IF($R$659="","",INDEX(전체채점!AJ$3:AJ$62,$R$659))</f>
        <v/>
      </c>
      <c r="D694" s="33">
        <f>IF($R$659="","",INDEX(전체채점!AK$3:AK$62,$R$659))</f>
        <v/>
      </c>
      <c r="E694" s="33">
        <f>IF($R$659="","",INDEX(전체채점!AL$3:AL$62,$R$659))</f>
        <v/>
      </c>
      <c r="F694" s="33">
        <f>IF($R$659="","",INDEX(전체채점!AM$3:AM$62,$R$659))</f>
        <v/>
      </c>
      <c r="G694" s="33">
        <f>IF($R$659="","",INDEX(전체채점!AN$3:AN$62,$R$659))</f>
        <v/>
      </c>
      <c r="H694" s="33">
        <f>IF($R$659="","",INDEX(전체채점!AO$3:AO$62,$R$659))</f>
        <v/>
      </c>
      <c r="I694" s="33">
        <f>IF($R$659="","",INDEX(전체채점!AP$3:AP$62,$R$659))</f>
        <v/>
      </c>
      <c r="J694" s="33">
        <f>IF($R$659="","",INDEX(전체채점!AQ$3:AQ$62,$R$659))</f>
        <v/>
      </c>
      <c r="K694" s="33">
        <f>IF($R$659="","",INDEX(전체채점!AR$3:AR$62,$R$659))</f>
        <v/>
      </c>
      <c r="L694" s="33">
        <f>IF($R$659="","",INDEX(전체채점!AS$3:AS$62,$R$659))</f>
        <v/>
      </c>
      <c r="M694" s="33">
        <f>IF($R$659="","",INDEX(전체채점!AT$3:AT$62,$R$659))</f>
        <v/>
      </c>
      <c r="N694" s="33">
        <f>IF($R$659="","",INDEX(전체채점!AU$3:AU$62,$R$659))</f>
        <v/>
      </c>
      <c r="O694" s="33">
        <f>IF($R$659="","",INDEX(전체채점!AV$3:AV$62,$R$659))</f>
        <v/>
      </c>
      <c r="P694" s="33">
        <f>IF($R$659="","",INDEX(전체채점!AW$3:AW$62,$R$659))</f>
        <v/>
      </c>
    </row>
    <row r="695">
      <c r="A695" s="52" t="inlineStr">
        <is>
          <t>정오</t>
        </is>
      </c>
      <c r="B695" s="33">
        <f>IF($R$659="","",INDEX(전체채점!CB$3:CB$62,$R$659))</f>
        <v/>
      </c>
      <c r="C695" s="33">
        <f>IF($R$659="","",INDEX(전체채점!CC$3:CC$62,$R$659))</f>
        <v/>
      </c>
      <c r="D695" s="33">
        <f>IF($R$659="","",INDEX(전체채점!CD$3:CD$62,$R$659))</f>
        <v/>
      </c>
      <c r="E695" s="33">
        <f>IF($R$659="","",INDEX(전체채점!CE$3:CE$62,$R$659))</f>
        <v/>
      </c>
      <c r="F695" s="33">
        <f>IF($R$659="","",INDEX(전체채점!CF$3:CF$62,$R$659))</f>
        <v/>
      </c>
      <c r="G695" s="33">
        <f>IF($R$659="","",INDEX(전체채점!CG$3:CG$62,$R$659))</f>
        <v/>
      </c>
      <c r="H695" s="33">
        <f>IF($R$659="","",INDEX(전체채점!CH$3:CH$62,$R$659))</f>
        <v/>
      </c>
      <c r="I695" s="33">
        <f>IF($R$659="","",INDEX(전체채점!CI$3:CI$62,$R$659))</f>
        <v/>
      </c>
      <c r="J695" s="33">
        <f>IF($R$659="","",INDEX(전체채점!CJ$3:CJ$62,$R$659))</f>
        <v/>
      </c>
      <c r="K695" s="33">
        <f>IF($R$659="","",INDEX(전체채점!CK$3:CK$62,$R$659))</f>
        <v/>
      </c>
      <c r="L695" s="33">
        <f>IF($R$659="","",INDEX(전체채점!CL$3:CL$62,$R$659))</f>
        <v/>
      </c>
      <c r="M695" s="33">
        <f>IF($R$659="","",INDEX(전체채점!CM$3:CM$62,$R$659))</f>
        <v/>
      </c>
      <c r="N695" s="33">
        <f>IF($R$659="","",INDEX(전체채점!CN$3:CN$62,$R$659))</f>
        <v/>
      </c>
      <c r="O695" s="33">
        <f>IF($R$659="","",INDEX(전체채점!CO$3:CO$62,$R$659))</f>
        <v/>
      </c>
      <c r="P695" s="33">
        <f>IF($R$659="","",INDEX(전체채점!CP$3:CP$62,$R$659))</f>
        <v/>
      </c>
    </row>
    <row r="698" ht="34" customHeight="1">
      <c r="A698" s="36">
        <f>IF($R$700="","",회차설정!$B$2&amp;" 성적표")</f>
        <v/>
      </c>
    </row>
    <row r="700">
      <c r="A700" s="12" t="inlineStr">
        <is>
          <t>1. 학생정보</t>
        </is>
      </c>
      <c r="R700" s="37">
        <f>IF(답안입력!$A$20="","",18)</f>
        <v/>
      </c>
      <c r="S700" s="37">
        <f>IF($R$701="","",IFERROR(IF($R$701="언어와 매체",MATCH(1,회차설정!$G$13:$G$27,0),MATCH(1,회차설정!$F$13:$F$27,0)),""))</f>
        <v/>
      </c>
    </row>
    <row r="701">
      <c r="A701" s="13" t="inlineStr">
        <is>
          <t>성명</t>
        </is>
      </c>
      <c r="B701" s="7" t="n"/>
      <c r="C701" s="8" t="n"/>
      <c r="D701" s="13" t="inlineStr">
        <is>
          <t>선택과목</t>
        </is>
      </c>
      <c r="E701" s="7" t="n"/>
      <c r="F701" s="7" t="n"/>
      <c r="G701" s="8" t="n"/>
      <c r="H701" s="13" t="inlineStr">
        <is>
          <t>학년</t>
        </is>
      </c>
      <c r="I701" s="7" t="n"/>
      <c r="J701" s="7" t="n"/>
      <c r="K701" s="8" t="n"/>
      <c r="L701" s="13" t="inlineStr">
        <is>
          <t>시행일</t>
        </is>
      </c>
      <c r="M701" s="7" t="n"/>
      <c r="N701" s="7" t="n"/>
      <c r="O701" s="7" t="n"/>
      <c r="P701" s="8" t="n"/>
      <c r="R701" s="37">
        <f>IF($R$700="","",INDEX(전체채점!$B$3:$B$62,$R$700))</f>
        <v/>
      </c>
      <c r="S701" s="37">
        <f>IF($R$701="","",IFERROR(IF($R$701="언어와 매체",MATCH(2,회차설정!$G$13:$G$27,0),MATCH(2,회차설정!$F$13:$F$27,0)),""))</f>
        <v/>
      </c>
    </row>
    <row r="702" ht="26" customHeight="1">
      <c r="A702" s="39">
        <f>IF($R$700="","",INDEX(답안입력!$A$3:$A$62,$R$700))</f>
        <v/>
      </c>
      <c r="B702" s="7" t="n"/>
      <c r="C702" s="8" t="n"/>
      <c r="D702" s="39">
        <f>IF($R$700="","",INDEX(답안입력!$C$3:$C$62,$R$700))</f>
        <v/>
      </c>
      <c r="E702" s="7" t="n"/>
      <c r="F702" s="7" t="n"/>
      <c r="G702" s="8" t="n"/>
      <c r="H702" s="39">
        <f>IF($R$700="","",INDEX(답안입력!$B$3:$B$62,$R$700))</f>
        <v/>
      </c>
      <c r="I702" s="7" t="n"/>
      <c r="J702" s="7" t="n"/>
      <c r="K702" s="8" t="n"/>
      <c r="L702" s="40">
        <f>회차설정!$B$3</f>
        <v/>
      </c>
      <c r="M702" s="7" t="n"/>
      <c r="N702" s="7" t="n"/>
      <c r="O702" s="7" t="n"/>
      <c r="P702" s="8" t="n"/>
      <c r="R702" s="37">
        <f>IF($R$701="언어와 매체",회차설정!$B$9,회차설정!$B$8)</f>
        <v/>
      </c>
      <c r="S702" s="37">
        <f>IF($R$701="","",IFERROR(IF($R$701="언어와 매체",MATCH(3,회차설정!$G$13:$G$27,0),MATCH(3,회차설정!$F$13:$F$27,0)),""))</f>
        <v/>
      </c>
    </row>
    <row r="703">
      <c r="R703" s="37">
        <f>IF($R$701="언어와 매체",회차설정!$C$9,회차설정!$C$8)</f>
        <v/>
      </c>
      <c r="S703" s="37">
        <f>IF($R$701="","",IFERROR(IF($R$701="언어와 매체",MATCH(4,회차설정!$G$13:$G$27,0),MATCH(4,회차설정!$F$13:$F$27,0)),""))</f>
        <v/>
      </c>
    </row>
    <row r="704">
      <c r="A704" s="12" t="inlineStr">
        <is>
          <t>2. 성적</t>
        </is>
      </c>
      <c r="R704" s="37">
        <f>IF($R$701="언어와 매체",회차설정!$D$9,회차설정!$D$8)</f>
        <v/>
      </c>
      <c r="S704" s="37">
        <f>IF($R$701="","",IFERROR(IF($R$701="언어와 매체",MATCH(5,회차설정!$G$13:$G$27,0),MATCH(5,회차설정!$F$13:$F$27,0)),""))</f>
        <v/>
      </c>
    </row>
    <row r="705">
      <c r="A705" s="13" t="inlineStr">
        <is>
          <t>점수 (100점 만점)</t>
        </is>
      </c>
      <c r="B705" s="7" t="n"/>
      <c r="C705" s="7" t="n"/>
      <c r="D705" s="7" t="n"/>
      <c r="E705" s="8" t="n"/>
      <c r="F705" s="13" t="inlineStr">
        <is>
          <t>등급</t>
        </is>
      </c>
      <c r="G705" s="7" t="n"/>
      <c r="H705" s="8" t="n"/>
      <c r="I705" s="13" t="inlineStr">
        <is>
          <t>등급컷</t>
        </is>
      </c>
      <c r="J705" s="7" t="n"/>
      <c r="K705" s="7" t="n"/>
      <c r="L705" s="8" t="n"/>
      <c r="M705" s="13" t="inlineStr">
        <is>
          <t>같은 선택과목 평균</t>
        </is>
      </c>
      <c r="N705" s="7" t="n"/>
      <c r="O705" s="7" t="n"/>
      <c r="P705" s="8" t="n"/>
      <c r="R705" s="37">
        <f>IF($R$701="언어와 매체",회차설정!$E$9,회차설정!$E$8)</f>
        <v/>
      </c>
      <c r="S705" s="37">
        <f>IF($R$701="","",IFERROR(IF($R$701="언어와 매체",MATCH(6,회차설정!$G$13:$G$27,0),MATCH(6,회차설정!$F$13:$F$27,0)),""))</f>
        <v/>
      </c>
    </row>
    <row r="706" ht="34" customHeight="1">
      <c r="A706" s="41">
        <f>IF($R$700="","",INDEX(전체채점!$C$3:$C$62,$R$700))</f>
        <v/>
      </c>
      <c r="B706" s="7" t="n"/>
      <c r="C706" s="7" t="n"/>
      <c r="D706" s="7" t="n"/>
      <c r="E706" s="8" t="n"/>
      <c r="F706" s="42">
        <f>IF($R$700="","",INDEX(전체채점!$D$3:$D$62,$R$700))</f>
        <v/>
      </c>
      <c r="G706" s="7" t="n"/>
      <c r="H706" s="8" t="n"/>
      <c r="I706" s="43">
        <f>IF($R$700="","",$R$702&amp;"-"&amp;$R$703&amp;"-"&amp;$R$704&amp;"-"&amp;$R$705)</f>
        <v/>
      </c>
      <c r="J706" s="7" t="n"/>
      <c r="K706" s="7" t="n"/>
      <c r="L706" s="8" t="n"/>
      <c r="M706" s="44">
        <f>IFERROR(AVERAGEIF(전체채점!$B$3:$B$62,$R$701,전체채점!$C$3:$C$62),"")</f>
        <v/>
      </c>
      <c r="N706" s="7" t="n"/>
      <c r="O706" s="7" t="n"/>
      <c r="P706" s="8" t="n"/>
      <c r="S706" s="37">
        <f>IF($R$701="","",IFERROR(IF($R$701="언어와 매체",MATCH(7,회차설정!$G$13:$G$27,0),MATCH(7,회차설정!$F$13:$F$27,0)),""))</f>
        <v/>
      </c>
    </row>
    <row r="707">
      <c r="S707" s="37">
        <f>IF($R$701="","",IFERROR(IF($R$701="언어와 매체",MATCH(8,회차설정!$G$13:$G$27,0),MATCH(8,회차설정!$F$13:$F$27,0)),""))</f>
        <v/>
      </c>
    </row>
    <row r="708">
      <c r="A708" s="12" t="inlineStr">
        <is>
          <t>3. 영역분류별 성취도 분석</t>
        </is>
      </c>
      <c r="F708" s="45">
        <f>IF(OR($R$700="",$E722=""),"",IF($E722=INDEX(전체채점!$C$3:$C$62,$R$700),"","※ 회차설정의 영역 표를 확인하세요 — 영역 합계와 점수가 다릅니다"))</f>
        <v/>
      </c>
      <c r="S708" s="37">
        <f>IF($R$701="","",IFERROR(IF($R$701="언어와 매체",MATCH(9,회차설정!$G$13:$G$27,0),MATCH(9,회차설정!$F$13:$F$27,0)),""))</f>
        <v/>
      </c>
    </row>
    <row r="709">
      <c r="A709" s="13" t="inlineStr">
        <is>
          <t>분류</t>
        </is>
      </c>
      <c r="B709" s="13" t="inlineStr">
        <is>
          <t>영역</t>
        </is>
      </c>
      <c r="C709" s="8" t="n"/>
      <c r="D709" s="13" t="inlineStr">
        <is>
          <t>배점</t>
        </is>
      </c>
      <c r="E709" s="13" t="inlineStr">
        <is>
          <t>득점</t>
        </is>
      </c>
      <c r="F709" s="13" t="inlineStr">
        <is>
          <t>성취도(%)</t>
        </is>
      </c>
      <c r="G709" s="8" t="n"/>
      <c r="H709" s="13" t="inlineStr"/>
      <c r="I709" s="7" t="n"/>
      <c r="J709" s="7" t="n"/>
      <c r="K709" s="7" t="n"/>
      <c r="L709" s="7" t="n"/>
      <c r="M709" s="7" t="n"/>
      <c r="N709" s="7" t="n"/>
      <c r="O709" s="7" t="n"/>
      <c r="P709" s="8" t="n"/>
      <c r="S709" s="37">
        <f>IF($R$701="","",IFERROR(IF($R$701="언어와 매체",MATCH(10,회차설정!$G$13:$G$27,0),MATCH(10,회차설정!$F$13:$F$27,0)),""))</f>
        <v/>
      </c>
    </row>
    <row r="710">
      <c r="A710" s="14">
        <f>IF($S$700="","",INDEX(회차설정!$A$13:$A$27,$S$700))</f>
        <v/>
      </c>
      <c r="B710" s="14">
        <f>IF($S$700="","",INDEX(회차설정!$B$13:$B$27,$S$700))</f>
        <v/>
      </c>
      <c r="C710" s="8" t="n"/>
      <c r="D710" s="14">
        <f>IF($S$700="","",IF($R$701="언어와 매체",SUMPRODUCT((자동계산!$A$4:$A$48&gt;=INDEX(회차설정!$C$13:$C$27,$S$700))*(자동계산!$A$4:$A$48&lt;=INDEX(회차설정!$D$13:$D$27,$S$700))*자동계산!$E$4:$E$48),SUMPRODUCT((자동계산!$A$4:$A$48&gt;=INDEX(회차설정!$C$13:$C$27,$S$700))*(자동계산!$A$4:$A$48&lt;=INDEX(회차설정!$D$13:$D$27,$S$700))*자동계산!$C$4:$C$48)))</f>
        <v/>
      </c>
      <c r="E710" s="14">
        <f>IF(OR($S$700="",$R$700=""),"",SUM(OFFSET(전체채점!$AW$2,$R$700,INDEX(회차설정!$C$13:$C$27,$S$700),1,INDEX(회차설정!$D$13:$D$27,$S$700)-INDEX(회차설정!$C$13:$C$27,$S$700)+1)))</f>
        <v/>
      </c>
      <c r="F710" s="46">
        <f>IF(OR($S$700="",$D710=0,$D710="",$E710=""),"",$E710/$D710*100)</f>
        <v/>
      </c>
      <c r="G710" s="8" t="n"/>
      <c r="H710" s="47">
        <f>IF($F710="","",REPT("■",ROUND($F710/5,0)))</f>
        <v/>
      </c>
      <c r="I710" s="7" t="n"/>
      <c r="J710" s="7" t="n"/>
      <c r="K710" s="7" t="n"/>
      <c r="L710" s="7" t="n"/>
      <c r="M710" s="7" t="n"/>
      <c r="N710" s="7" t="n"/>
      <c r="O710" s="7" t="n"/>
      <c r="P710" s="8" t="n"/>
      <c r="S710" s="37">
        <f>IF($R$701="","",IFERROR(IF($R$701="언어와 매체",MATCH(11,회차설정!$G$13:$G$27,0),MATCH(11,회차설정!$F$13:$F$27,0)),""))</f>
        <v/>
      </c>
    </row>
    <row r="711">
      <c r="A711" s="14">
        <f>IF($S$701="","",INDEX(회차설정!$A$13:$A$27,$S$701))</f>
        <v/>
      </c>
      <c r="B711" s="14">
        <f>IF($S$701="","",INDEX(회차설정!$B$13:$B$27,$S$701))</f>
        <v/>
      </c>
      <c r="C711" s="8" t="n"/>
      <c r="D711" s="14">
        <f>IF($S$701="","",IF($R$701="언어와 매체",SUMPRODUCT((자동계산!$A$4:$A$48&gt;=INDEX(회차설정!$C$13:$C$27,$S$701))*(자동계산!$A$4:$A$48&lt;=INDEX(회차설정!$D$13:$D$27,$S$701))*자동계산!$E$4:$E$48),SUMPRODUCT((자동계산!$A$4:$A$48&gt;=INDEX(회차설정!$C$13:$C$27,$S$701))*(자동계산!$A$4:$A$48&lt;=INDEX(회차설정!$D$13:$D$27,$S$701))*자동계산!$C$4:$C$48)))</f>
        <v/>
      </c>
      <c r="E711" s="14">
        <f>IF(OR($S$701="",$R$700=""),"",SUM(OFFSET(전체채점!$AW$2,$R$700,INDEX(회차설정!$C$13:$C$27,$S$701),1,INDEX(회차설정!$D$13:$D$27,$S$701)-INDEX(회차설정!$C$13:$C$27,$S$701)+1)))</f>
        <v/>
      </c>
      <c r="F711" s="46">
        <f>IF(OR($S$701="",$D711=0,$D711="",$E711=""),"",$E711/$D711*100)</f>
        <v/>
      </c>
      <c r="G711" s="8" t="n"/>
      <c r="H711" s="47">
        <f>IF($F711="","",REPT("■",ROUND($F711/5,0)))</f>
        <v/>
      </c>
      <c r="I711" s="7" t="n"/>
      <c r="J711" s="7" t="n"/>
      <c r="K711" s="7" t="n"/>
      <c r="L711" s="7" t="n"/>
      <c r="M711" s="7" t="n"/>
      <c r="N711" s="7" t="n"/>
      <c r="O711" s="7" t="n"/>
      <c r="P711" s="8" t="n"/>
      <c r="S711" s="37">
        <f>IF($R$701="","",IFERROR(IF($R$701="언어와 매체",MATCH(12,회차설정!$G$13:$G$27,0),MATCH(12,회차설정!$F$13:$F$27,0)),""))</f>
        <v/>
      </c>
    </row>
    <row r="712">
      <c r="A712" s="14">
        <f>IF($S$702="","",INDEX(회차설정!$A$13:$A$27,$S$702))</f>
        <v/>
      </c>
      <c r="B712" s="14">
        <f>IF($S$702="","",INDEX(회차설정!$B$13:$B$27,$S$702))</f>
        <v/>
      </c>
      <c r="C712" s="8" t="n"/>
      <c r="D712" s="14">
        <f>IF($S$702="","",IF($R$701="언어와 매체",SUMPRODUCT((자동계산!$A$4:$A$48&gt;=INDEX(회차설정!$C$13:$C$27,$S$702))*(자동계산!$A$4:$A$48&lt;=INDEX(회차설정!$D$13:$D$27,$S$702))*자동계산!$E$4:$E$48),SUMPRODUCT((자동계산!$A$4:$A$48&gt;=INDEX(회차설정!$C$13:$C$27,$S$702))*(자동계산!$A$4:$A$48&lt;=INDEX(회차설정!$D$13:$D$27,$S$702))*자동계산!$C$4:$C$48)))</f>
        <v/>
      </c>
      <c r="E712" s="14">
        <f>IF(OR($S$702="",$R$700=""),"",SUM(OFFSET(전체채점!$AW$2,$R$700,INDEX(회차설정!$C$13:$C$27,$S$702),1,INDEX(회차설정!$D$13:$D$27,$S$702)-INDEX(회차설정!$C$13:$C$27,$S$702)+1)))</f>
        <v/>
      </c>
      <c r="F712" s="46">
        <f>IF(OR($S$702="",$D712=0,$D712="",$E712=""),"",$E712/$D712*100)</f>
        <v/>
      </c>
      <c r="G712" s="8" t="n"/>
      <c r="H712" s="47">
        <f>IF($F712="","",REPT("■",ROUND($F712/5,0)))</f>
        <v/>
      </c>
      <c r="I712" s="7" t="n"/>
      <c r="J712" s="7" t="n"/>
      <c r="K712" s="7" t="n"/>
      <c r="L712" s="7" t="n"/>
      <c r="M712" s="7" t="n"/>
      <c r="N712" s="7" t="n"/>
      <c r="O712" s="7" t="n"/>
      <c r="P712" s="8" t="n"/>
    </row>
    <row r="713">
      <c r="A713" s="14">
        <f>IF($S$703="","",INDEX(회차설정!$A$13:$A$27,$S$703))</f>
        <v/>
      </c>
      <c r="B713" s="14">
        <f>IF($S$703="","",INDEX(회차설정!$B$13:$B$27,$S$703))</f>
        <v/>
      </c>
      <c r="C713" s="8" t="n"/>
      <c r="D713" s="14">
        <f>IF($S$703="","",IF($R$701="언어와 매체",SUMPRODUCT((자동계산!$A$4:$A$48&gt;=INDEX(회차설정!$C$13:$C$27,$S$703))*(자동계산!$A$4:$A$48&lt;=INDEX(회차설정!$D$13:$D$27,$S$703))*자동계산!$E$4:$E$48),SUMPRODUCT((자동계산!$A$4:$A$48&gt;=INDEX(회차설정!$C$13:$C$27,$S$703))*(자동계산!$A$4:$A$48&lt;=INDEX(회차설정!$D$13:$D$27,$S$703))*자동계산!$C$4:$C$48)))</f>
        <v/>
      </c>
      <c r="E713" s="14">
        <f>IF(OR($S$703="",$R$700=""),"",SUM(OFFSET(전체채점!$AW$2,$R$700,INDEX(회차설정!$C$13:$C$27,$S$703),1,INDEX(회차설정!$D$13:$D$27,$S$703)-INDEX(회차설정!$C$13:$C$27,$S$703)+1)))</f>
        <v/>
      </c>
      <c r="F713" s="46">
        <f>IF(OR($S$703="",$D713=0,$D713="",$E713=""),"",$E713/$D713*100)</f>
        <v/>
      </c>
      <c r="G713" s="8" t="n"/>
      <c r="H713" s="47">
        <f>IF($F713="","",REPT("■",ROUND($F713/5,0)))</f>
        <v/>
      </c>
      <c r="I713" s="7" t="n"/>
      <c r="J713" s="7" t="n"/>
      <c r="K713" s="7" t="n"/>
      <c r="L713" s="7" t="n"/>
      <c r="M713" s="7" t="n"/>
      <c r="N713" s="7" t="n"/>
      <c r="O713" s="7" t="n"/>
      <c r="P713" s="8" t="n"/>
    </row>
    <row r="714">
      <c r="A714" s="14">
        <f>IF($S$704="","",INDEX(회차설정!$A$13:$A$27,$S$704))</f>
        <v/>
      </c>
      <c r="B714" s="14">
        <f>IF($S$704="","",INDEX(회차설정!$B$13:$B$27,$S$704))</f>
        <v/>
      </c>
      <c r="C714" s="8" t="n"/>
      <c r="D714" s="14">
        <f>IF($S$704="","",IF($R$701="언어와 매체",SUMPRODUCT((자동계산!$A$4:$A$48&gt;=INDEX(회차설정!$C$13:$C$27,$S$704))*(자동계산!$A$4:$A$48&lt;=INDEX(회차설정!$D$13:$D$27,$S$704))*자동계산!$E$4:$E$48),SUMPRODUCT((자동계산!$A$4:$A$48&gt;=INDEX(회차설정!$C$13:$C$27,$S$704))*(자동계산!$A$4:$A$48&lt;=INDEX(회차설정!$D$13:$D$27,$S$704))*자동계산!$C$4:$C$48)))</f>
        <v/>
      </c>
      <c r="E714" s="14">
        <f>IF(OR($S$704="",$R$700=""),"",SUM(OFFSET(전체채점!$AW$2,$R$700,INDEX(회차설정!$C$13:$C$27,$S$704),1,INDEX(회차설정!$D$13:$D$27,$S$704)-INDEX(회차설정!$C$13:$C$27,$S$704)+1)))</f>
        <v/>
      </c>
      <c r="F714" s="46">
        <f>IF(OR($S$704="",$D714=0,$D714="",$E714=""),"",$E714/$D714*100)</f>
        <v/>
      </c>
      <c r="G714" s="8" t="n"/>
      <c r="H714" s="47">
        <f>IF($F714="","",REPT("■",ROUND($F714/5,0)))</f>
        <v/>
      </c>
      <c r="I714" s="7" t="n"/>
      <c r="J714" s="7" t="n"/>
      <c r="K714" s="7" t="n"/>
      <c r="L714" s="7" t="n"/>
      <c r="M714" s="7" t="n"/>
      <c r="N714" s="7" t="n"/>
      <c r="O714" s="7" t="n"/>
      <c r="P714" s="8" t="n"/>
    </row>
    <row r="715">
      <c r="A715" s="14">
        <f>IF($S$705="","",INDEX(회차설정!$A$13:$A$27,$S$705))</f>
        <v/>
      </c>
      <c r="B715" s="14">
        <f>IF($S$705="","",INDEX(회차설정!$B$13:$B$27,$S$705))</f>
        <v/>
      </c>
      <c r="C715" s="8" t="n"/>
      <c r="D715" s="14">
        <f>IF($S$705="","",IF($R$701="언어와 매체",SUMPRODUCT((자동계산!$A$4:$A$48&gt;=INDEX(회차설정!$C$13:$C$27,$S$705))*(자동계산!$A$4:$A$48&lt;=INDEX(회차설정!$D$13:$D$27,$S$705))*자동계산!$E$4:$E$48),SUMPRODUCT((자동계산!$A$4:$A$48&gt;=INDEX(회차설정!$C$13:$C$27,$S$705))*(자동계산!$A$4:$A$48&lt;=INDEX(회차설정!$D$13:$D$27,$S$705))*자동계산!$C$4:$C$48)))</f>
        <v/>
      </c>
      <c r="E715" s="14">
        <f>IF(OR($S$705="",$R$700=""),"",SUM(OFFSET(전체채점!$AW$2,$R$700,INDEX(회차설정!$C$13:$C$27,$S$705),1,INDEX(회차설정!$D$13:$D$27,$S$705)-INDEX(회차설정!$C$13:$C$27,$S$705)+1)))</f>
        <v/>
      </c>
      <c r="F715" s="46">
        <f>IF(OR($S$705="",$D715=0,$D715="",$E715=""),"",$E715/$D715*100)</f>
        <v/>
      </c>
      <c r="G715" s="8" t="n"/>
      <c r="H715" s="47">
        <f>IF($F715="","",REPT("■",ROUND($F715/5,0)))</f>
        <v/>
      </c>
      <c r="I715" s="7" t="n"/>
      <c r="J715" s="7" t="n"/>
      <c r="K715" s="7" t="n"/>
      <c r="L715" s="7" t="n"/>
      <c r="M715" s="7" t="n"/>
      <c r="N715" s="7" t="n"/>
      <c r="O715" s="7" t="n"/>
      <c r="P715" s="8" t="n"/>
    </row>
    <row r="716">
      <c r="A716" s="14">
        <f>IF($S$706="","",INDEX(회차설정!$A$13:$A$27,$S$706))</f>
        <v/>
      </c>
      <c r="B716" s="14">
        <f>IF($S$706="","",INDEX(회차설정!$B$13:$B$27,$S$706))</f>
        <v/>
      </c>
      <c r="C716" s="8" t="n"/>
      <c r="D716" s="14">
        <f>IF($S$706="","",IF($R$701="언어와 매체",SUMPRODUCT((자동계산!$A$4:$A$48&gt;=INDEX(회차설정!$C$13:$C$27,$S$706))*(자동계산!$A$4:$A$48&lt;=INDEX(회차설정!$D$13:$D$27,$S$706))*자동계산!$E$4:$E$48),SUMPRODUCT((자동계산!$A$4:$A$48&gt;=INDEX(회차설정!$C$13:$C$27,$S$706))*(자동계산!$A$4:$A$48&lt;=INDEX(회차설정!$D$13:$D$27,$S$706))*자동계산!$C$4:$C$48)))</f>
        <v/>
      </c>
      <c r="E716" s="14">
        <f>IF(OR($S$706="",$R$700=""),"",SUM(OFFSET(전체채점!$AW$2,$R$700,INDEX(회차설정!$C$13:$C$27,$S$706),1,INDEX(회차설정!$D$13:$D$27,$S$706)-INDEX(회차설정!$C$13:$C$27,$S$706)+1)))</f>
        <v/>
      </c>
      <c r="F716" s="46">
        <f>IF(OR($S$706="",$D716=0,$D716="",$E716=""),"",$E716/$D716*100)</f>
        <v/>
      </c>
      <c r="G716" s="8" t="n"/>
      <c r="H716" s="47">
        <f>IF($F716="","",REPT("■",ROUND($F716/5,0)))</f>
        <v/>
      </c>
      <c r="I716" s="7" t="n"/>
      <c r="J716" s="7" t="n"/>
      <c r="K716" s="7" t="n"/>
      <c r="L716" s="7" t="n"/>
      <c r="M716" s="7" t="n"/>
      <c r="N716" s="7" t="n"/>
      <c r="O716" s="7" t="n"/>
      <c r="P716" s="8" t="n"/>
    </row>
    <row r="717">
      <c r="A717" s="14">
        <f>IF($S$707="","",INDEX(회차설정!$A$13:$A$27,$S$707))</f>
        <v/>
      </c>
      <c r="B717" s="14">
        <f>IF($S$707="","",INDEX(회차설정!$B$13:$B$27,$S$707))</f>
        <v/>
      </c>
      <c r="C717" s="8" t="n"/>
      <c r="D717" s="14">
        <f>IF($S$707="","",IF($R$701="언어와 매체",SUMPRODUCT((자동계산!$A$4:$A$48&gt;=INDEX(회차설정!$C$13:$C$27,$S$707))*(자동계산!$A$4:$A$48&lt;=INDEX(회차설정!$D$13:$D$27,$S$707))*자동계산!$E$4:$E$48),SUMPRODUCT((자동계산!$A$4:$A$48&gt;=INDEX(회차설정!$C$13:$C$27,$S$707))*(자동계산!$A$4:$A$48&lt;=INDEX(회차설정!$D$13:$D$27,$S$707))*자동계산!$C$4:$C$48)))</f>
        <v/>
      </c>
      <c r="E717" s="14">
        <f>IF(OR($S$707="",$R$700=""),"",SUM(OFFSET(전체채점!$AW$2,$R$700,INDEX(회차설정!$C$13:$C$27,$S$707),1,INDEX(회차설정!$D$13:$D$27,$S$707)-INDEX(회차설정!$C$13:$C$27,$S$707)+1)))</f>
        <v/>
      </c>
      <c r="F717" s="46">
        <f>IF(OR($S$707="",$D717=0,$D717="",$E717=""),"",$E717/$D717*100)</f>
        <v/>
      </c>
      <c r="G717" s="8" t="n"/>
      <c r="H717" s="47">
        <f>IF($F717="","",REPT("■",ROUND($F717/5,0)))</f>
        <v/>
      </c>
      <c r="I717" s="7" t="n"/>
      <c r="J717" s="7" t="n"/>
      <c r="K717" s="7" t="n"/>
      <c r="L717" s="7" t="n"/>
      <c r="M717" s="7" t="n"/>
      <c r="N717" s="7" t="n"/>
      <c r="O717" s="7" t="n"/>
      <c r="P717" s="8" t="n"/>
    </row>
    <row r="718">
      <c r="A718" s="14">
        <f>IF($S$708="","",INDEX(회차설정!$A$13:$A$27,$S$708))</f>
        <v/>
      </c>
      <c r="B718" s="14">
        <f>IF($S$708="","",INDEX(회차설정!$B$13:$B$27,$S$708))</f>
        <v/>
      </c>
      <c r="C718" s="8" t="n"/>
      <c r="D718" s="14">
        <f>IF($S$708="","",IF($R$701="언어와 매체",SUMPRODUCT((자동계산!$A$4:$A$48&gt;=INDEX(회차설정!$C$13:$C$27,$S$708))*(자동계산!$A$4:$A$48&lt;=INDEX(회차설정!$D$13:$D$27,$S$708))*자동계산!$E$4:$E$48),SUMPRODUCT((자동계산!$A$4:$A$48&gt;=INDEX(회차설정!$C$13:$C$27,$S$708))*(자동계산!$A$4:$A$48&lt;=INDEX(회차설정!$D$13:$D$27,$S$708))*자동계산!$C$4:$C$48)))</f>
        <v/>
      </c>
      <c r="E718" s="14">
        <f>IF(OR($S$708="",$R$700=""),"",SUM(OFFSET(전체채점!$AW$2,$R$700,INDEX(회차설정!$C$13:$C$27,$S$708),1,INDEX(회차설정!$D$13:$D$27,$S$708)-INDEX(회차설정!$C$13:$C$27,$S$708)+1)))</f>
        <v/>
      </c>
      <c r="F718" s="46">
        <f>IF(OR($S$708="",$D718=0,$D718="",$E718=""),"",$E718/$D718*100)</f>
        <v/>
      </c>
      <c r="G718" s="8" t="n"/>
      <c r="H718" s="47">
        <f>IF($F718="","",REPT("■",ROUND($F718/5,0)))</f>
        <v/>
      </c>
      <c r="I718" s="7" t="n"/>
      <c r="J718" s="7" t="n"/>
      <c r="K718" s="7" t="n"/>
      <c r="L718" s="7" t="n"/>
      <c r="M718" s="7" t="n"/>
      <c r="N718" s="7" t="n"/>
      <c r="O718" s="7" t="n"/>
      <c r="P718" s="8" t="n"/>
    </row>
    <row r="719">
      <c r="A719" s="14">
        <f>IF($S$709="","",INDEX(회차설정!$A$13:$A$27,$S$709))</f>
        <v/>
      </c>
      <c r="B719" s="14">
        <f>IF($S$709="","",INDEX(회차설정!$B$13:$B$27,$S$709))</f>
        <v/>
      </c>
      <c r="C719" s="8" t="n"/>
      <c r="D719" s="14">
        <f>IF($S$709="","",IF($R$701="언어와 매체",SUMPRODUCT((자동계산!$A$4:$A$48&gt;=INDEX(회차설정!$C$13:$C$27,$S$709))*(자동계산!$A$4:$A$48&lt;=INDEX(회차설정!$D$13:$D$27,$S$709))*자동계산!$E$4:$E$48),SUMPRODUCT((자동계산!$A$4:$A$48&gt;=INDEX(회차설정!$C$13:$C$27,$S$709))*(자동계산!$A$4:$A$48&lt;=INDEX(회차설정!$D$13:$D$27,$S$709))*자동계산!$C$4:$C$48)))</f>
        <v/>
      </c>
      <c r="E719" s="14">
        <f>IF(OR($S$709="",$R$700=""),"",SUM(OFFSET(전체채점!$AW$2,$R$700,INDEX(회차설정!$C$13:$C$27,$S$709),1,INDEX(회차설정!$D$13:$D$27,$S$709)-INDEX(회차설정!$C$13:$C$27,$S$709)+1)))</f>
        <v/>
      </c>
      <c r="F719" s="46">
        <f>IF(OR($S$709="",$D719=0,$D719="",$E719=""),"",$E719/$D719*100)</f>
        <v/>
      </c>
      <c r="G719" s="8" t="n"/>
      <c r="H719" s="47">
        <f>IF($F719="","",REPT("■",ROUND($F719/5,0)))</f>
        <v/>
      </c>
      <c r="I719" s="7" t="n"/>
      <c r="J719" s="7" t="n"/>
      <c r="K719" s="7" t="n"/>
      <c r="L719" s="7" t="n"/>
      <c r="M719" s="7" t="n"/>
      <c r="N719" s="7" t="n"/>
      <c r="O719" s="7" t="n"/>
      <c r="P719" s="8" t="n"/>
    </row>
    <row r="720">
      <c r="A720" s="14">
        <f>IF($S$710="","",INDEX(회차설정!$A$13:$A$27,$S$710))</f>
        <v/>
      </c>
      <c r="B720" s="14">
        <f>IF($S$710="","",INDEX(회차설정!$B$13:$B$27,$S$710))</f>
        <v/>
      </c>
      <c r="C720" s="8" t="n"/>
      <c r="D720" s="14">
        <f>IF($S$710="","",IF($R$701="언어와 매체",SUMPRODUCT((자동계산!$A$4:$A$48&gt;=INDEX(회차설정!$C$13:$C$27,$S$710))*(자동계산!$A$4:$A$48&lt;=INDEX(회차설정!$D$13:$D$27,$S$710))*자동계산!$E$4:$E$48),SUMPRODUCT((자동계산!$A$4:$A$48&gt;=INDEX(회차설정!$C$13:$C$27,$S$710))*(자동계산!$A$4:$A$48&lt;=INDEX(회차설정!$D$13:$D$27,$S$710))*자동계산!$C$4:$C$48)))</f>
        <v/>
      </c>
      <c r="E720" s="14">
        <f>IF(OR($S$710="",$R$700=""),"",SUM(OFFSET(전체채점!$AW$2,$R$700,INDEX(회차설정!$C$13:$C$27,$S$710),1,INDEX(회차설정!$D$13:$D$27,$S$710)-INDEX(회차설정!$C$13:$C$27,$S$710)+1)))</f>
        <v/>
      </c>
      <c r="F720" s="46">
        <f>IF(OR($S$710="",$D720=0,$D720="",$E720=""),"",$E720/$D720*100)</f>
        <v/>
      </c>
      <c r="G720" s="8" t="n"/>
      <c r="H720" s="47">
        <f>IF($F720="","",REPT("■",ROUND($F720/5,0)))</f>
        <v/>
      </c>
      <c r="I720" s="7" t="n"/>
      <c r="J720" s="7" t="n"/>
      <c r="K720" s="7" t="n"/>
      <c r="L720" s="7" t="n"/>
      <c r="M720" s="7" t="n"/>
      <c r="N720" s="7" t="n"/>
      <c r="O720" s="7" t="n"/>
      <c r="P720" s="8" t="n"/>
    </row>
    <row r="721">
      <c r="A721" s="14">
        <f>IF($S$711="","",INDEX(회차설정!$A$13:$A$27,$S$711))</f>
        <v/>
      </c>
      <c r="B721" s="14">
        <f>IF($S$711="","",INDEX(회차설정!$B$13:$B$27,$S$711))</f>
        <v/>
      </c>
      <c r="C721" s="8" t="n"/>
      <c r="D721" s="14">
        <f>IF($S$711="","",IF($R$701="언어와 매체",SUMPRODUCT((자동계산!$A$4:$A$48&gt;=INDEX(회차설정!$C$13:$C$27,$S$711))*(자동계산!$A$4:$A$48&lt;=INDEX(회차설정!$D$13:$D$27,$S$711))*자동계산!$E$4:$E$48),SUMPRODUCT((자동계산!$A$4:$A$48&gt;=INDEX(회차설정!$C$13:$C$27,$S$711))*(자동계산!$A$4:$A$48&lt;=INDEX(회차설정!$D$13:$D$27,$S$711))*자동계산!$C$4:$C$48)))</f>
        <v/>
      </c>
      <c r="E721" s="14">
        <f>IF(OR($S$711="",$R$700=""),"",SUM(OFFSET(전체채점!$AW$2,$R$700,INDEX(회차설정!$C$13:$C$27,$S$711),1,INDEX(회차설정!$D$13:$D$27,$S$711)-INDEX(회차설정!$C$13:$C$27,$S$711)+1)))</f>
        <v/>
      </c>
      <c r="F721" s="46">
        <f>IF(OR($S$711="",$D721=0,$D721="",$E721=""),"",$E721/$D721*100)</f>
        <v/>
      </c>
      <c r="G721" s="8" t="n"/>
      <c r="H721" s="47">
        <f>IF($F721="","",REPT("■",ROUND($F721/5,0)))</f>
        <v/>
      </c>
      <c r="I721" s="7" t="n"/>
      <c r="J721" s="7" t="n"/>
      <c r="K721" s="7" t="n"/>
      <c r="L721" s="7" t="n"/>
      <c r="M721" s="7" t="n"/>
      <c r="N721" s="7" t="n"/>
      <c r="O721" s="7" t="n"/>
      <c r="P721" s="8" t="n"/>
    </row>
    <row r="722">
      <c r="A722" s="5">
        <f>IF($R$700="","","합계")</f>
        <v/>
      </c>
      <c r="B722" s="7" t="n"/>
      <c r="C722" s="8" t="n"/>
      <c r="D722" s="5">
        <f>IF($R$700="","",SUM(D710:D721))</f>
        <v/>
      </c>
      <c r="E722" s="5">
        <f>IF($R$700="","",SUM(E710:E721))</f>
        <v/>
      </c>
      <c r="F722" s="48">
        <f>IF(OR($D722=0,$D722=""),"",$E722/$D722*100)</f>
        <v/>
      </c>
      <c r="G722" s="8" t="n"/>
      <c r="H722" s="49">
        <f>IF($F722="","",REPT("■",ROUND($F722/5,0)))</f>
        <v/>
      </c>
      <c r="I722" s="7" t="n"/>
      <c r="J722" s="7" t="n"/>
      <c r="K722" s="7" t="n"/>
      <c r="L722" s="7" t="n"/>
      <c r="M722" s="7" t="n"/>
      <c r="N722" s="7" t="n"/>
      <c r="O722" s="7" t="n"/>
      <c r="P722" s="8" t="n"/>
    </row>
    <row r="724">
      <c r="A724" s="12" t="inlineStr">
        <is>
          <t>4. 문항 채점표</t>
        </is>
      </c>
    </row>
    <row r="725">
      <c r="A725" s="50" t="inlineStr">
        <is>
          <t>문항 번호</t>
        </is>
      </c>
      <c r="B725" s="51" t="n">
        <v>1</v>
      </c>
      <c r="C725" s="51" t="n">
        <v>2</v>
      </c>
      <c r="D725" s="51" t="n">
        <v>3</v>
      </c>
      <c r="E725" s="51" t="n">
        <v>4</v>
      </c>
      <c r="F725" s="51" t="n">
        <v>5</v>
      </c>
      <c r="G725" s="51" t="n">
        <v>6</v>
      </c>
      <c r="H725" s="51" t="n">
        <v>7</v>
      </c>
      <c r="I725" s="51" t="n">
        <v>8</v>
      </c>
      <c r="J725" s="51" t="n">
        <v>9</v>
      </c>
      <c r="K725" s="51" t="n">
        <v>10</v>
      </c>
      <c r="L725" s="51" t="n">
        <v>11</v>
      </c>
      <c r="M725" s="51" t="n">
        <v>12</v>
      </c>
      <c r="N725" s="51" t="n">
        <v>13</v>
      </c>
      <c r="O725" s="51" t="n">
        <v>14</v>
      </c>
      <c r="P725" s="51" t="n">
        <v>15</v>
      </c>
    </row>
    <row r="726">
      <c r="A726" s="52" t="inlineStr">
        <is>
          <t>정답</t>
        </is>
      </c>
      <c r="B726" s="33">
        <f>IF($R$701="","",IF($R$701="언어와 매체",자동계산!$D$4,자동계산!$B$4))</f>
        <v/>
      </c>
      <c r="C726" s="33">
        <f>IF($R$701="","",IF($R$701="언어와 매체",자동계산!$D$5,자동계산!$B$5))</f>
        <v/>
      </c>
      <c r="D726" s="33">
        <f>IF($R$701="","",IF($R$701="언어와 매체",자동계산!$D$6,자동계산!$B$6))</f>
        <v/>
      </c>
      <c r="E726" s="33">
        <f>IF($R$701="","",IF($R$701="언어와 매체",자동계산!$D$7,자동계산!$B$7))</f>
        <v/>
      </c>
      <c r="F726" s="33">
        <f>IF($R$701="","",IF($R$701="언어와 매체",자동계산!$D$8,자동계산!$B$8))</f>
        <v/>
      </c>
      <c r="G726" s="33">
        <f>IF($R$701="","",IF($R$701="언어와 매체",자동계산!$D$9,자동계산!$B$9))</f>
        <v/>
      </c>
      <c r="H726" s="33">
        <f>IF($R$701="","",IF($R$701="언어와 매체",자동계산!$D$10,자동계산!$B$10))</f>
        <v/>
      </c>
      <c r="I726" s="33">
        <f>IF($R$701="","",IF($R$701="언어와 매체",자동계산!$D$11,자동계산!$B$11))</f>
        <v/>
      </c>
      <c r="J726" s="33">
        <f>IF($R$701="","",IF($R$701="언어와 매체",자동계산!$D$12,자동계산!$B$12))</f>
        <v/>
      </c>
      <c r="K726" s="33">
        <f>IF($R$701="","",IF($R$701="언어와 매체",자동계산!$D$13,자동계산!$B$13))</f>
        <v/>
      </c>
      <c r="L726" s="33">
        <f>IF($R$701="","",IF($R$701="언어와 매체",자동계산!$D$14,자동계산!$B$14))</f>
        <v/>
      </c>
      <c r="M726" s="33">
        <f>IF($R$701="","",IF($R$701="언어와 매체",자동계산!$D$15,자동계산!$B$15))</f>
        <v/>
      </c>
      <c r="N726" s="33">
        <f>IF($R$701="","",IF($R$701="언어와 매체",자동계산!$D$16,자동계산!$B$16))</f>
        <v/>
      </c>
      <c r="O726" s="33">
        <f>IF($R$701="","",IF($R$701="언어와 매체",자동계산!$D$17,자동계산!$B$17))</f>
        <v/>
      </c>
      <c r="P726" s="33">
        <f>IF($R$701="","",IF($R$701="언어와 매체",자동계산!$D$18,자동계산!$B$18))</f>
        <v/>
      </c>
    </row>
    <row r="727">
      <c r="A727" s="52" t="inlineStr">
        <is>
          <t>학생답안</t>
        </is>
      </c>
      <c r="B727" s="33">
        <f>IF($R$700="","",INDEX(전체채점!E$3:E$62,$R$700))</f>
        <v/>
      </c>
      <c r="C727" s="33">
        <f>IF($R$700="","",INDEX(전체채점!F$3:F$62,$R$700))</f>
        <v/>
      </c>
      <c r="D727" s="33">
        <f>IF($R$700="","",INDEX(전체채점!G$3:G$62,$R$700))</f>
        <v/>
      </c>
      <c r="E727" s="33">
        <f>IF($R$700="","",INDEX(전체채점!H$3:H$62,$R$700))</f>
        <v/>
      </c>
      <c r="F727" s="33">
        <f>IF($R$700="","",INDEX(전체채점!I$3:I$62,$R$700))</f>
        <v/>
      </c>
      <c r="G727" s="33">
        <f>IF($R$700="","",INDEX(전체채점!J$3:J$62,$R$700))</f>
        <v/>
      </c>
      <c r="H727" s="33">
        <f>IF($R$700="","",INDEX(전체채점!K$3:K$62,$R$700))</f>
        <v/>
      </c>
      <c r="I727" s="33">
        <f>IF($R$700="","",INDEX(전체채점!L$3:L$62,$R$700))</f>
        <v/>
      </c>
      <c r="J727" s="33">
        <f>IF($R$700="","",INDEX(전체채점!M$3:M$62,$R$700))</f>
        <v/>
      </c>
      <c r="K727" s="33">
        <f>IF($R$700="","",INDEX(전체채점!N$3:N$62,$R$700))</f>
        <v/>
      </c>
      <c r="L727" s="33">
        <f>IF($R$700="","",INDEX(전체채점!O$3:O$62,$R$700))</f>
        <v/>
      </c>
      <c r="M727" s="33">
        <f>IF($R$700="","",INDEX(전체채점!P$3:P$62,$R$700))</f>
        <v/>
      </c>
      <c r="N727" s="33">
        <f>IF($R$700="","",INDEX(전체채점!Q$3:Q$62,$R$700))</f>
        <v/>
      </c>
      <c r="O727" s="33">
        <f>IF($R$700="","",INDEX(전체채점!R$3:R$62,$R$700))</f>
        <v/>
      </c>
      <c r="P727" s="33">
        <f>IF($R$700="","",INDEX(전체채점!S$3:S$62,$R$700))</f>
        <v/>
      </c>
    </row>
    <row r="728">
      <c r="A728" s="52" t="inlineStr">
        <is>
          <t>정오</t>
        </is>
      </c>
      <c r="B728" s="33">
        <f>IF($R$700="","",INDEX(전체채점!AX$3:AX$62,$R$700))</f>
        <v/>
      </c>
      <c r="C728" s="33">
        <f>IF($R$700="","",INDEX(전체채점!AY$3:AY$62,$R$700))</f>
        <v/>
      </c>
      <c r="D728" s="33">
        <f>IF($R$700="","",INDEX(전체채점!AZ$3:AZ$62,$R$700))</f>
        <v/>
      </c>
      <c r="E728" s="33">
        <f>IF($R$700="","",INDEX(전체채점!BA$3:BA$62,$R$700))</f>
        <v/>
      </c>
      <c r="F728" s="33">
        <f>IF($R$700="","",INDEX(전체채점!BB$3:BB$62,$R$700))</f>
        <v/>
      </c>
      <c r="G728" s="33">
        <f>IF($R$700="","",INDEX(전체채점!BC$3:BC$62,$R$700))</f>
        <v/>
      </c>
      <c r="H728" s="33">
        <f>IF($R$700="","",INDEX(전체채점!BD$3:BD$62,$R$700))</f>
        <v/>
      </c>
      <c r="I728" s="33">
        <f>IF($R$700="","",INDEX(전체채점!BE$3:BE$62,$R$700))</f>
        <v/>
      </c>
      <c r="J728" s="33">
        <f>IF($R$700="","",INDEX(전체채점!BF$3:BF$62,$R$700))</f>
        <v/>
      </c>
      <c r="K728" s="33">
        <f>IF($R$700="","",INDEX(전체채점!BG$3:BG$62,$R$700))</f>
        <v/>
      </c>
      <c r="L728" s="33">
        <f>IF($R$700="","",INDEX(전체채점!BH$3:BH$62,$R$700))</f>
        <v/>
      </c>
      <c r="M728" s="33">
        <f>IF($R$700="","",INDEX(전체채점!BI$3:BI$62,$R$700))</f>
        <v/>
      </c>
      <c r="N728" s="33">
        <f>IF($R$700="","",INDEX(전체채점!BJ$3:BJ$62,$R$700))</f>
        <v/>
      </c>
      <c r="O728" s="33">
        <f>IF($R$700="","",INDEX(전체채점!BK$3:BK$62,$R$700))</f>
        <v/>
      </c>
      <c r="P728" s="33">
        <f>IF($R$700="","",INDEX(전체채점!BL$3:BL$62,$R$700))</f>
        <v/>
      </c>
    </row>
    <row r="729">
      <c r="A729" s="50" t="inlineStr">
        <is>
          <t>문항 번호</t>
        </is>
      </c>
      <c r="B729" s="51" t="n">
        <v>16</v>
      </c>
      <c r="C729" s="51" t="n">
        <v>17</v>
      </c>
      <c r="D729" s="51" t="n">
        <v>18</v>
      </c>
      <c r="E729" s="51" t="n">
        <v>19</v>
      </c>
      <c r="F729" s="51" t="n">
        <v>20</v>
      </c>
      <c r="G729" s="51" t="n">
        <v>21</v>
      </c>
      <c r="H729" s="51" t="n">
        <v>22</v>
      </c>
      <c r="I729" s="51" t="n">
        <v>23</v>
      </c>
      <c r="J729" s="51" t="n">
        <v>24</v>
      </c>
      <c r="K729" s="51" t="n">
        <v>25</v>
      </c>
      <c r="L729" s="51" t="n">
        <v>26</v>
      </c>
      <c r="M729" s="51" t="n">
        <v>27</v>
      </c>
      <c r="N729" s="51" t="n">
        <v>28</v>
      </c>
      <c r="O729" s="51" t="n">
        <v>29</v>
      </c>
      <c r="P729" s="51" t="n">
        <v>30</v>
      </c>
    </row>
    <row r="730">
      <c r="A730" s="52" t="inlineStr">
        <is>
          <t>정답</t>
        </is>
      </c>
      <c r="B730" s="33">
        <f>IF($R$701="","",IF($R$701="언어와 매체",자동계산!$D$19,자동계산!$B$19))</f>
        <v/>
      </c>
      <c r="C730" s="33">
        <f>IF($R$701="","",IF($R$701="언어와 매체",자동계산!$D$20,자동계산!$B$20))</f>
        <v/>
      </c>
      <c r="D730" s="33">
        <f>IF($R$701="","",IF($R$701="언어와 매체",자동계산!$D$21,자동계산!$B$21))</f>
        <v/>
      </c>
      <c r="E730" s="33">
        <f>IF($R$701="","",IF($R$701="언어와 매체",자동계산!$D$22,자동계산!$B$22))</f>
        <v/>
      </c>
      <c r="F730" s="33">
        <f>IF($R$701="","",IF($R$701="언어와 매체",자동계산!$D$23,자동계산!$B$23))</f>
        <v/>
      </c>
      <c r="G730" s="33">
        <f>IF($R$701="","",IF($R$701="언어와 매체",자동계산!$D$24,자동계산!$B$24))</f>
        <v/>
      </c>
      <c r="H730" s="33">
        <f>IF($R$701="","",IF($R$701="언어와 매체",자동계산!$D$25,자동계산!$B$25))</f>
        <v/>
      </c>
      <c r="I730" s="33">
        <f>IF($R$701="","",IF($R$701="언어와 매체",자동계산!$D$26,자동계산!$B$26))</f>
        <v/>
      </c>
      <c r="J730" s="33">
        <f>IF($R$701="","",IF($R$701="언어와 매체",자동계산!$D$27,자동계산!$B$27))</f>
        <v/>
      </c>
      <c r="K730" s="33">
        <f>IF($R$701="","",IF($R$701="언어와 매체",자동계산!$D$28,자동계산!$B$28))</f>
        <v/>
      </c>
      <c r="L730" s="33">
        <f>IF($R$701="","",IF($R$701="언어와 매체",자동계산!$D$29,자동계산!$B$29))</f>
        <v/>
      </c>
      <c r="M730" s="33">
        <f>IF($R$701="","",IF($R$701="언어와 매체",자동계산!$D$30,자동계산!$B$30))</f>
        <v/>
      </c>
      <c r="N730" s="33">
        <f>IF($R$701="","",IF($R$701="언어와 매체",자동계산!$D$31,자동계산!$B$31))</f>
        <v/>
      </c>
      <c r="O730" s="33">
        <f>IF($R$701="","",IF($R$701="언어와 매체",자동계산!$D$32,자동계산!$B$32))</f>
        <v/>
      </c>
      <c r="P730" s="33">
        <f>IF($R$701="","",IF($R$701="언어와 매체",자동계산!$D$33,자동계산!$B$33))</f>
        <v/>
      </c>
    </row>
    <row r="731">
      <c r="A731" s="52" t="inlineStr">
        <is>
          <t>학생답안</t>
        </is>
      </c>
      <c r="B731" s="33">
        <f>IF($R$700="","",INDEX(전체채점!T$3:T$62,$R$700))</f>
        <v/>
      </c>
      <c r="C731" s="33">
        <f>IF($R$700="","",INDEX(전체채점!U$3:U$62,$R$700))</f>
        <v/>
      </c>
      <c r="D731" s="33">
        <f>IF($R$700="","",INDEX(전체채점!V$3:V$62,$R$700))</f>
        <v/>
      </c>
      <c r="E731" s="33">
        <f>IF($R$700="","",INDEX(전체채점!W$3:W$62,$R$700))</f>
        <v/>
      </c>
      <c r="F731" s="33">
        <f>IF($R$700="","",INDEX(전체채점!X$3:X$62,$R$700))</f>
        <v/>
      </c>
      <c r="G731" s="33">
        <f>IF($R$700="","",INDEX(전체채점!Y$3:Y$62,$R$700))</f>
        <v/>
      </c>
      <c r="H731" s="33">
        <f>IF($R$700="","",INDEX(전체채점!Z$3:Z$62,$R$700))</f>
        <v/>
      </c>
      <c r="I731" s="33">
        <f>IF($R$700="","",INDEX(전체채점!AA$3:AA$62,$R$700))</f>
        <v/>
      </c>
      <c r="J731" s="33">
        <f>IF($R$700="","",INDEX(전체채점!AB$3:AB$62,$R$700))</f>
        <v/>
      </c>
      <c r="K731" s="33">
        <f>IF($R$700="","",INDEX(전체채점!AC$3:AC$62,$R$700))</f>
        <v/>
      </c>
      <c r="L731" s="33">
        <f>IF($R$700="","",INDEX(전체채점!AD$3:AD$62,$R$700))</f>
        <v/>
      </c>
      <c r="M731" s="33">
        <f>IF($R$700="","",INDEX(전체채점!AE$3:AE$62,$R$700))</f>
        <v/>
      </c>
      <c r="N731" s="33">
        <f>IF($R$700="","",INDEX(전체채점!AF$3:AF$62,$R$700))</f>
        <v/>
      </c>
      <c r="O731" s="33">
        <f>IF($R$700="","",INDEX(전체채점!AG$3:AG$62,$R$700))</f>
        <v/>
      </c>
      <c r="P731" s="33">
        <f>IF($R$700="","",INDEX(전체채점!AH$3:AH$62,$R$700))</f>
        <v/>
      </c>
    </row>
    <row r="732">
      <c r="A732" s="52" t="inlineStr">
        <is>
          <t>정오</t>
        </is>
      </c>
      <c r="B732" s="33">
        <f>IF($R$700="","",INDEX(전체채점!BM$3:BM$62,$R$700))</f>
        <v/>
      </c>
      <c r="C732" s="33">
        <f>IF($R$700="","",INDEX(전체채점!BN$3:BN$62,$R$700))</f>
        <v/>
      </c>
      <c r="D732" s="33">
        <f>IF($R$700="","",INDEX(전체채점!BO$3:BO$62,$R$700))</f>
        <v/>
      </c>
      <c r="E732" s="33">
        <f>IF($R$700="","",INDEX(전체채점!BP$3:BP$62,$R$700))</f>
        <v/>
      </c>
      <c r="F732" s="33">
        <f>IF($R$700="","",INDEX(전체채점!BQ$3:BQ$62,$R$700))</f>
        <v/>
      </c>
      <c r="G732" s="33">
        <f>IF($R$700="","",INDEX(전체채점!BR$3:BR$62,$R$700))</f>
        <v/>
      </c>
      <c r="H732" s="33">
        <f>IF($R$700="","",INDEX(전체채점!BS$3:BS$62,$R$700))</f>
        <v/>
      </c>
      <c r="I732" s="33">
        <f>IF($R$700="","",INDEX(전체채점!BT$3:BT$62,$R$700))</f>
        <v/>
      </c>
      <c r="J732" s="33">
        <f>IF($R$700="","",INDEX(전체채점!BU$3:BU$62,$R$700))</f>
        <v/>
      </c>
      <c r="K732" s="33">
        <f>IF($R$700="","",INDEX(전체채점!BV$3:BV$62,$R$700))</f>
        <v/>
      </c>
      <c r="L732" s="33">
        <f>IF($R$700="","",INDEX(전체채점!BW$3:BW$62,$R$700))</f>
        <v/>
      </c>
      <c r="M732" s="33">
        <f>IF($R$700="","",INDEX(전체채점!BX$3:BX$62,$R$700))</f>
        <v/>
      </c>
      <c r="N732" s="33">
        <f>IF($R$700="","",INDEX(전체채점!BY$3:BY$62,$R$700))</f>
        <v/>
      </c>
      <c r="O732" s="33">
        <f>IF($R$700="","",INDEX(전체채점!BZ$3:BZ$62,$R$700))</f>
        <v/>
      </c>
      <c r="P732" s="33">
        <f>IF($R$700="","",INDEX(전체채점!CA$3:CA$62,$R$700))</f>
        <v/>
      </c>
    </row>
    <row r="733">
      <c r="A733" s="50" t="inlineStr">
        <is>
          <t>문항 번호</t>
        </is>
      </c>
      <c r="B733" s="51" t="n">
        <v>31</v>
      </c>
      <c r="C733" s="51" t="n">
        <v>32</v>
      </c>
      <c r="D733" s="51" t="n">
        <v>33</v>
      </c>
      <c r="E733" s="51" t="n">
        <v>34</v>
      </c>
      <c r="F733" s="51" t="n">
        <v>35</v>
      </c>
      <c r="G733" s="51" t="n">
        <v>36</v>
      </c>
      <c r="H733" s="51" t="n">
        <v>37</v>
      </c>
      <c r="I733" s="51" t="n">
        <v>38</v>
      </c>
      <c r="J733" s="51" t="n">
        <v>39</v>
      </c>
      <c r="K733" s="51" t="n">
        <v>40</v>
      </c>
      <c r="L733" s="51" t="n">
        <v>41</v>
      </c>
      <c r="M733" s="51" t="n">
        <v>42</v>
      </c>
      <c r="N733" s="51" t="n">
        <v>43</v>
      </c>
      <c r="O733" s="51" t="n">
        <v>44</v>
      </c>
      <c r="P733" s="51" t="n">
        <v>45</v>
      </c>
    </row>
    <row r="734">
      <c r="A734" s="52" t="inlineStr">
        <is>
          <t>정답</t>
        </is>
      </c>
      <c r="B734" s="33">
        <f>IF($R$701="","",IF($R$701="언어와 매체",자동계산!$D$34,자동계산!$B$34))</f>
        <v/>
      </c>
      <c r="C734" s="33">
        <f>IF($R$701="","",IF($R$701="언어와 매체",자동계산!$D$35,자동계산!$B$35))</f>
        <v/>
      </c>
      <c r="D734" s="33">
        <f>IF($R$701="","",IF($R$701="언어와 매체",자동계산!$D$36,자동계산!$B$36))</f>
        <v/>
      </c>
      <c r="E734" s="33">
        <f>IF($R$701="","",IF($R$701="언어와 매체",자동계산!$D$37,자동계산!$B$37))</f>
        <v/>
      </c>
      <c r="F734" s="33">
        <f>IF($R$701="","",IF($R$701="언어와 매체",자동계산!$D$38,자동계산!$B$38))</f>
        <v/>
      </c>
      <c r="G734" s="33">
        <f>IF($R$701="","",IF($R$701="언어와 매체",자동계산!$D$39,자동계산!$B$39))</f>
        <v/>
      </c>
      <c r="H734" s="33">
        <f>IF($R$701="","",IF($R$701="언어와 매체",자동계산!$D$40,자동계산!$B$40))</f>
        <v/>
      </c>
      <c r="I734" s="33">
        <f>IF($R$701="","",IF($R$701="언어와 매체",자동계산!$D$41,자동계산!$B$41))</f>
        <v/>
      </c>
      <c r="J734" s="33">
        <f>IF($R$701="","",IF($R$701="언어와 매체",자동계산!$D$42,자동계산!$B$42))</f>
        <v/>
      </c>
      <c r="K734" s="33">
        <f>IF($R$701="","",IF($R$701="언어와 매체",자동계산!$D$43,자동계산!$B$43))</f>
        <v/>
      </c>
      <c r="L734" s="33">
        <f>IF($R$701="","",IF($R$701="언어와 매체",자동계산!$D$44,자동계산!$B$44))</f>
        <v/>
      </c>
      <c r="M734" s="33">
        <f>IF($R$701="","",IF($R$701="언어와 매체",자동계산!$D$45,자동계산!$B$45))</f>
        <v/>
      </c>
      <c r="N734" s="33">
        <f>IF($R$701="","",IF($R$701="언어와 매체",자동계산!$D$46,자동계산!$B$46))</f>
        <v/>
      </c>
      <c r="O734" s="33">
        <f>IF($R$701="","",IF($R$701="언어와 매체",자동계산!$D$47,자동계산!$B$47))</f>
        <v/>
      </c>
      <c r="P734" s="33">
        <f>IF($R$701="","",IF($R$701="언어와 매체",자동계산!$D$48,자동계산!$B$48))</f>
        <v/>
      </c>
    </row>
    <row r="735">
      <c r="A735" s="52" t="inlineStr">
        <is>
          <t>학생답안</t>
        </is>
      </c>
      <c r="B735" s="33">
        <f>IF($R$700="","",INDEX(전체채점!AI$3:AI$62,$R$700))</f>
        <v/>
      </c>
      <c r="C735" s="33">
        <f>IF($R$700="","",INDEX(전체채점!AJ$3:AJ$62,$R$700))</f>
        <v/>
      </c>
      <c r="D735" s="33">
        <f>IF($R$700="","",INDEX(전체채점!AK$3:AK$62,$R$700))</f>
        <v/>
      </c>
      <c r="E735" s="33">
        <f>IF($R$700="","",INDEX(전체채점!AL$3:AL$62,$R$700))</f>
        <v/>
      </c>
      <c r="F735" s="33">
        <f>IF($R$700="","",INDEX(전체채점!AM$3:AM$62,$R$700))</f>
        <v/>
      </c>
      <c r="G735" s="33">
        <f>IF($R$700="","",INDEX(전체채점!AN$3:AN$62,$R$700))</f>
        <v/>
      </c>
      <c r="H735" s="33">
        <f>IF($R$700="","",INDEX(전체채점!AO$3:AO$62,$R$700))</f>
        <v/>
      </c>
      <c r="I735" s="33">
        <f>IF($R$700="","",INDEX(전체채점!AP$3:AP$62,$R$700))</f>
        <v/>
      </c>
      <c r="J735" s="33">
        <f>IF($R$700="","",INDEX(전체채점!AQ$3:AQ$62,$R$700))</f>
        <v/>
      </c>
      <c r="K735" s="33">
        <f>IF($R$700="","",INDEX(전체채점!AR$3:AR$62,$R$700))</f>
        <v/>
      </c>
      <c r="L735" s="33">
        <f>IF($R$700="","",INDEX(전체채점!AS$3:AS$62,$R$700))</f>
        <v/>
      </c>
      <c r="M735" s="33">
        <f>IF($R$700="","",INDEX(전체채점!AT$3:AT$62,$R$700))</f>
        <v/>
      </c>
      <c r="N735" s="33">
        <f>IF($R$700="","",INDEX(전체채점!AU$3:AU$62,$R$700))</f>
        <v/>
      </c>
      <c r="O735" s="33">
        <f>IF($R$700="","",INDEX(전체채점!AV$3:AV$62,$R$700))</f>
        <v/>
      </c>
      <c r="P735" s="33">
        <f>IF($R$700="","",INDEX(전체채점!AW$3:AW$62,$R$700))</f>
        <v/>
      </c>
    </row>
    <row r="736">
      <c r="A736" s="52" t="inlineStr">
        <is>
          <t>정오</t>
        </is>
      </c>
      <c r="B736" s="33">
        <f>IF($R$700="","",INDEX(전체채점!CB$3:CB$62,$R$700))</f>
        <v/>
      </c>
      <c r="C736" s="33">
        <f>IF($R$700="","",INDEX(전체채점!CC$3:CC$62,$R$700))</f>
        <v/>
      </c>
      <c r="D736" s="33">
        <f>IF($R$700="","",INDEX(전체채점!CD$3:CD$62,$R$700))</f>
        <v/>
      </c>
      <c r="E736" s="33">
        <f>IF($R$700="","",INDEX(전체채점!CE$3:CE$62,$R$700))</f>
        <v/>
      </c>
      <c r="F736" s="33">
        <f>IF($R$700="","",INDEX(전체채점!CF$3:CF$62,$R$700))</f>
        <v/>
      </c>
      <c r="G736" s="33">
        <f>IF($R$700="","",INDEX(전체채점!CG$3:CG$62,$R$700))</f>
        <v/>
      </c>
      <c r="H736" s="33">
        <f>IF($R$700="","",INDEX(전체채점!CH$3:CH$62,$R$700))</f>
        <v/>
      </c>
      <c r="I736" s="33">
        <f>IF($R$700="","",INDEX(전체채점!CI$3:CI$62,$R$700))</f>
        <v/>
      </c>
      <c r="J736" s="33">
        <f>IF($R$700="","",INDEX(전체채점!CJ$3:CJ$62,$R$700))</f>
        <v/>
      </c>
      <c r="K736" s="33">
        <f>IF($R$700="","",INDEX(전체채점!CK$3:CK$62,$R$700))</f>
        <v/>
      </c>
      <c r="L736" s="33">
        <f>IF($R$700="","",INDEX(전체채점!CL$3:CL$62,$R$700))</f>
        <v/>
      </c>
      <c r="M736" s="33">
        <f>IF($R$700="","",INDEX(전체채점!CM$3:CM$62,$R$700))</f>
        <v/>
      </c>
      <c r="N736" s="33">
        <f>IF($R$700="","",INDEX(전체채점!CN$3:CN$62,$R$700))</f>
        <v/>
      </c>
      <c r="O736" s="33">
        <f>IF($R$700="","",INDEX(전체채점!CO$3:CO$62,$R$700))</f>
        <v/>
      </c>
      <c r="P736" s="33">
        <f>IF($R$700="","",INDEX(전체채점!CP$3:CP$62,$R$700))</f>
        <v/>
      </c>
    </row>
    <row r="739" ht="34" customHeight="1">
      <c r="A739" s="36">
        <f>IF($R$741="","",회차설정!$B$2&amp;" 성적표")</f>
        <v/>
      </c>
    </row>
    <row r="741">
      <c r="A741" s="12" t="inlineStr">
        <is>
          <t>1. 학생정보</t>
        </is>
      </c>
      <c r="R741" s="37">
        <f>IF(답안입력!$A$21="","",19)</f>
        <v/>
      </c>
      <c r="S741" s="37">
        <f>IF($R$742="","",IFERROR(IF($R$742="언어와 매체",MATCH(1,회차설정!$G$13:$G$27,0),MATCH(1,회차설정!$F$13:$F$27,0)),""))</f>
        <v/>
      </c>
    </row>
    <row r="742">
      <c r="A742" s="13" t="inlineStr">
        <is>
          <t>성명</t>
        </is>
      </c>
      <c r="B742" s="7" t="n"/>
      <c r="C742" s="8" t="n"/>
      <c r="D742" s="13" t="inlineStr">
        <is>
          <t>선택과목</t>
        </is>
      </c>
      <c r="E742" s="7" t="n"/>
      <c r="F742" s="7" t="n"/>
      <c r="G742" s="8" t="n"/>
      <c r="H742" s="13" t="inlineStr">
        <is>
          <t>학년</t>
        </is>
      </c>
      <c r="I742" s="7" t="n"/>
      <c r="J742" s="7" t="n"/>
      <c r="K742" s="8" t="n"/>
      <c r="L742" s="13" t="inlineStr">
        <is>
          <t>시행일</t>
        </is>
      </c>
      <c r="M742" s="7" t="n"/>
      <c r="N742" s="7" t="n"/>
      <c r="O742" s="7" t="n"/>
      <c r="P742" s="8" t="n"/>
      <c r="R742" s="37">
        <f>IF($R$741="","",INDEX(전체채점!$B$3:$B$62,$R$741))</f>
        <v/>
      </c>
      <c r="S742" s="37">
        <f>IF($R$742="","",IFERROR(IF($R$742="언어와 매체",MATCH(2,회차설정!$G$13:$G$27,0),MATCH(2,회차설정!$F$13:$F$27,0)),""))</f>
        <v/>
      </c>
    </row>
    <row r="743" ht="26" customHeight="1">
      <c r="A743" s="39">
        <f>IF($R$741="","",INDEX(답안입력!$A$3:$A$62,$R$741))</f>
        <v/>
      </c>
      <c r="B743" s="7" t="n"/>
      <c r="C743" s="8" t="n"/>
      <c r="D743" s="39">
        <f>IF($R$741="","",INDEX(답안입력!$C$3:$C$62,$R$741))</f>
        <v/>
      </c>
      <c r="E743" s="7" t="n"/>
      <c r="F743" s="7" t="n"/>
      <c r="G743" s="8" t="n"/>
      <c r="H743" s="39">
        <f>IF($R$741="","",INDEX(답안입력!$B$3:$B$62,$R$741))</f>
        <v/>
      </c>
      <c r="I743" s="7" t="n"/>
      <c r="J743" s="7" t="n"/>
      <c r="K743" s="8" t="n"/>
      <c r="L743" s="40">
        <f>회차설정!$B$3</f>
        <v/>
      </c>
      <c r="M743" s="7" t="n"/>
      <c r="N743" s="7" t="n"/>
      <c r="O743" s="7" t="n"/>
      <c r="P743" s="8" t="n"/>
      <c r="R743" s="37">
        <f>IF($R$742="언어와 매체",회차설정!$B$9,회차설정!$B$8)</f>
        <v/>
      </c>
      <c r="S743" s="37">
        <f>IF($R$742="","",IFERROR(IF($R$742="언어와 매체",MATCH(3,회차설정!$G$13:$G$27,0),MATCH(3,회차설정!$F$13:$F$27,0)),""))</f>
        <v/>
      </c>
    </row>
    <row r="744">
      <c r="R744" s="37">
        <f>IF($R$742="언어와 매체",회차설정!$C$9,회차설정!$C$8)</f>
        <v/>
      </c>
      <c r="S744" s="37">
        <f>IF($R$742="","",IFERROR(IF($R$742="언어와 매체",MATCH(4,회차설정!$G$13:$G$27,0),MATCH(4,회차설정!$F$13:$F$27,0)),""))</f>
        <v/>
      </c>
    </row>
    <row r="745">
      <c r="A745" s="12" t="inlineStr">
        <is>
          <t>2. 성적</t>
        </is>
      </c>
      <c r="R745" s="37">
        <f>IF($R$742="언어와 매체",회차설정!$D$9,회차설정!$D$8)</f>
        <v/>
      </c>
      <c r="S745" s="37">
        <f>IF($R$742="","",IFERROR(IF($R$742="언어와 매체",MATCH(5,회차설정!$G$13:$G$27,0),MATCH(5,회차설정!$F$13:$F$27,0)),""))</f>
        <v/>
      </c>
    </row>
    <row r="746">
      <c r="A746" s="13" t="inlineStr">
        <is>
          <t>점수 (100점 만점)</t>
        </is>
      </c>
      <c r="B746" s="7" t="n"/>
      <c r="C746" s="7" t="n"/>
      <c r="D746" s="7" t="n"/>
      <c r="E746" s="8" t="n"/>
      <c r="F746" s="13" t="inlineStr">
        <is>
          <t>등급</t>
        </is>
      </c>
      <c r="G746" s="7" t="n"/>
      <c r="H746" s="8" t="n"/>
      <c r="I746" s="13" t="inlineStr">
        <is>
          <t>등급컷</t>
        </is>
      </c>
      <c r="J746" s="7" t="n"/>
      <c r="K746" s="7" t="n"/>
      <c r="L746" s="8" t="n"/>
      <c r="M746" s="13" t="inlineStr">
        <is>
          <t>같은 선택과목 평균</t>
        </is>
      </c>
      <c r="N746" s="7" t="n"/>
      <c r="O746" s="7" t="n"/>
      <c r="P746" s="8" t="n"/>
      <c r="R746" s="37">
        <f>IF($R$742="언어와 매체",회차설정!$E$9,회차설정!$E$8)</f>
        <v/>
      </c>
      <c r="S746" s="37">
        <f>IF($R$742="","",IFERROR(IF($R$742="언어와 매체",MATCH(6,회차설정!$G$13:$G$27,0),MATCH(6,회차설정!$F$13:$F$27,0)),""))</f>
        <v/>
      </c>
    </row>
    <row r="747" ht="34" customHeight="1">
      <c r="A747" s="41">
        <f>IF($R$741="","",INDEX(전체채점!$C$3:$C$62,$R$741))</f>
        <v/>
      </c>
      <c r="B747" s="7" t="n"/>
      <c r="C747" s="7" t="n"/>
      <c r="D747" s="7" t="n"/>
      <c r="E747" s="8" t="n"/>
      <c r="F747" s="42">
        <f>IF($R$741="","",INDEX(전체채점!$D$3:$D$62,$R$741))</f>
        <v/>
      </c>
      <c r="G747" s="7" t="n"/>
      <c r="H747" s="8" t="n"/>
      <c r="I747" s="43">
        <f>IF($R$741="","",$R$743&amp;"-"&amp;$R$744&amp;"-"&amp;$R$745&amp;"-"&amp;$R$746)</f>
        <v/>
      </c>
      <c r="J747" s="7" t="n"/>
      <c r="K747" s="7" t="n"/>
      <c r="L747" s="8" t="n"/>
      <c r="M747" s="44">
        <f>IFERROR(AVERAGEIF(전체채점!$B$3:$B$62,$R$742,전체채점!$C$3:$C$62),"")</f>
        <v/>
      </c>
      <c r="N747" s="7" t="n"/>
      <c r="O747" s="7" t="n"/>
      <c r="P747" s="8" t="n"/>
      <c r="S747" s="37">
        <f>IF($R$742="","",IFERROR(IF($R$742="언어와 매체",MATCH(7,회차설정!$G$13:$G$27,0),MATCH(7,회차설정!$F$13:$F$27,0)),""))</f>
        <v/>
      </c>
    </row>
    <row r="748">
      <c r="S748" s="37">
        <f>IF($R$742="","",IFERROR(IF($R$742="언어와 매체",MATCH(8,회차설정!$G$13:$G$27,0),MATCH(8,회차설정!$F$13:$F$27,0)),""))</f>
        <v/>
      </c>
    </row>
    <row r="749">
      <c r="A749" s="12" t="inlineStr">
        <is>
          <t>3. 영역분류별 성취도 분석</t>
        </is>
      </c>
      <c r="F749" s="45">
        <f>IF(OR($R$741="",$E763=""),"",IF($E763=INDEX(전체채점!$C$3:$C$62,$R$741),"","※ 회차설정의 영역 표를 확인하세요 — 영역 합계와 점수가 다릅니다"))</f>
        <v/>
      </c>
      <c r="S749" s="37">
        <f>IF($R$742="","",IFERROR(IF($R$742="언어와 매체",MATCH(9,회차설정!$G$13:$G$27,0),MATCH(9,회차설정!$F$13:$F$27,0)),""))</f>
        <v/>
      </c>
    </row>
    <row r="750">
      <c r="A750" s="13" t="inlineStr">
        <is>
          <t>분류</t>
        </is>
      </c>
      <c r="B750" s="13" t="inlineStr">
        <is>
          <t>영역</t>
        </is>
      </c>
      <c r="C750" s="8" t="n"/>
      <c r="D750" s="13" t="inlineStr">
        <is>
          <t>배점</t>
        </is>
      </c>
      <c r="E750" s="13" t="inlineStr">
        <is>
          <t>득점</t>
        </is>
      </c>
      <c r="F750" s="13" t="inlineStr">
        <is>
          <t>성취도(%)</t>
        </is>
      </c>
      <c r="G750" s="8" t="n"/>
      <c r="H750" s="13" t="inlineStr"/>
      <c r="I750" s="7" t="n"/>
      <c r="J750" s="7" t="n"/>
      <c r="K750" s="7" t="n"/>
      <c r="L750" s="7" t="n"/>
      <c r="M750" s="7" t="n"/>
      <c r="N750" s="7" t="n"/>
      <c r="O750" s="7" t="n"/>
      <c r="P750" s="8" t="n"/>
      <c r="S750" s="37">
        <f>IF($R$742="","",IFERROR(IF($R$742="언어와 매체",MATCH(10,회차설정!$G$13:$G$27,0),MATCH(10,회차설정!$F$13:$F$27,0)),""))</f>
        <v/>
      </c>
    </row>
    <row r="751">
      <c r="A751" s="14">
        <f>IF($S$741="","",INDEX(회차설정!$A$13:$A$27,$S$741))</f>
        <v/>
      </c>
      <c r="B751" s="14">
        <f>IF($S$741="","",INDEX(회차설정!$B$13:$B$27,$S$741))</f>
        <v/>
      </c>
      <c r="C751" s="8" t="n"/>
      <c r="D751" s="14">
        <f>IF($S$741="","",IF($R$742="언어와 매체",SUMPRODUCT((자동계산!$A$4:$A$48&gt;=INDEX(회차설정!$C$13:$C$27,$S$741))*(자동계산!$A$4:$A$48&lt;=INDEX(회차설정!$D$13:$D$27,$S$741))*자동계산!$E$4:$E$48),SUMPRODUCT((자동계산!$A$4:$A$48&gt;=INDEX(회차설정!$C$13:$C$27,$S$741))*(자동계산!$A$4:$A$48&lt;=INDEX(회차설정!$D$13:$D$27,$S$741))*자동계산!$C$4:$C$48)))</f>
        <v/>
      </c>
      <c r="E751" s="14">
        <f>IF(OR($S$741="",$R$741=""),"",SUM(OFFSET(전체채점!$AW$2,$R$741,INDEX(회차설정!$C$13:$C$27,$S$741),1,INDEX(회차설정!$D$13:$D$27,$S$741)-INDEX(회차설정!$C$13:$C$27,$S$741)+1)))</f>
        <v/>
      </c>
      <c r="F751" s="46">
        <f>IF(OR($S$741="",$D751=0,$D751="",$E751=""),"",$E751/$D751*100)</f>
        <v/>
      </c>
      <c r="G751" s="8" t="n"/>
      <c r="H751" s="47">
        <f>IF($F751="","",REPT("■",ROUND($F751/5,0)))</f>
        <v/>
      </c>
      <c r="I751" s="7" t="n"/>
      <c r="J751" s="7" t="n"/>
      <c r="K751" s="7" t="n"/>
      <c r="L751" s="7" t="n"/>
      <c r="M751" s="7" t="n"/>
      <c r="N751" s="7" t="n"/>
      <c r="O751" s="7" t="n"/>
      <c r="P751" s="8" t="n"/>
      <c r="S751" s="37">
        <f>IF($R$742="","",IFERROR(IF($R$742="언어와 매체",MATCH(11,회차설정!$G$13:$G$27,0),MATCH(11,회차설정!$F$13:$F$27,0)),""))</f>
        <v/>
      </c>
    </row>
    <row r="752">
      <c r="A752" s="14">
        <f>IF($S$742="","",INDEX(회차설정!$A$13:$A$27,$S$742))</f>
        <v/>
      </c>
      <c r="B752" s="14">
        <f>IF($S$742="","",INDEX(회차설정!$B$13:$B$27,$S$742))</f>
        <v/>
      </c>
      <c r="C752" s="8" t="n"/>
      <c r="D752" s="14">
        <f>IF($S$742="","",IF($R$742="언어와 매체",SUMPRODUCT((자동계산!$A$4:$A$48&gt;=INDEX(회차설정!$C$13:$C$27,$S$742))*(자동계산!$A$4:$A$48&lt;=INDEX(회차설정!$D$13:$D$27,$S$742))*자동계산!$E$4:$E$48),SUMPRODUCT((자동계산!$A$4:$A$48&gt;=INDEX(회차설정!$C$13:$C$27,$S$742))*(자동계산!$A$4:$A$48&lt;=INDEX(회차설정!$D$13:$D$27,$S$742))*자동계산!$C$4:$C$48)))</f>
        <v/>
      </c>
      <c r="E752" s="14">
        <f>IF(OR($S$742="",$R$741=""),"",SUM(OFFSET(전체채점!$AW$2,$R$741,INDEX(회차설정!$C$13:$C$27,$S$742),1,INDEX(회차설정!$D$13:$D$27,$S$742)-INDEX(회차설정!$C$13:$C$27,$S$742)+1)))</f>
        <v/>
      </c>
      <c r="F752" s="46">
        <f>IF(OR($S$742="",$D752=0,$D752="",$E752=""),"",$E752/$D752*100)</f>
        <v/>
      </c>
      <c r="G752" s="8" t="n"/>
      <c r="H752" s="47">
        <f>IF($F752="","",REPT("■",ROUND($F752/5,0)))</f>
        <v/>
      </c>
      <c r="I752" s="7" t="n"/>
      <c r="J752" s="7" t="n"/>
      <c r="K752" s="7" t="n"/>
      <c r="L752" s="7" t="n"/>
      <c r="M752" s="7" t="n"/>
      <c r="N752" s="7" t="n"/>
      <c r="O752" s="7" t="n"/>
      <c r="P752" s="8" t="n"/>
      <c r="S752" s="37">
        <f>IF($R$742="","",IFERROR(IF($R$742="언어와 매체",MATCH(12,회차설정!$G$13:$G$27,0),MATCH(12,회차설정!$F$13:$F$27,0)),""))</f>
        <v/>
      </c>
    </row>
    <row r="753">
      <c r="A753" s="14">
        <f>IF($S$743="","",INDEX(회차설정!$A$13:$A$27,$S$743))</f>
        <v/>
      </c>
      <c r="B753" s="14">
        <f>IF($S$743="","",INDEX(회차설정!$B$13:$B$27,$S$743))</f>
        <v/>
      </c>
      <c r="C753" s="8" t="n"/>
      <c r="D753" s="14">
        <f>IF($S$743="","",IF($R$742="언어와 매체",SUMPRODUCT((자동계산!$A$4:$A$48&gt;=INDEX(회차설정!$C$13:$C$27,$S$743))*(자동계산!$A$4:$A$48&lt;=INDEX(회차설정!$D$13:$D$27,$S$743))*자동계산!$E$4:$E$48),SUMPRODUCT((자동계산!$A$4:$A$48&gt;=INDEX(회차설정!$C$13:$C$27,$S$743))*(자동계산!$A$4:$A$48&lt;=INDEX(회차설정!$D$13:$D$27,$S$743))*자동계산!$C$4:$C$48)))</f>
        <v/>
      </c>
      <c r="E753" s="14">
        <f>IF(OR($S$743="",$R$741=""),"",SUM(OFFSET(전체채점!$AW$2,$R$741,INDEX(회차설정!$C$13:$C$27,$S$743),1,INDEX(회차설정!$D$13:$D$27,$S$743)-INDEX(회차설정!$C$13:$C$27,$S$743)+1)))</f>
        <v/>
      </c>
      <c r="F753" s="46">
        <f>IF(OR($S$743="",$D753=0,$D753="",$E753=""),"",$E753/$D753*100)</f>
        <v/>
      </c>
      <c r="G753" s="8" t="n"/>
      <c r="H753" s="47">
        <f>IF($F753="","",REPT("■",ROUND($F753/5,0)))</f>
        <v/>
      </c>
      <c r="I753" s="7" t="n"/>
      <c r="J753" s="7" t="n"/>
      <c r="K753" s="7" t="n"/>
      <c r="L753" s="7" t="n"/>
      <c r="M753" s="7" t="n"/>
      <c r="N753" s="7" t="n"/>
      <c r="O753" s="7" t="n"/>
      <c r="P753" s="8" t="n"/>
    </row>
    <row r="754">
      <c r="A754" s="14">
        <f>IF($S$744="","",INDEX(회차설정!$A$13:$A$27,$S$744))</f>
        <v/>
      </c>
      <c r="B754" s="14">
        <f>IF($S$744="","",INDEX(회차설정!$B$13:$B$27,$S$744))</f>
        <v/>
      </c>
      <c r="C754" s="8" t="n"/>
      <c r="D754" s="14">
        <f>IF($S$744="","",IF($R$742="언어와 매체",SUMPRODUCT((자동계산!$A$4:$A$48&gt;=INDEX(회차설정!$C$13:$C$27,$S$744))*(자동계산!$A$4:$A$48&lt;=INDEX(회차설정!$D$13:$D$27,$S$744))*자동계산!$E$4:$E$48),SUMPRODUCT((자동계산!$A$4:$A$48&gt;=INDEX(회차설정!$C$13:$C$27,$S$744))*(자동계산!$A$4:$A$48&lt;=INDEX(회차설정!$D$13:$D$27,$S$744))*자동계산!$C$4:$C$48)))</f>
        <v/>
      </c>
      <c r="E754" s="14">
        <f>IF(OR($S$744="",$R$741=""),"",SUM(OFFSET(전체채점!$AW$2,$R$741,INDEX(회차설정!$C$13:$C$27,$S$744),1,INDEX(회차설정!$D$13:$D$27,$S$744)-INDEX(회차설정!$C$13:$C$27,$S$744)+1)))</f>
        <v/>
      </c>
      <c r="F754" s="46">
        <f>IF(OR($S$744="",$D754=0,$D754="",$E754=""),"",$E754/$D754*100)</f>
        <v/>
      </c>
      <c r="G754" s="8" t="n"/>
      <c r="H754" s="47">
        <f>IF($F754="","",REPT("■",ROUND($F754/5,0)))</f>
        <v/>
      </c>
      <c r="I754" s="7" t="n"/>
      <c r="J754" s="7" t="n"/>
      <c r="K754" s="7" t="n"/>
      <c r="L754" s="7" t="n"/>
      <c r="M754" s="7" t="n"/>
      <c r="N754" s="7" t="n"/>
      <c r="O754" s="7" t="n"/>
      <c r="P754" s="8" t="n"/>
    </row>
    <row r="755">
      <c r="A755" s="14">
        <f>IF($S$745="","",INDEX(회차설정!$A$13:$A$27,$S$745))</f>
        <v/>
      </c>
      <c r="B755" s="14">
        <f>IF($S$745="","",INDEX(회차설정!$B$13:$B$27,$S$745))</f>
        <v/>
      </c>
      <c r="C755" s="8" t="n"/>
      <c r="D755" s="14">
        <f>IF($S$745="","",IF($R$742="언어와 매체",SUMPRODUCT((자동계산!$A$4:$A$48&gt;=INDEX(회차설정!$C$13:$C$27,$S$745))*(자동계산!$A$4:$A$48&lt;=INDEX(회차설정!$D$13:$D$27,$S$745))*자동계산!$E$4:$E$48),SUMPRODUCT((자동계산!$A$4:$A$48&gt;=INDEX(회차설정!$C$13:$C$27,$S$745))*(자동계산!$A$4:$A$48&lt;=INDEX(회차설정!$D$13:$D$27,$S$745))*자동계산!$C$4:$C$48)))</f>
        <v/>
      </c>
      <c r="E755" s="14">
        <f>IF(OR($S$745="",$R$741=""),"",SUM(OFFSET(전체채점!$AW$2,$R$741,INDEX(회차설정!$C$13:$C$27,$S$745),1,INDEX(회차설정!$D$13:$D$27,$S$745)-INDEX(회차설정!$C$13:$C$27,$S$745)+1)))</f>
        <v/>
      </c>
      <c r="F755" s="46">
        <f>IF(OR($S$745="",$D755=0,$D755="",$E755=""),"",$E755/$D755*100)</f>
        <v/>
      </c>
      <c r="G755" s="8" t="n"/>
      <c r="H755" s="47">
        <f>IF($F755="","",REPT("■",ROUND($F755/5,0)))</f>
        <v/>
      </c>
      <c r="I755" s="7" t="n"/>
      <c r="J755" s="7" t="n"/>
      <c r="K755" s="7" t="n"/>
      <c r="L755" s="7" t="n"/>
      <c r="M755" s="7" t="n"/>
      <c r="N755" s="7" t="n"/>
      <c r="O755" s="7" t="n"/>
      <c r="P755" s="8" t="n"/>
    </row>
    <row r="756">
      <c r="A756" s="14">
        <f>IF($S$746="","",INDEX(회차설정!$A$13:$A$27,$S$746))</f>
        <v/>
      </c>
      <c r="B756" s="14">
        <f>IF($S$746="","",INDEX(회차설정!$B$13:$B$27,$S$746))</f>
        <v/>
      </c>
      <c r="C756" s="8" t="n"/>
      <c r="D756" s="14">
        <f>IF($S$746="","",IF($R$742="언어와 매체",SUMPRODUCT((자동계산!$A$4:$A$48&gt;=INDEX(회차설정!$C$13:$C$27,$S$746))*(자동계산!$A$4:$A$48&lt;=INDEX(회차설정!$D$13:$D$27,$S$746))*자동계산!$E$4:$E$48),SUMPRODUCT((자동계산!$A$4:$A$48&gt;=INDEX(회차설정!$C$13:$C$27,$S$746))*(자동계산!$A$4:$A$48&lt;=INDEX(회차설정!$D$13:$D$27,$S$746))*자동계산!$C$4:$C$48)))</f>
        <v/>
      </c>
      <c r="E756" s="14">
        <f>IF(OR($S$746="",$R$741=""),"",SUM(OFFSET(전체채점!$AW$2,$R$741,INDEX(회차설정!$C$13:$C$27,$S$746),1,INDEX(회차설정!$D$13:$D$27,$S$746)-INDEX(회차설정!$C$13:$C$27,$S$746)+1)))</f>
        <v/>
      </c>
      <c r="F756" s="46">
        <f>IF(OR($S$746="",$D756=0,$D756="",$E756=""),"",$E756/$D756*100)</f>
        <v/>
      </c>
      <c r="G756" s="8" t="n"/>
      <c r="H756" s="47">
        <f>IF($F756="","",REPT("■",ROUND($F756/5,0)))</f>
        <v/>
      </c>
      <c r="I756" s="7" t="n"/>
      <c r="J756" s="7" t="n"/>
      <c r="K756" s="7" t="n"/>
      <c r="L756" s="7" t="n"/>
      <c r="M756" s="7" t="n"/>
      <c r="N756" s="7" t="n"/>
      <c r="O756" s="7" t="n"/>
      <c r="P756" s="8" t="n"/>
    </row>
    <row r="757">
      <c r="A757" s="14">
        <f>IF($S$747="","",INDEX(회차설정!$A$13:$A$27,$S$747))</f>
        <v/>
      </c>
      <c r="B757" s="14">
        <f>IF($S$747="","",INDEX(회차설정!$B$13:$B$27,$S$747))</f>
        <v/>
      </c>
      <c r="C757" s="8" t="n"/>
      <c r="D757" s="14">
        <f>IF($S$747="","",IF($R$742="언어와 매체",SUMPRODUCT((자동계산!$A$4:$A$48&gt;=INDEX(회차설정!$C$13:$C$27,$S$747))*(자동계산!$A$4:$A$48&lt;=INDEX(회차설정!$D$13:$D$27,$S$747))*자동계산!$E$4:$E$48),SUMPRODUCT((자동계산!$A$4:$A$48&gt;=INDEX(회차설정!$C$13:$C$27,$S$747))*(자동계산!$A$4:$A$48&lt;=INDEX(회차설정!$D$13:$D$27,$S$747))*자동계산!$C$4:$C$48)))</f>
        <v/>
      </c>
      <c r="E757" s="14">
        <f>IF(OR($S$747="",$R$741=""),"",SUM(OFFSET(전체채점!$AW$2,$R$741,INDEX(회차설정!$C$13:$C$27,$S$747),1,INDEX(회차설정!$D$13:$D$27,$S$747)-INDEX(회차설정!$C$13:$C$27,$S$747)+1)))</f>
        <v/>
      </c>
      <c r="F757" s="46">
        <f>IF(OR($S$747="",$D757=0,$D757="",$E757=""),"",$E757/$D757*100)</f>
        <v/>
      </c>
      <c r="G757" s="8" t="n"/>
      <c r="H757" s="47">
        <f>IF($F757="","",REPT("■",ROUND($F757/5,0)))</f>
        <v/>
      </c>
      <c r="I757" s="7" t="n"/>
      <c r="J757" s="7" t="n"/>
      <c r="K757" s="7" t="n"/>
      <c r="L757" s="7" t="n"/>
      <c r="M757" s="7" t="n"/>
      <c r="N757" s="7" t="n"/>
      <c r="O757" s="7" t="n"/>
      <c r="P757" s="8" t="n"/>
    </row>
    <row r="758">
      <c r="A758" s="14">
        <f>IF($S$748="","",INDEX(회차설정!$A$13:$A$27,$S$748))</f>
        <v/>
      </c>
      <c r="B758" s="14">
        <f>IF($S$748="","",INDEX(회차설정!$B$13:$B$27,$S$748))</f>
        <v/>
      </c>
      <c r="C758" s="8" t="n"/>
      <c r="D758" s="14">
        <f>IF($S$748="","",IF($R$742="언어와 매체",SUMPRODUCT((자동계산!$A$4:$A$48&gt;=INDEX(회차설정!$C$13:$C$27,$S$748))*(자동계산!$A$4:$A$48&lt;=INDEX(회차설정!$D$13:$D$27,$S$748))*자동계산!$E$4:$E$48),SUMPRODUCT((자동계산!$A$4:$A$48&gt;=INDEX(회차설정!$C$13:$C$27,$S$748))*(자동계산!$A$4:$A$48&lt;=INDEX(회차설정!$D$13:$D$27,$S$748))*자동계산!$C$4:$C$48)))</f>
        <v/>
      </c>
      <c r="E758" s="14">
        <f>IF(OR($S$748="",$R$741=""),"",SUM(OFFSET(전체채점!$AW$2,$R$741,INDEX(회차설정!$C$13:$C$27,$S$748),1,INDEX(회차설정!$D$13:$D$27,$S$748)-INDEX(회차설정!$C$13:$C$27,$S$748)+1)))</f>
        <v/>
      </c>
      <c r="F758" s="46">
        <f>IF(OR($S$748="",$D758=0,$D758="",$E758=""),"",$E758/$D758*100)</f>
        <v/>
      </c>
      <c r="G758" s="8" t="n"/>
      <c r="H758" s="47">
        <f>IF($F758="","",REPT("■",ROUND($F758/5,0)))</f>
        <v/>
      </c>
      <c r="I758" s="7" t="n"/>
      <c r="J758" s="7" t="n"/>
      <c r="K758" s="7" t="n"/>
      <c r="L758" s="7" t="n"/>
      <c r="M758" s="7" t="n"/>
      <c r="N758" s="7" t="n"/>
      <c r="O758" s="7" t="n"/>
      <c r="P758" s="8" t="n"/>
    </row>
    <row r="759">
      <c r="A759" s="14">
        <f>IF($S$749="","",INDEX(회차설정!$A$13:$A$27,$S$749))</f>
        <v/>
      </c>
      <c r="B759" s="14">
        <f>IF($S$749="","",INDEX(회차설정!$B$13:$B$27,$S$749))</f>
        <v/>
      </c>
      <c r="C759" s="8" t="n"/>
      <c r="D759" s="14">
        <f>IF($S$749="","",IF($R$742="언어와 매체",SUMPRODUCT((자동계산!$A$4:$A$48&gt;=INDEX(회차설정!$C$13:$C$27,$S$749))*(자동계산!$A$4:$A$48&lt;=INDEX(회차설정!$D$13:$D$27,$S$749))*자동계산!$E$4:$E$48),SUMPRODUCT((자동계산!$A$4:$A$48&gt;=INDEX(회차설정!$C$13:$C$27,$S$749))*(자동계산!$A$4:$A$48&lt;=INDEX(회차설정!$D$13:$D$27,$S$749))*자동계산!$C$4:$C$48)))</f>
        <v/>
      </c>
      <c r="E759" s="14">
        <f>IF(OR($S$749="",$R$741=""),"",SUM(OFFSET(전체채점!$AW$2,$R$741,INDEX(회차설정!$C$13:$C$27,$S$749),1,INDEX(회차설정!$D$13:$D$27,$S$749)-INDEX(회차설정!$C$13:$C$27,$S$749)+1)))</f>
        <v/>
      </c>
      <c r="F759" s="46">
        <f>IF(OR($S$749="",$D759=0,$D759="",$E759=""),"",$E759/$D759*100)</f>
        <v/>
      </c>
      <c r="G759" s="8" t="n"/>
      <c r="H759" s="47">
        <f>IF($F759="","",REPT("■",ROUND($F759/5,0)))</f>
        <v/>
      </c>
      <c r="I759" s="7" t="n"/>
      <c r="J759" s="7" t="n"/>
      <c r="K759" s="7" t="n"/>
      <c r="L759" s="7" t="n"/>
      <c r="M759" s="7" t="n"/>
      <c r="N759" s="7" t="n"/>
      <c r="O759" s="7" t="n"/>
      <c r="P759" s="8" t="n"/>
    </row>
    <row r="760">
      <c r="A760" s="14">
        <f>IF($S$750="","",INDEX(회차설정!$A$13:$A$27,$S$750))</f>
        <v/>
      </c>
      <c r="B760" s="14">
        <f>IF($S$750="","",INDEX(회차설정!$B$13:$B$27,$S$750))</f>
        <v/>
      </c>
      <c r="C760" s="8" t="n"/>
      <c r="D760" s="14">
        <f>IF($S$750="","",IF($R$742="언어와 매체",SUMPRODUCT((자동계산!$A$4:$A$48&gt;=INDEX(회차설정!$C$13:$C$27,$S$750))*(자동계산!$A$4:$A$48&lt;=INDEX(회차설정!$D$13:$D$27,$S$750))*자동계산!$E$4:$E$48),SUMPRODUCT((자동계산!$A$4:$A$48&gt;=INDEX(회차설정!$C$13:$C$27,$S$750))*(자동계산!$A$4:$A$48&lt;=INDEX(회차설정!$D$13:$D$27,$S$750))*자동계산!$C$4:$C$48)))</f>
        <v/>
      </c>
      <c r="E760" s="14">
        <f>IF(OR($S$750="",$R$741=""),"",SUM(OFFSET(전체채점!$AW$2,$R$741,INDEX(회차설정!$C$13:$C$27,$S$750),1,INDEX(회차설정!$D$13:$D$27,$S$750)-INDEX(회차설정!$C$13:$C$27,$S$750)+1)))</f>
        <v/>
      </c>
      <c r="F760" s="46">
        <f>IF(OR($S$750="",$D760=0,$D760="",$E760=""),"",$E760/$D760*100)</f>
        <v/>
      </c>
      <c r="G760" s="8" t="n"/>
      <c r="H760" s="47">
        <f>IF($F760="","",REPT("■",ROUND($F760/5,0)))</f>
        <v/>
      </c>
      <c r="I760" s="7" t="n"/>
      <c r="J760" s="7" t="n"/>
      <c r="K760" s="7" t="n"/>
      <c r="L760" s="7" t="n"/>
      <c r="M760" s="7" t="n"/>
      <c r="N760" s="7" t="n"/>
      <c r="O760" s="7" t="n"/>
      <c r="P760" s="8" t="n"/>
    </row>
    <row r="761">
      <c r="A761" s="14">
        <f>IF($S$751="","",INDEX(회차설정!$A$13:$A$27,$S$751))</f>
        <v/>
      </c>
      <c r="B761" s="14">
        <f>IF($S$751="","",INDEX(회차설정!$B$13:$B$27,$S$751))</f>
        <v/>
      </c>
      <c r="C761" s="8" t="n"/>
      <c r="D761" s="14">
        <f>IF($S$751="","",IF($R$742="언어와 매체",SUMPRODUCT((자동계산!$A$4:$A$48&gt;=INDEX(회차설정!$C$13:$C$27,$S$751))*(자동계산!$A$4:$A$48&lt;=INDEX(회차설정!$D$13:$D$27,$S$751))*자동계산!$E$4:$E$48),SUMPRODUCT((자동계산!$A$4:$A$48&gt;=INDEX(회차설정!$C$13:$C$27,$S$751))*(자동계산!$A$4:$A$48&lt;=INDEX(회차설정!$D$13:$D$27,$S$751))*자동계산!$C$4:$C$48)))</f>
        <v/>
      </c>
      <c r="E761" s="14">
        <f>IF(OR($S$751="",$R$741=""),"",SUM(OFFSET(전체채점!$AW$2,$R$741,INDEX(회차설정!$C$13:$C$27,$S$751),1,INDEX(회차설정!$D$13:$D$27,$S$751)-INDEX(회차설정!$C$13:$C$27,$S$751)+1)))</f>
        <v/>
      </c>
      <c r="F761" s="46">
        <f>IF(OR($S$751="",$D761=0,$D761="",$E761=""),"",$E761/$D761*100)</f>
        <v/>
      </c>
      <c r="G761" s="8" t="n"/>
      <c r="H761" s="47">
        <f>IF($F761="","",REPT("■",ROUND($F761/5,0)))</f>
        <v/>
      </c>
      <c r="I761" s="7" t="n"/>
      <c r="J761" s="7" t="n"/>
      <c r="K761" s="7" t="n"/>
      <c r="L761" s="7" t="n"/>
      <c r="M761" s="7" t="n"/>
      <c r="N761" s="7" t="n"/>
      <c r="O761" s="7" t="n"/>
      <c r="P761" s="8" t="n"/>
    </row>
    <row r="762">
      <c r="A762" s="14">
        <f>IF($S$752="","",INDEX(회차설정!$A$13:$A$27,$S$752))</f>
        <v/>
      </c>
      <c r="B762" s="14">
        <f>IF($S$752="","",INDEX(회차설정!$B$13:$B$27,$S$752))</f>
        <v/>
      </c>
      <c r="C762" s="8" t="n"/>
      <c r="D762" s="14">
        <f>IF($S$752="","",IF($R$742="언어와 매체",SUMPRODUCT((자동계산!$A$4:$A$48&gt;=INDEX(회차설정!$C$13:$C$27,$S$752))*(자동계산!$A$4:$A$48&lt;=INDEX(회차설정!$D$13:$D$27,$S$752))*자동계산!$E$4:$E$48),SUMPRODUCT((자동계산!$A$4:$A$48&gt;=INDEX(회차설정!$C$13:$C$27,$S$752))*(자동계산!$A$4:$A$48&lt;=INDEX(회차설정!$D$13:$D$27,$S$752))*자동계산!$C$4:$C$48)))</f>
        <v/>
      </c>
      <c r="E762" s="14">
        <f>IF(OR($S$752="",$R$741=""),"",SUM(OFFSET(전체채점!$AW$2,$R$741,INDEX(회차설정!$C$13:$C$27,$S$752),1,INDEX(회차설정!$D$13:$D$27,$S$752)-INDEX(회차설정!$C$13:$C$27,$S$752)+1)))</f>
        <v/>
      </c>
      <c r="F762" s="46">
        <f>IF(OR($S$752="",$D762=0,$D762="",$E762=""),"",$E762/$D762*100)</f>
        <v/>
      </c>
      <c r="G762" s="8" t="n"/>
      <c r="H762" s="47">
        <f>IF($F762="","",REPT("■",ROUND($F762/5,0)))</f>
        <v/>
      </c>
      <c r="I762" s="7" t="n"/>
      <c r="J762" s="7" t="n"/>
      <c r="K762" s="7" t="n"/>
      <c r="L762" s="7" t="n"/>
      <c r="M762" s="7" t="n"/>
      <c r="N762" s="7" t="n"/>
      <c r="O762" s="7" t="n"/>
      <c r="P762" s="8" t="n"/>
    </row>
    <row r="763">
      <c r="A763" s="5">
        <f>IF($R$741="","","합계")</f>
        <v/>
      </c>
      <c r="B763" s="7" t="n"/>
      <c r="C763" s="8" t="n"/>
      <c r="D763" s="5">
        <f>IF($R$741="","",SUM(D751:D762))</f>
        <v/>
      </c>
      <c r="E763" s="5">
        <f>IF($R$741="","",SUM(E751:E762))</f>
        <v/>
      </c>
      <c r="F763" s="48">
        <f>IF(OR($D763=0,$D763=""),"",$E763/$D763*100)</f>
        <v/>
      </c>
      <c r="G763" s="8" t="n"/>
      <c r="H763" s="49">
        <f>IF($F763="","",REPT("■",ROUND($F763/5,0)))</f>
        <v/>
      </c>
      <c r="I763" s="7" t="n"/>
      <c r="J763" s="7" t="n"/>
      <c r="K763" s="7" t="n"/>
      <c r="L763" s="7" t="n"/>
      <c r="M763" s="7" t="n"/>
      <c r="N763" s="7" t="n"/>
      <c r="O763" s="7" t="n"/>
      <c r="P763" s="8" t="n"/>
    </row>
    <row r="765">
      <c r="A765" s="12" t="inlineStr">
        <is>
          <t>4. 문항 채점표</t>
        </is>
      </c>
    </row>
    <row r="766">
      <c r="A766" s="50" t="inlineStr">
        <is>
          <t>문항 번호</t>
        </is>
      </c>
      <c r="B766" s="51" t="n">
        <v>1</v>
      </c>
      <c r="C766" s="51" t="n">
        <v>2</v>
      </c>
      <c r="D766" s="51" t="n">
        <v>3</v>
      </c>
      <c r="E766" s="51" t="n">
        <v>4</v>
      </c>
      <c r="F766" s="51" t="n">
        <v>5</v>
      </c>
      <c r="G766" s="51" t="n">
        <v>6</v>
      </c>
      <c r="H766" s="51" t="n">
        <v>7</v>
      </c>
      <c r="I766" s="51" t="n">
        <v>8</v>
      </c>
      <c r="J766" s="51" t="n">
        <v>9</v>
      </c>
      <c r="K766" s="51" t="n">
        <v>10</v>
      </c>
      <c r="L766" s="51" t="n">
        <v>11</v>
      </c>
      <c r="M766" s="51" t="n">
        <v>12</v>
      </c>
      <c r="N766" s="51" t="n">
        <v>13</v>
      </c>
      <c r="O766" s="51" t="n">
        <v>14</v>
      </c>
      <c r="P766" s="51" t="n">
        <v>15</v>
      </c>
    </row>
    <row r="767">
      <c r="A767" s="52" t="inlineStr">
        <is>
          <t>정답</t>
        </is>
      </c>
      <c r="B767" s="33">
        <f>IF($R$742="","",IF($R$742="언어와 매체",자동계산!$D$4,자동계산!$B$4))</f>
        <v/>
      </c>
      <c r="C767" s="33">
        <f>IF($R$742="","",IF($R$742="언어와 매체",자동계산!$D$5,자동계산!$B$5))</f>
        <v/>
      </c>
      <c r="D767" s="33">
        <f>IF($R$742="","",IF($R$742="언어와 매체",자동계산!$D$6,자동계산!$B$6))</f>
        <v/>
      </c>
      <c r="E767" s="33">
        <f>IF($R$742="","",IF($R$742="언어와 매체",자동계산!$D$7,자동계산!$B$7))</f>
        <v/>
      </c>
      <c r="F767" s="33">
        <f>IF($R$742="","",IF($R$742="언어와 매체",자동계산!$D$8,자동계산!$B$8))</f>
        <v/>
      </c>
      <c r="G767" s="33">
        <f>IF($R$742="","",IF($R$742="언어와 매체",자동계산!$D$9,자동계산!$B$9))</f>
        <v/>
      </c>
      <c r="H767" s="33">
        <f>IF($R$742="","",IF($R$742="언어와 매체",자동계산!$D$10,자동계산!$B$10))</f>
        <v/>
      </c>
      <c r="I767" s="33">
        <f>IF($R$742="","",IF($R$742="언어와 매체",자동계산!$D$11,자동계산!$B$11))</f>
        <v/>
      </c>
      <c r="J767" s="33">
        <f>IF($R$742="","",IF($R$742="언어와 매체",자동계산!$D$12,자동계산!$B$12))</f>
        <v/>
      </c>
      <c r="K767" s="33">
        <f>IF($R$742="","",IF($R$742="언어와 매체",자동계산!$D$13,자동계산!$B$13))</f>
        <v/>
      </c>
      <c r="L767" s="33">
        <f>IF($R$742="","",IF($R$742="언어와 매체",자동계산!$D$14,자동계산!$B$14))</f>
        <v/>
      </c>
      <c r="M767" s="33">
        <f>IF($R$742="","",IF($R$742="언어와 매체",자동계산!$D$15,자동계산!$B$15))</f>
        <v/>
      </c>
      <c r="N767" s="33">
        <f>IF($R$742="","",IF($R$742="언어와 매체",자동계산!$D$16,자동계산!$B$16))</f>
        <v/>
      </c>
      <c r="O767" s="33">
        <f>IF($R$742="","",IF($R$742="언어와 매체",자동계산!$D$17,자동계산!$B$17))</f>
        <v/>
      </c>
      <c r="P767" s="33">
        <f>IF($R$742="","",IF($R$742="언어와 매체",자동계산!$D$18,자동계산!$B$18))</f>
        <v/>
      </c>
    </row>
    <row r="768">
      <c r="A768" s="52" t="inlineStr">
        <is>
          <t>학생답안</t>
        </is>
      </c>
      <c r="B768" s="33">
        <f>IF($R$741="","",INDEX(전체채점!E$3:E$62,$R$741))</f>
        <v/>
      </c>
      <c r="C768" s="33">
        <f>IF($R$741="","",INDEX(전체채점!F$3:F$62,$R$741))</f>
        <v/>
      </c>
      <c r="D768" s="33">
        <f>IF($R$741="","",INDEX(전체채점!G$3:G$62,$R$741))</f>
        <v/>
      </c>
      <c r="E768" s="33">
        <f>IF($R$741="","",INDEX(전체채점!H$3:H$62,$R$741))</f>
        <v/>
      </c>
      <c r="F768" s="33">
        <f>IF($R$741="","",INDEX(전체채점!I$3:I$62,$R$741))</f>
        <v/>
      </c>
      <c r="G768" s="33">
        <f>IF($R$741="","",INDEX(전체채점!J$3:J$62,$R$741))</f>
        <v/>
      </c>
      <c r="H768" s="33">
        <f>IF($R$741="","",INDEX(전체채점!K$3:K$62,$R$741))</f>
        <v/>
      </c>
      <c r="I768" s="33">
        <f>IF($R$741="","",INDEX(전체채점!L$3:L$62,$R$741))</f>
        <v/>
      </c>
      <c r="J768" s="33">
        <f>IF($R$741="","",INDEX(전체채점!M$3:M$62,$R$741))</f>
        <v/>
      </c>
      <c r="K768" s="33">
        <f>IF($R$741="","",INDEX(전체채점!N$3:N$62,$R$741))</f>
        <v/>
      </c>
      <c r="L768" s="33">
        <f>IF($R$741="","",INDEX(전체채점!O$3:O$62,$R$741))</f>
        <v/>
      </c>
      <c r="M768" s="33">
        <f>IF($R$741="","",INDEX(전체채점!P$3:P$62,$R$741))</f>
        <v/>
      </c>
      <c r="N768" s="33">
        <f>IF($R$741="","",INDEX(전체채점!Q$3:Q$62,$R$741))</f>
        <v/>
      </c>
      <c r="O768" s="33">
        <f>IF($R$741="","",INDEX(전체채점!R$3:R$62,$R$741))</f>
        <v/>
      </c>
      <c r="P768" s="33">
        <f>IF($R$741="","",INDEX(전체채점!S$3:S$62,$R$741))</f>
        <v/>
      </c>
    </row>
    <row r="769">
      <c r="A769" s="52" t="inlineStr">
        <is>
          <t>정오</t>
        </is>
      </c>
      <c r="B769" s="33">
        <f>IF($R$741="","",INDEX(전체채점!AX$3:AX$62,$R$741))</f>
        <v/>
      </c>
      <c r="C769" s="33">
        <f>IF($R$741="","",INDEX(전체채점!AY$3:AY$62,$R$741))</f>
        <v/>
      </c>
      <c r="D769" s="33">
        <f>IF($R$741="","",INDEX(전체채점!AZ$3:AZ$62,$R$741))</f>
        <v/>
      </c>
      <c r="E769" s="33">
        <f>IF($R$741="","",INDEX(전체채점!BA$3:BA$62,$R$741))</f>
        <v/>
      </c>
      <c r="F769" s="33">
        <f>IF($R$741="","",INDEX(전체채점!BB$3:BB$62,$R$741))</f>
        <v/>
      </c>
      <c r="G769" s="33">
        <f>IF($R$741="","",INDEX(전체채점!BC$3:BC$62,$R$741))</f>
        <v/>
      </c>
      <c r="H769" s="33">
        <f>IF($R$741="","",INDEX(전체채점!BD$3:BD$62,$R$741))</f>
        <v/>
      </c>
      <c r="I769" s="33">
        <f>IF($R$741="","",INDEX(전체채점!BE$3:BE$62,$R$741))</f>
        <v/>
      </c>
      <c r="J769" s="33">
        <f>IF($R$741="","",INDEX(전체채점!BF$3:BF$62,$R$741))</f>
        <v/>
      </c>
      <c r="K769" s="33">
        <f>IF($R$741="","",INDEX(전체채점!BG$3:BG$62,$R$741))</f>
        <v/>
      </c>
      <c r="L769" s="33">
        <f>IF($R$741="","",INDEX(전체채점!BH$3:BH$62,$R$741))</f>
        <v/>
      </c>
      <c r="M769" s="33">
        <f>IF($R$741="","",INDEX(전체채점!BI$3:BI$62,$R$741))</f>
        <v/>
      </c>
      <c r="N769" s="33">
        <f>IF($R$741="","",INDEX(전체채점!BJ$3:BJ$62,$R$741))</f>
        <v/>
      </c>
      <c r="O769" s="33">
        <f>IF($R$741="","",INDEX(전체채점!BK$3:BK$62,$R$741))</f>
        <v/>
      </c>
      <c r="P769" s="33">
        <f>IF($R$741="","",INDEX(전체채점!BL$3:BL$62,$R$741))</f>
        <v/>
      </c>
    </row>
    <row r="770">
      <c r="A770" s="50" t="inlineStr">
        <is>
          <t>문항 번호</t>
        </is>
      </c>
      <c r="B770" s="51" t="n">
        <v>16</v>
      </c>
      <c r="C770" s="51" t="n">
        <v>17</v>
      </c>
      <c r="D770" s="51" t="n">
        <v>18</v>
      </c>
      <c r="E770" s="51" t="n">
        <v>19</v>
      </c>
      <c r="F770" s="51" t="n">
        <v>20</v>
      </c>
      <c r="G770" s="51" t="n">
        <v>21</v>
      </c>
      <c r="H770" s="51" t="n">
        <v>22</v>
      </c>
      <c r="I770" s="51" t="n">
        <v>23</v>
      </c>
      <c r="J770" s="51" t="n">
        <v>24</v>
      </c>
      <c r="K770" s="51" t="n">
        <v>25</v>
      </c>
      <c r="L770" s="51" t="n">
        <v>26</v>
      </c>
      <c r="M770" s="51" t="n">
        <v>27</v>
      </c>
      <c r="N770" s="51" t="n">
        <v>28</v>
      </c>
      <c r="O770" s="51" t="n">
        <v>29</v>
      </c>
      <c r="P770" s="51" t="n">
        <v>30</v>
      </c>
    </row>
    <row r="771">
      <c r="A771" s="52" t="inlineStr">
        <is>
          <t>정답</t>
        </is>
      </c>
      <c r="B771" s="33">
        <f>IF($R$742="","",IF($R$742="언어와 매체",자동계산!$D$19,자동계산!$B$19))</f>
        <v/>
      </c>
      <c r="C771" s="33">
        <f>IF($R$742="","",IF($R$742="언어와 매체",자동계산!$D$20,자동계산!$B$20))</f>
        <v/>
      </c>
      <c r="D771" s="33">
        <f>IF($R$742="","",IF($R$742="언어와 매체",자동계산!$D$21,자동계산!$B$21))</f>
        <v/>
      </c>
      <c r="E771" s="33">
        <f>IF($R$742="","",IF($R$742="언어와 매체",자동계산!$D$22,자동계산!$B$22))</f>
        <v/>
      </c>
      <c r="F771" s="33">
        <f>IF($R$742="","",IF($R$742="언어와 매체",자동계산!$D$23,자동계산!$B$23))</f>
        <v/>
      </c>
      <c r="G771" s="33">
        <f>IF($R$742="","",IF($R$742="언어와 매체",자동계산!$D$24,자동계산!$B$24))</f>
        <v/>
      </c>
      <c r="H771" s="33">
        <f>IF($R$742="","",IF($R$742="언어와 매체",자동계산!$D$25,자동계산!$B$25))</f>
        <v/>
      </c>
      <c r="I771" s="33">
        <f>IF($R$742="","",IF($R$742="언어와 매체",자동계산!$D$26,자동계산!$B$26))</f>
        <v/>
      </c>
      <c r="J771" s="33">
        <f>IF($R$742="","",IF($R$742="언어와 매체",자동계산!$D$27,자동계산!$B$27))</f>
        <v/>
      </c>
      <c r="K771" s="33">
        <f>IF($R$742="","",IF($R$742="언어와 매체",자동계산!$D$28,자동계산!$B$28))</f>
        <v/>
      </c>
      <c r="L771" s="33">
        <f>IF($R$742="","",IF($R$742="언어와 매체",자동계산!$D$29,자동계산!$B$29))</f>
        <v/>
      </c>
      <c r="M771" s="33">
        <f>IF($R$742="","",IF($R$742="언어와 매체",자동계산!$D$30,자동계산!$B$30))</f>
        <v/>
      </c>
      <c r="N771" s="33">
        <f>IF($R$742="","",IF($R$742="언어와 매체",자동계산!$D$31,자동계산!$B$31))</f>
        <v/>
      </c>
      <c r="O771" s="33">
        <f>IF($R$742="","",IF($R$742="언어와 매체",자동계산!$D$32,자동계산!$B$32))</f>
        <v/>
      </c>
      <c r="P771" s="33">
        <f>IF($R$742="","",IF($R$742="언어와 매체",자동계산!$D$33,자동계산!$B$33))</f>
        <v/>
      </c>
    </row>
    <row r="772">
      <c r="A772" s="52" t="inlineStr">
        <is>
          <t>학생답안</t>
        </is>
      </c>
      <c r="B772" s="33">
        <f>IF($R$741="","",INDEX(전체채점!T$3:T$62,$R$741))</f>
        <v/>
      </c>
      <c r="C772" s="33">
        <f>IF($R$741="","",INDEX(전체채점!U$3:U$62,$R$741))</f>
        <v/>
      </c>
      <c r="D772" s="33">
        <f>IF($R$741="","",INDEX(전체채점!V$3:V$62,$R$741))</f>
        <v/>
      </c>
      <c r="E772" s="33">
        <f>IF($R$741="","",INDEX(전체채점!W$3:W$62,$R$741))</f>
        <v/>
      </c>
      <c r="F772" s="33">
        <f>IF($R$741="","",INDEX(전체채점!X$3:X$62,$R$741))</f>
        <v/>
      </c>
      <c r="G772" s="33">
        <f>IF($R$741="","",INDEX(전체채점!Y$3:Y$62,$R$741))</f>
        <v/>
      </c>
      <c r="H772" s="33">
        <f>IF($R$741="","",INDEX(전체채점!Z$3:Z$62,$R$741))</f>
        <v/>
      </c>
      <c r="I772" s="33">
        <f>IF($R$741="","",INDEX(전체채점!AA$3:AA$62,$R$741))</f>
        <v/>
      </c>
      <c r="J772" s="33">
        <f>IF($R$741="","",INDEX(전체채점!AB$3:AB$62,$R$741))</f>
        <v/>
      </c>
      <c r="K772" s="33">
        <f>IF($R$741="","",INDEX(전체채점!AC$3:AC$62,$R$741))</f>
        <v/>
      </c>
      <c r="L772" s="33">
        <f>IF($R$741="","",INDEX(전체채점!AD$3:AD$62,$R$741))</f>
        <v/>
      </c>
      <c r="M772" s="33">
        <f>IF($R$741="","",INDEX(전체채점!AE$3:AE$62,$R$741))</f>
        <v/>
      </c>
      <c r="N772" s="33">
        <f>IF($R$741="","",INDEX(전체채점!AF$3:AF$62,$R$741))</f>
        <v/>
      </c>
      <c r="O772" s="33">
        <f>IF($R$741="","",INDEX(전체채점!AG$3:AG$62,$R$741))</f>
        <v/>
      </c>
      <c r="P772" s="33">
        <f>IF($R$741="","",INDEX(전체채점!AH$3:AH$62,$R$741))</f>
        <v/>
      </c>
    </row>
    <row r="773">
      <c r="A773" s="52" t="inlineStr">
        <is>
          <t>정오</t>
        </is>
      </c>
      <c r="B773" s="33">
        <f>IF($R$741="","",INDEX(전체채점!BM$3:BM$62,$R$741))</f>
        <v/>
      </c>
      <c r="C773" s="33">
        <f>IF($R$741="","",INDEX(전체채점!BN$3:BN$62,$R$741))</f>
        <v/>
      </c>
      <c r="D773" s="33">
        <f>IF($R$741="","",INDEX(전체채점!BO$3:BO$62,$R$741))</f>
        <v/>
      </c>
      <c r="E773" s="33">
        <f>IF($R$741="","",INDEX(전체채점!BP$3:BP$62,$R$741))</f>
        <v/>
      </c>
      <c r="F773" s="33">
        <f>IF($R$741="","",INDEX(전체채점!BQ$3:BQ$62,$R$741))</f>
        <v/>
      </c>
      <c r="G773" s="33">
        <f>IF($R$741="","",INDEX(전체채점!BR$3:BR$62,$R$741))</f>
        <v/>
      </c>
      <c r="H773" s="33">
        <f>IF($R$741="","",INDEX(전체채점!BS$3:BS$62,$R$741))</f>
        <v/>
      </c>
      <c r="I773" s="33">
        <f>IF($R$741="","",INDEX(전체채점!BT$3:BT$62,$R$741))</f>
        <v/>
      </c>
      <c r="J773" s="33">
        <f>IF($R$741="","",INDEX(전체채점!BU$3:BU$62,$R$741))</f>
        <v/>
      </c>
      <c r="K773" s="33">
        <f>IF($R$741="","",INDEX(전체채점!BV$3:BV$62,$R$741))</f>
        <v/>
      </c>
      <c r="L773" s="33">
        <f>IF($R$741="","",INDEX(전체채점!BW$3:BW$62,$R$741))</f>
        <v/>
      </c>
      <c r="M773" s="33">
        <f>IF($R$741="","",INDEX(전체채점!BX$3:BX$62,$R$741))</f>
        <v/>
      </c>
      <c r="N773" s="33">
        <f>IF($R$741="","",INDEX(전체채점!BY$3:BY$62,$R$741))</f>
        <v/>
      </c>
      <c r="O773" s="33">
        <f>IF($R$741="","",INDEX(전체채점!BZ$3:BZ$62,$R$741))</f>
        <v/>
      </c>
      <c r="P773" s="33">
        <f>IF($R$741="","",INDEX(전체채점!CA$3:CA$62,$R$741))</f>
        <v/>
      </c>
    </row>
    <row r="774">
      <c r="A774" s="50" t="inlineStr">
        <is>
          <t>문항 번호</t>
        </is>
      </c>
      <c r="B774" s="51" t="n">
        <v>31</v>
      </c>
      <c r="C774" s="51" t="n">
        <v>32</v>
      </c>
      <c r="D774" s="51" t="n">
        <v>33</v>
      </c>
      <c r="E774" s="51" t="n">
        <v>34</v>
      </c>
      <c r="F774" s="51" t="n">
        <v>35</v>
      </c>
      <c r="G774" s="51" t="n">
        <v>36</v>
      </c>
      <c r="H774" s="51" t="n">
        <v>37</v>
      </c>
      <c r="I774" s="51" t="n">
        <v>38</v>
      </c>
      <c r="J774" s="51" t="n">
        <v>39</v>
      </c>
      <c r="K774" s="51" t="n">
        <v>40</v>
      </c>
      <c r="L774" s="51" t="n">
        <v>41</v>
      </c>
      <c r="M774" s="51" t="n">
        <v>42</v>
      </c>
      <c r="N774" s="51" t="n">
        <v>43</v>
      </c>
      <c r="O774" s="51" t="n">
        <v>44</v>
      </c>
      <c r="P774" s="51" t="n">
        <v>45</v>
      </c>
    </row>
    <row r="775">
      <c r="A775" s="52" t="inlineStr">
        <is>
          <t>정답</t>
        </is>
      </c>
      <c r="B775" s="33">
        <f>IF($R$742="","",IF($R$742="언어와 매체",자동계산!$D$34,자동계산!$B$34))</f>
        <v/>
      </c>
      <c r="C775" s="33">
        <f>IF($R$742="","",IF($R$742="언어와 매체",자동계산!$D$35,자동계산!$B$35))</f>
        <v/>
      </c>
      <c r="D775" s="33">
        <f>IF($R$742="","",IF($R$742="언어와 매체",자동계산!$D$36,자동계산!$B$36))</f>
        <v/>
      </c>
      <c r="E775" s="33">
        <f>IF($R$742="","",IF($R$742="언어와 매체",자동계산!$D$37,자동계산!$B$37))</f>
        <v/>
      </c>
      <c r="F775" s="33">
        <f>IF($R$742="","",IF($R$742="언어와 매체",자동계산!$D$38,자동계산!$B$38))</f>
        <v/>
      </c>
      <c r="G775" s="33">
        <f>IF($R$742="","",IF($R$742="언어와 매체",자동계산!$D$39,자동계산!$B$39))</f>
        <v/>
      </c>
      <c r="H775" s="33">
        <f>IF($R$742="","",IF($R$742="언어와 매체",자동계산!$D$40,자동계산!$B$40))</f>
        <v/>
      </c>
      <c r="I775" s="33">
        <f>IF($R$742="","",IF($R$742="언어와 매체",자동계산!$D$41,자동계산!$B$41))</f>
        <v/>
      </c>
      <c r="J775" s="33">
        <f>IF($R$742="","",IF($R$742="언어와 매체",자동계산!$D$42,자동계산!$B$42))</f>
        <v/>
      </c>
      <c r="K775" s="33">
        <f>IF($R$742="","",IF($R$742="언어와 매체",자동계산!$D$43,자동계산!$B$43))</f>
        <v/>
      </c>
      <c r="L775" s="33">
        <f>IF($R$742="","",IF($R$742="언어와 매체",자동계산!$D$44,자동계산!$B$44))</f>
        <v/>
      </c>
      <c r="M775" s="33">
        <f>IF($R$742="","",IF($R$742="언어와 매체",자동계산!$D$45,자동계산!$B$45))</f>
        <v/>
      </c>
      <c r="N775" s="33">
        <f>IF($R$742="","",IF($R$742="언어와 매체",자동계산!$D$46,자동계산!$B$46))</f>
        <v/>
      </c>
      <c r="O775" s="33">
        <f>IF($R$742="","",IF($R$742="언어와 매체",자동계산!$D$47,자동계산!$B$47))</f>
        <v/>
      </c>
      <c r="P775" s="33">
        <f>IF($R$742="","",IF($R$742="언어와 매체",자동계산!$D$48,자동계산!$B$48))</f>
        <v/>
      </c>
    </row>
    <row r="776">
      <c r="A776" s="52" t="inlineStr">
        <is>
          <t>학생답안</t>
        </is>
      </c>
      <c r="B776" s="33">
        <f>IF($R$741="","",INDEX(전체채점!AI$3:AI$62,$R$741))</f>
        <v/>
      </c>
      <c r="C776" s="33">
        <f>IF($R$741="","",INDEX(전체채점!AJ$3:AJ$62,$R$741))</f>
        <v/>
      </c>
      <c r="D776" s="33">
        <f>IF($R$741="","",INDEX(전체채점!AK$3:AK$62,$R$741))</f>
        <v/>
      </c>
      <c r="E776" s="33">
        <f>IF($R$741="","",INDEX(전체채점!AL$3:AL$62,$R$741))</f>
        <v/>
      </c>
      <c r="F776" s="33">
        <f>IF($R$741="","",INDEX(전체채점!AM$3:AM$62,$R$741))</f>
        <v/>
      </c>
      <c r="G776" s="33">
        <f>IF($R$741="","",INDEX(전체채점!AN$3:AN$62,$R$741))</f>
        <v/>
      </c>
      <c r="H776" s="33">
        <f>IF($R$741="","",INDEX(전체채점!AO$3:AO$62,$R$741))</f>
        <v/>
      </c>
      <c r="I776" s="33">
        <f>IF($R$741="","",INDEX(전체채점!AP$3:AP$62,$R$741))</f>
        <v/>
      </c>
      <c r="J776" s="33">
        <f>IF($R$741="","",INDEX(전체채점!AQ$3:AQ$62,$R$741))</f>
        <v/>
      </c>
      <c r="K776" s="33">
        <f>IF($R$741="","",INDEX(전체채점!AR$3:AR$62,$R$741))</f>
        <v/>
      </c>
      <c r="L776" s="33">
        <f>IF($R$741="","",INDEX(전체채점!AS$3:AS$62,$R$741))</f>
        <v/>
      </c>
      <c r="M776" s="33">
        <f>IF($R$741="","",INDEX(전체채점!AT$3:AT$62,$R$741))</f>
        <v/>
      </c>
      <c r="N776" s="33">
        <f>IF($R$741="","",INDEX(전체채점!AU$3:AU$62,$R$741))</f>
        <v/>
      </c>
      <c r="O776" s="33">
        <f>IF($R$741="","",INDEX(전체채점!AV$3:AV$62,$R$741))</f>
        <v/>
      </c>
      <c r="P776" s="33">
        <f>IF($R$741="","",INDEX(전체채점!AW$3:AW$62,$R$741))</f>
        <v/>
      </c>
    </row>
    <row r="777">
      <c r="A777" s="52" t="inlineStr">
        <is>
          <t>정오</t>
        </is>
      </c>
      <c r="B777" s="33">
        <f>IF($R$741="","",INDEX(전체채점!CB$3:CB$62,$R$741))</f>
        <v/>
      </c>
      <c r="C777" s="33">
        <f>IF($R$741="","",INDEX(전체채점!CC$3:CC$62,$R$741))</f>
        <v/>
      </c>
      <c r="D777" s="33">
        <f>IF($R$741="","",INDEX(전체채점!CD$3:CD$62,$R$741))</f>
        <v/>
      </c>
      <c r="E777" s="33">
        <f>IF($R$741="","",INDEX(전체채점!CE$3:CE$62,$R$741))</f>
        <v/>
      </c>
      <c r="F777" s="33">
        <f>IF($R$741="","",INDEX(전체채점!CF$3:CF$62,$R$741))</f>
        <v/>
      </c>
      <c r="G777" s="33">
        <f>IF($R$741="","",INDEX(전체채점!CG$3:CG$62,$R$741))</f>
        <v/>
      </c>
      <c r="H777" s="33">
        <f>IF($R$741="","",INDEX(전체채점!CH$3:CH$62,$R$741))</f>
        <v/>
      </c>
      <c r="I777" s="33">
        <f>IF($R$741="","",INDEX(전체채점!CI$3:CI$62,$R$741))</f>
        <v/>
      </c>
      <c r="J777" s="33">
        <f>IF($R$741="","",INDEX(전체채점!CJ$3:CJ$62,$R$741))</f>
        <v/>
      </c>
      <c r="K777" s="33">
        <f>IF($R$741="","",INDEX(전체채점!CK$3:CK$62,$R$741))</f>
        <v/>
      </c>
      <c r="L777" s="33">
        <f>IF($R$741="","",INDEX(전체채점!CL$3:CL$62,$R$741))</f>
        <v/>
      </c>
      <c r="M777" s="33">
        <f>IF($R$741="","",INDEX(전체채점!CM$3:CM$62,$R$741))</f>
        <v/>
      </c>
      <c r="N777" s="33">
        <f>IF($R$741="","",INDEX(전체채점!CN$3:CN$62,$R$741))</f>
        <v/>
      </c>
      <c r="O777" s="33">
        <f>IF($R$741="","",INDEX(전체채점!CO$3:CO$62,$R$741))</f>
        <v/>
      </c>
      <c r="P777" s="33">
        <f>IF($R$741="","",INDEX(전체채점!CP$3:CP$62,$R$741))</f>
        <v/>
      </c>
    </row>
    <row r="780" ht="34" customHeight="1">
      <c r="A780" s="36">
        <f>IF($R$782="","",회차설정!$B$2&amp;" 성적표")</f>
        <v/>
      </c>
    </row>
    <row r="782">
      <c r="A782" s="12" t="inlineStr">
        <is>
          <t>1. 학생정보</t>
        </is>
      </c>
      <c r="R782" s="37">
        <f>IF(답안입력!$A$22="","",20)</f>
        <v/>
      </c>
      <c r="S782" s="37">
        <f>IF($R$783="","",IFERROR(IF($R$783="언어와 매체",MATCH(1,회차설정!$G$13:$G$27,0),MATCH(1,회차설정!$F$13:$F$27,0)),""))</f>
        <v/>
      </c>
    </row>
    <row r="783">
      <c r="A783" s="13" t="inlineStr">
        <is>
          <t>성명</t>
        </is>
      </c>
      <c r="B783" s="7" t="n"/>
      <c r="C783" s="8" t="n"/>
      <c r="D783" s="13" t="inlineStr">
        <is>
          <t>선택과목</t>
        </is>
      </c>
      <c r="E783" s="7" t="n"/>
      <c r="F783" s="7" t="n"/>
      <c r="G783" s="8" t="n"/>
      <c r="H783" s="13" t="inlineStr">
        <is>
          <t>학년</t>
        </is>
      </c>
      <c r="I783" s="7" t="n"/>
      <c r="J783" s="7" t="n"/>
      <c r="K783" s="8" t="n"/>
      <c r="L783" s="13" t="inlineStr">
        <is>
          <t>시행일</t>
        </is>
      </c>
      <c r="M783" s="7" t="n"/>
      <c r="N783" s="7" t="n"/>
      <c r="O783" s="7" t="n"/>
      <c r="P783" s="8" t="n"/>
      <c r="R783" s="37">
        <f>IF($R$782="","",INDEX(전체채점!$B$3:$B$62,$R$782))</f>
        <v/>
      </c>
      <c r="S783" s="37">
        <f>IF($R$783="","",IFERROR(IF($R$783="언어와 매체",MATCH(2,회차설정!$G$13:$G$27,0),MATCH(2,회차설정!$F$13:$F$27,0)),""))</f>
        <v/>
      </c>
    </row>
    <row r="784" ht="26" customHeight="1">
      <c r="A784" s="39">
        <f>IF($R$782="","",INDEX(답안입력!$A$3:$A$62,$R$782))</f>
        <v/>
      </c>
      <c r="B784" s="7" t="n"/>
      <c r="C784" s="8" t="n"/>
      <c r="D784" s="39">
        <f>IF($R$782="","",INDEX(답안입력!$C$3:$C$62,$R$782))</f>
        <v/>
      </c>
      <c r="E784" s="7" t="n"/>
      <c r="F784" s="7" t="n"/>
      <c r="G784" s="8" t="n"/>
      <c r="H784" s="39">
        <f>IF($R$782="","",INDEX(답안입력!$B$3:$B$62,$R$782))</f>
        <v/>
      </c>
      <c r="I784" s="7" t="n"/>
      <c r="J784" s="7" t="n"/>
      <c r="K784" s="8" t="n"/>
      <c r="L784" s="40">
        <f>회차설정!$B$3</f>
        <v/>
      </c>
      <c r="M784" s="7" t="n"/>
      <c r="N784" s="7" t="n"/>
      <c r="O784" s="7" t="n"/>
      <c r="P784" s="8" t="n"/>
      <c r="R784" s="37">
        <f>IF($R$783="언어와 매체",회차설정!$B$9,회차설정!$B$8)</f>
        <v/>
      </c>
      <c r="S784" s="37">
        <f>IF($R$783="","",IFERROR(IF($R$783="언어와 매체",MATCH(3,회차설정!$G$13:$G$27,0),MATCH(3,회차설정!$F$13:$F$27,0)),""))</f>
        <v/>
      </c>
    </row>
    <row r="785">
      <c r="R785" s="37">
        <f>IF($R$783="언어와 매체",회차설정!$C$9,회차설정!$C$8)</f>
        <v/>
      </c>
      <c r="S785" s="37">
        <f>IF($R$783="","",IFERROR(IF($R$783="언어와 매체",MATCH(4,회차설정!$G$13:$G$27,0),MATCH(4,회차설정!$F$13:$F$27,0)),""))</f>
        <v/>
      </c>
    </row>
    <row r="786">
      <c r="A786" s="12" t="inlineStr">
        <is>
          <t>2. 성적</t>
        </is>
      </c>
      <c r="R786" s="37">
        <f>IF($R$783="언어와 매체",회차설정!$D$9,회차설정!$D$8)</f>
        <v/>
      </c>
      <c r="S786" s="37">
        <f>IF($R$783="","",IFERROR(IF($R$783="언어와 매체",MATCH(5,회차설정!$G$13:$G$27,0),MATCH(5,회차설정!$F$13:$F$27,0)),""))</f>
        <v/>
      </c>
    </row>
    <row r="787">
      <c r="A787" s="13" t="inlineStr">
        <is>
          <t>점수 (100점 만점)</t>
        </is>
      </c>
      <c r="B787" s="7" t="n"/>
      <c r="C787" s="7" t="n"/>
      <c r="D787" s="7" t="n"/>
      <c r="E787" s="8" t="n"/>
      <c r="F787" s="13" t="inlineStr">
        <is>
          <t>등급</t>
        </is>
      </c>
      <c r="G787" s="7" t="n"/>
      <c r="H787" s="8" t="n"/>
      <c r="I787" s="13" t="inlineStr">
        <is>
          <t>등급컷</t>
        </is>
      </c>
      <c r="J787" s="7" t="n"/>
      <c r="K787" s="7" t="n"/>
      <c r="L787" s="8" t="n"/>
      <c r="M787" s="13" t="inlineStr">
        <is>
          <t>같은 선택과목 평균</t>
        </is>
      </c>
      <c r="N787" s="7" t="n"/>
      <c r="O787" s="7" t="n"/>
      <c r="P787" s="8" t="n"/>
      <c r="R787" s="37">
        <f>IF($R$783="언어와 매체",회차설정!$E$9,회차설정!$E$8)</f>
        <v/>
      </c>
      <c r="S787" s="37">
        <f>IF($R$783="","",IFERROR(IF($R$783="언어와 매체",MATCH(6,회차설정!$G$13:$G$27,0),MATCH(6,회차설정!$F$13:$F$27,0)),""))</f>
        <v/>
      </c>
    </row>
    <row r="788" ht="34" customHeight="1">
      <c r="A788" s="41">
        <f>IF($R$782="","",INDEX(전체채점!$C$3:$C$62,$R$782))</f>
        <v/>
      </c>
      <c r="B788" s="7" t="n"/>
      <c r="C788" s="7" t="n"/>
      <c r="D788" s="7" t="n"/>
      <c r="E788" s="8" t="n"/>
      <c r="F788" s="42">
        <f>IF($R$782="","",INDEX(전체채점!$D$3:$D$62,$R$782))</f>
        <v/>
      </c>
      <c r="G788" s="7" t="n"/>
      <c r="H788" s="8" t="n"/>
      <c r="I788" s="43">
        <f>IF($R$782="","",$R$784&amp;"-"&amp;$R$785&amp;"-"&amp;$R$786&amp;"-"&amp;$R$787)</f>
        <v/>
      </c>
      <c r="J788" s="7" t="n"/>
      <c r="K788" s="7" t="n"/>
      <c r="L788" s="8" t="n"/>
      <c r="M788" s="44">
        <f>IFERROR(AVERAGEIF(전체채점!$B$3:$B$62,$R$783,전체채점!$C$3:$C$62),"")</f>
        <v/>
      </c>
      <c r="N788" s="7" t="n"/>
      <c r="O788" s="7" t="n"/>
      <c r="P788" s="8" t="n"/>
      <c r="S788" s="37">
        <f>IF($R$783="","",IFERROR(IF($R$783="언어와 매체",MATCH(7,회차설정!$G$13:$G$27,0),MATCH(7,회차설정!$F$13:$F$27,0)),""))</f>
        <v/>
      </c>
    </row>
    <row r="789">
      <c r="S789" s="37">
        <f>IF($R$783="","",IFERROR(IF($R$783="언어와 매체",MATCH(8,회차설정!$G$13:$G$27,0),MATCH(8,회차설정!$F$13:$F$27,0)),""))</f>
        <v/>
      </c>
    </row>
    <row r="790">
      <c r="A790" s="12" t="inlineStr">
        <is>
          <t>3. 영역분류별 성취도 분석</t>
        </is>
      </c>
      <c r="F790" s="45">
        <f>IF(OR($R$782="",$E804=""),"",IF($E804=INDEX(전체채점!$C$3:$C$62,$R$782),"","※ 회차설정의 영역 표를 확인하세요 — 영역 합계와 점수가 다릅니다"))</f>
        <v/>
      </c>
      <c r="S790" s="37">
        <f>IF($R$783="","",IFERROR(IF($R$783="언어와 매체",MATCH(9,회차설정!$G$13:$G$27,0),MATCH(9,회차설정!$F$13:$F$27,0)),""))</f>
        <v/>
      </c>
    </row>
    <row r="791">
      <c r="A791" s="13" t="inlineStr">
        <is>
          <t>분류</t>
        </is>
      </c>
      <c r="B791" s="13" t="inlineStr">
        <is>
          <t>영역</t>
        </is>
      </c>
      <c r="C791" s="8" t="n"/>
      <c r="D791" s="13" t="inlineStr">
        <is>
          <t>배점</t>
        </is>
      </c>
      <c r="E791" s="13" t="inlineStr">
        <is>
          <t>득점</t>
        </is>
      </c>
      <c r="F791" s="13" t="inlineStr">
        <is>
          <t>성취도(%)</t>
        </is>
      </c>
      <c r="G791" s="8" t="n"/>
      <c r="H791" s="13" t="inlineStr"/>
      <c r="I791" s="7" t="n"/>
      <c r="J791" s="7" t="n"/>
      <c r="K791" s="7" t="n"/>
      <c r="L791" s="7" t="n"/>
      <c r="M791" s="7" t="n"/>
      <c r="N791" s="7" t="n"/>
      <c r="O791" s="7" t="n"/>
      <c r="P791" s="8" t="n"/>
      <c r="S791" s="37">
        <f>IF($R$783="","",IFERROR(IF($R$783="언어와 매체",MATCH(10,회차설정!$G$13:$G$27,0),MATCH(10,회차설정!$F$13:$F$27,0)),""))</f>
        <v/>
      </c>
    </row>
    <row r="792">
      <c r="A792" s="14">
        <f>IF($S$782="","",INDEX(회차설정!$A$13:$A$27,$S$782))</f>
        <v/>
      </c>
      <c r="B792" s="14">
        <f>IF($S$782="","",INDEX(회차설정!$B$13:$B$27,$S$782))</f>
        <v/>
      </c>
      <c r="C792" s="8" t="n"/>
      <c r="D792" s="14">
        <f>IF($S$782="","",IF($R$783="언어와 매체",SUMPRODUCT((자동계산!$A$4:$A$48&gt;=INDEX(회차설정!$C$13:$C$27,$S$782))*(자동계산!$A$4:$A$48&lt;=INDEX(회차설정!$D$13:$D$27,$S$782))*자동계산!$E$4:$E$48),SUMPRODUCT((자동계산!$A$4:$A$48&gt;=INDEX(회차설정!$C$13:$C$27,$S$782))*(자동계산!$A$4:$A$48&lt;=INDEX(회차설정!$D$13:$D$27,$S$782))*자동계산!$C$4:$C$48)))</f>
        <v/>
      </c>
      <c r="E792" s="14">
        <f>IF(OR($S$782="",$R$782=""),"",SUM(OFFSET(전체채점!$AW$2,$R$782,INDEX(회차설정!$C$13:$C$27,$S$782),1,INDEX(회차설정!$D$13:$D$27,$S$782)-INDEX(회차설정!$C$13:$C$27,$S$782)+1)))</f>
        <v/>
      </c>
      <c r="F792" s="46">
        <f>IF(OR($S$782="",$D792=0,$D792="",$E792=""),"",$E792/$D792*100)</f>
        <v/>
      </c>
      <c r="G792" s="8" t="n"/>
      <c r="H792" s="47">
        <f>IF($F792="","",REPT("■",ROUND($F792/5,0)))</f>
        <v/>
      </c>
      <c r="I792" s="7" t="n"/>
      <c r="J792" s="7" t="n"/>
      <c r="K792" s="7" t="n"/>
      <c r="L792" s="7" t="n"/>
      <c r="M792" s="7" t="n"/>
      <c r="N792" s="7" t="n"/>
      <c r="O792" s="7" t="n"/>
      <c r="P792" s="8" t="n"/>
      <c r="S792" s="37">
        <f>IF($R$783="","",IFERROR(IF($R$783="언어와 매체",MATCH(11,회차설정!$G$13:$G$27,0),MATCH(11,회차설정!$F$13:$F$27,0)),""))</f>
        <v/>
      </c>
    </row>
    <row r="793">
      <c r="A793" s="14">
        <f>IF($S$783="","",INDEX(회차설정!$A$13:$A$27,$S$783))</f>
        <v/>
      </c>
      <c r="B793" s="14">
        <f>IF($S$783="","",INDEX(회차설정!$B$13:$B$27,$S$783))</f>
        <v/>
      </c>
      <c r="C793" s="8" t="n"/>
      <c r="D793" s="14">
        <f>IF($S$783="","",IF($R$783="언어와 매체",SUMPRODUCT((자동계산!$A$4:$A$48&gt;=INDEX(회차설정!$C$13:$C$27,$S$783))*(자동계산!$A$4:$A$48&lt;=INDEX(회차설정!$D$13:$D$27,$S$783))*자동계산!$E$4:$E$48),SUMPRODUCT((자동계산!$A$4:$A$48&gt;=INDEX(회차설정!$C$13:$C$27,$S$783))*(자동계산!$A$4:$A$48&lt;=INDEX(회차설정!$D$13:$D$27,$S$783))*자동계산!$C$4:$C$48)))</f>
        <v/>
      </c>
      <c r="E793" s="14">
        <f>IF(OR($S$783="",$R$782=""),"",SUM(OFFSET(전체채점!$AW$2,$R$782,INDEX(회차설정!$C$13:$C$27,$S$783),1,INDEX(회차설정!$D$13:$D$27,$S$783)-INDEX(회차설정!$C$13:$C$27,$S$783)+1)))</f>
        <v/>
      </c>
      <c r="F793" s="46">
        <f>IF(OR($S$783="",$D793=0,$D793="",$E793=""),"",$E793/$D793*100)</f>
        <v/>
      </c>
      <c r="G793" s="8" t="n"/>
      <c r="H793" s="47">
        <f>IF($F793="","",REPT("■",ROUND($F793/5,0)))</f>
        <v/>
      </c>
      <c r="I793" s="7" t="n"/>
      <c r="J793" s="7" t="n"/>
      <c r="K793" s="7" t="n"/>
      <c r="L793" s="7" t="n"/>
      <c r="M793" s="7" t="n"/>
      <c r="N793" s="7" t="n"/>
      <c r="O793" s="7" t="n"/>
      <c r="P793" s="8" t="n"/>
      <c r="S793" s="37">
        <f>IF($R$783="","",IFERROR(IF($R$783="언어와 매체",MATCH(12,회차설정!$G$13:$G$27,0),MATCH(12,회차설정!$F$13:$F$27,0)),""))</f>
        <v/>
      </c>
    </row>
    <row r="794">
      <c r="A794" s="14">
        <f>IF($S$784="","",INDEX(회차설정!$A$13:$A$27,$S$784))</f>
        <v/>
      </c>
      <c r="B794" s="14">
        <f>IF($S$784="","",INDEX(회차설정!$B$13:$B$27,$S$784))</f>
        <v/>
      </c>
      <c r="C794" s="8" t="n"/>
      <c r="D794" s="14">
        <f>IF($S$784="","",IF($R$783="언어와 매체",SUMPRODUCT((자동계산!$A$4:$A$48&gt;=INDEX(회차설정!$C$13:$C$27,$S$784))*(자동계산!$A$4:$A$48&lt;=INDEX(회차설정!$D$13:$D$27,$S$784))*자동계산!$E$4:$E$48),SUMPRODUCT((자동계산!$A$4:$A$48&gt;=INDEX(회차설정!$C$13:$C$27,$S$784))*(자동계산!$A$4:$A$48&lt;=INDEX(회차설정!$D$13:$D$27,$S$784))*자동계산!$C$4:$C$48)))</f>
        <v/>
      </c>
      <c r="E794" s="14">
        <f>IF(OR($S$784="",$R$782=""),"",SUM(OFFSET(전체채점!$AW$2,$R$782,INDEX(회차설정!$C$13:$C$27,$S$784),1,INDEX(회차설정!$D$13:$D$27,$S$784)-INDEX(회차설정!$C$13:$C$27,$S$784)+1)))</f>
        <v/>
      </c>
      <c r="F794" s="46">
        <f>IF(OR($S$784="",$D794=0,$D794="",$E794=""),"",$E794/$D794*100)</f>
        <v/>
      </c>
      <c r="G794" s="8" t="n"/>
      <c r="H794" s="47">
        <f>IF($F794="","",REPT("■",ROUND($F794/5,0)))</f>
        <v/>
      </c>
      <c r="I794" s="7" t="n"/>
      <c r="J794" s="7" t="n"/>
      <c r="K794" s="7" t="n"/>
      <c r="L794" s="7" t="n"/>
      <c r="M794" s="7" t="n"/>
      <c r="N794" s="7" t="n"/>
      <c r="O794" s="7" t="n"/>
      <c r="P794" s="8" t="n"/>
    </row>
    <row r="795">
      <c r="A795" s="14">
        <f>IF($S$785="","",INDEX(회차설정!$A$13:$A$27,$S$785))</f>
        <v/>
      </c>
      <c r="B795" s="14">
        <f>IF($S$785="","",INDEX(회차설정!$B$13:$B$27,$S$785))</f>
        <v/>
      </c>
      <c r="C795" s="8" t="n"/>
      <c r="D795" s="14">
        <f>IF($S$785="","",IF($R$783="언어와 매체",SUMPRODUCT((자동계산!$A$4:$A$48&gt;=INDEX(회차설정!$C$13:$C$27,$S$785))*(자동계산!$A$4:$A$48&lt;=INDEX(회차설정!$D$13:$D$27,$S$785))*자동계산!$E$4:$E$48),SUMPRODUCT((자동계산!$A$4:$A$48&gt;=INDEX(회차설정!$C$13:$C$27,$S$785))*(자동계산!$A$4:$A$48&lt;=INDEX(회차설정!$D$13:$D$27,$S$785))*자동계산!$C$4:$C$48)))</f>
        <v/>
      </c>
      <c r="E795" s="14">
        <f>IF(OR($S$785="",$R$782=""),"",SUM(OFFSET(전체채점!$AW$2,$R$782,INDEX(회차설정!$C$13:$C$27,$S$785),1,INDEX(회차설정!$D$13:$D$27,$S$785)-INDEX(회차설정!$C$13:$C$27,$S$785)+1)))</f>
        <v/>
      </c>
      <c r="F795" s="46">
        <f>IF(OR($S$785="",$D795=0,$D795="",$E795=""),"",$E795/$D795*100)</f>
        <v/>
      </c>
      <c r="G795" s="8" t="n"/>
      <c r="H795" s="47">
        <f>IF($F795="","",REPT("■",ROUND($F795/5,0)))</f>
        <v/>
      </c>
      <c r="I795" s="7" t="n"/>
      <c r="J795" s="7" t="n"/>
      <c r="K795" s="7" t="n"/>
      <c r="L795" s="7" t="n"/>
      <c r="M795" s="7" t="n"/>
      <c r="N795" s="7" t="n"/>
      <c r="O795" s="7" t="n"/>
      <c r="P795" s="8" t="n"/>
    </row>
    <row r="796">
      <c r="A796" s="14">
        <f>IF($S$786="","",INDEX(회차설정!$A$13:$A$27,$S$786))</f>
        <v/>
      </c>
      <c r="B796" s="14">
        <f>IF($S$786="","",INDEX(회차설정!$B$13:$B$27,$S$786))</f>
        <v/>
      </c>
      <c r="C796" s="8" t="n"/>
      <c r="D796" s="14">
        <f>IF($S$786="","",IF($R$783="언어와 매체",SUMPRODUCT((자동계산!$A$4:$A$48&gt;=INDEX(회차설정!$C$13:$C$27,$S$786))*(자동계산!$A$4:$A$48&lt;=INDEX(회차설정!$D$13:$D$27,$S$786))*자동계산!$E$4:$E$48),SUMPRODUCT((자동계산!$A$4:$A$48&gt;=INDEX(회차설정!$C$13:$C$27,$S$786))*(자동계산!$A$4:$A$48&lt;=INDEX(회차설정!$D$13:$D$27,$S$786))*자동계산!$C$4:$C$48)))</f>
        <v/>
      </c>
      <c r="E796" s="14">
        <f>IF(OR($S$786="",$R$782=""),"",SUM(OFFSET(전체채점!$AW$2,$R$782,INDEX(회차설정!$C$13:$C$27,$S$786),1,INDEX(회차설정!$D$13:$D$27,$S$786)-INDEX(회차설정!$C$13:$C$27,$S$786)+1)))</f>
        <v/>
      </c>
      <c r="F796" s="46">
        <f>IF(OR($S$786="",$D796=0,$D796="",$E796=""),"",$E796/$D796*100)</f>
        <v/>
      </c>
      <c r="G796" s="8" t="n"/>
      <c r="H796" s="47">
        <f>IF($F796="","",REPT("■",ROUND($F796/5,0)))</f>
        <v/>
      </c>
      <c r="I796" s="7" t="n"/>
      <c r="J796" s="7" t="n"/>
      <c r="K796" s="7" t="n"/>
      <c r="L796" s="7" t="n"/>
      <c r="M796" s="7" t="n"/>
      <c r="N796" s="7" t="n"/>
      <c r="O796" s="7" t="n"/>
      <c r="P796" s="8" t="n"/>
    </row>
    <row r="797">
      <c r="A797" s="14">
        <f>IF($S$787="","",INDEX(회차설정!$A$13:$A$27,$S$787))</f>
        <v/>
      </c>
      <c r="B797" s="14">
        <f>IF($S$787="","",INDEX(회차설정!$B$13:$B$27,$S$787))</f>
        <v/>
      </c>
      <c r="C797" s="8" t="n"/>
      <c r="D797" s="14">
        <f>IF($S$787="","",IF($R$783="언어와 매체",SUMPRODUCT((자동계산!$A$4:$A$48&gt;=INDEX(회차설정!$C$13:$C$27,$S$787))*(자동계산!$A$4:$A$48&lt;=INDEX(회차설정!$D$13:$D$27,$S$787))*자동계산!$E$4:$E$48),SUMPRODUCT((자동계산!$A$4:$A$48&gt;=INDEX(회차설정!$C$13:$C$27,$S$787))*(자동계산!$A$4:$A$48&lt;=INDEX(회차설정!$D$13:$D$27,$S$787))*자동계산!$C$4:$C$48)))</f>
        <v/>
      </c>
      <c r="E797" s="14">
        <f>IF(OR($S$787="",$R$782=""),"",SUM(OFFSET(전체채점!$AW$2,$R$782,INDEX(회차설정!$C$13:$C$27,$S$787),1,INDEX(회차설정!$D$13:$D$27,$S$787)-INDEX(회차설정!$C$13:$C$27,$S$787)+1)))</f>
        <v/>
      </c>
      <c r="F797" s="46">
        <f>IF(OR($S$787="",$D797=0,$D797="",$E797=""),"",$E797/$D797*100)</f>
        <v/>
      </c>
      <c r="G797" s="8" t="n"/>
      <c r="H797" s="47">
        <f>IF($F797="","",REPT("■",ROUND($F797/5,0)))</f>
        <v/>
      </c>
      <c r="I797" s="7" t="n"/>
      <c r="J797" s="7" t="n"/>
      <c r="K797" s="7" t="n"/>
      <c r="L797" s="7" t="n"/>
      <c r="M797" s="7" t="n"/>
      <c r="N797" s="7" t="n"/>
      <c r="O797" s="7" t="n"/>
      <c r="P797" s="8" t="n"/>
    </row>
    <row r="798">
      <c r="A798" s="14">
        <f>IF($S$788="","",INDEX(회차설정!$A$13:$A$27,$S$788))</f>
        <v/>
      </c>
      <c r="B798" s="14">
        <f>IF($S$788="","",INDEX(회차설정!$B$13:$B$27,$S$788))</f>
        <v/>
      </c>
      <c r="C798" s="8" t="n"/>
      <c r="D798" s="14">
        <f>IF($S$788="","",IF($R$783="언어와 매체",SUMPRODUCT((자동계산!$A$4:$A$48&gt;=INDEX(회차설정!$C$13:$C$27,$S$788))*(자동계산!$A$4:$A$48&lt;=INDEX(회차설정!$D$13:$D$27,$S$788))*자동계산!$E$4:$E$48),SUMPRODUCT((자동계산!$A$4:$A$48&gt;=INDEX(회차설정!$C$13:$C$27,$S$788))*(자동계산!$A$4:$A$48&lt;=INDEX(회차설정!$D$13:$D$27,$S$788))*자동계산!$C$4:$C$48)))</f>
        <v/>
      </c>
      <c r="E798" s="14">
        <f>IF(OR($S$788="",$R$782=""),"",SUM(OFFSET(전체채점!$AW$2,$R$782,INDEX(회차설정!$C$13:$C$27,$S$788),1,INDEX(회차설정!$D$13:$D$27,$S$788)-INDEX(회차설정!$C$13:$C$27,$S$788)+1)))</f>
        <v/>
      </c>
      <c r="F798" s="46">
        <f>IF(OR($S$788="",$D798=0,$D798="",$E798=""),"",$E798/$D798*100)</f>
        <v/>
      </c>
      <c r="G798" s="8" t="n"/>
      <c r="H798" s="47">
        <f>IF($F798="","",REPT("■",ROUND($F798/5,0)))</f>
        <v/>
      </c>
      <c r="I798" s="7" t="n"/>
      <c r="J798" s="7" t="n"/>
      <c r="K798" s="7" t="n"/>
      <c r="L798" s="7" t="n"/>
      <c r="M798" s="7" t="n"/>
      <c r="N798" s="7" t="n"/>
      <c r="O798" s="7" t="n"/>
      <c r="P798" s="8" t="n"/>
    </row>
    <row r="799">
      <c r="A799" s="14">
        <f>IF($S$789="","",INDEX(회차설정!$A$13:$A$27,$S$789))</f>
        <v/>
      </c>
      <c r="B799" s="14">
        <f>IF($S$789="","",INDEX(회차설정!$B$13:$B$27,$S$789))</f>
        <v/>
      </c>
      <c r="C799" s="8" t="n"/>
      <c r="D799" s="14">
        <f>IF($S$789="","",IF($R$783="언어와 매체",SUMPRODUCT((자동계산!$A$4:$A$48&gt;=INDEX(회차설정!$C$13:$C$27,$S$789))*(자동계산!$A$4:$A$48&lt;=INDEX(회차설정!$D$13:$D$27,$S$789))*자동계산!$E$4:$E$48),SUMPRODUCT((자동계산!$A$4:$A$48&gt;=INDEX(회차설정!$C$13:$C$27,$S$789))*(자동계산!$A$4:$A$48&lt;=INDEX(회차설정!$D$13:$D$27,$S$789))*자동계산!$C$4:$C$48)))</f>
        <v/>
      </c>
      <c r="E799" s="14">
        <f>IF(OR($S$789="",$R$782=""),"",SUM(OFFSET(전체채점!$AW$2,$R$782,INDEX(회차설정!$C$13:$C$27,$S$789),1,INDEX(회차설정!$D$13:$D$27,$S$789)-INDEX(회차설정!$C$13:$C$27,$S$789)+1)))</f>
        <v/>
      </c>
      <c r="F799" s="46">
        <f>IF(OR($S$789="",$D799=0,$D799="",$E799=""),"",$E799/$D799*100)</f>
        <v/>
      </c>
      <c r="G799" s="8" t="n"/>
      <c r="H799" s="47">
        <f>IF($F799="","",REPT("■",ROUND($F799/5,0)))</f>
        <v/>
      </c>
      <c r="I799" s="7" t="n"/>
      <c r="J799" s="7" t="n"/>
      <c r="K799" s="7" t="n"/>
      <c r="L799" s="7" t="n"/>
      <c r="M799" s="7" t="n"/>
      <c r="N799" s="7" t="n"/>
      <c r="O799" s="7" t="n"/>
      <c r="P799" s="8" t="n"/>
    </row>
    <row r="800">
      <c r="A800" s="14">
        <f>IF($S$790="","",INDEX(회차설정!$A$13:$A$27,$S$790))</f>
        <v/>
      </c>
      <c r="B800" s="14">
        <f>IF($S$790="","",INDEX(회차설정!$B$13:$B$27,$S$790))</f>
        <v/>
      </c>
      <c r="C800" s="8" t="n"/>
      <c r="D800" s="14">
        <f>IF($S$790="","",IF($R$783="언어와 매체",SUMPRODUCT((자동계산!$A$4:$A$48&gt;=INDEX(회차설정!$C$13:$C$27,$S$790))*(자동계산!$A$4:$A$48&lt;=INDEX(회차설정!$D$13:$D$27,$S$790))*자동계산!$E$4:$E$48),SUMPRODUCT((자동계산!$A$4:$A$48&gt;=INDEX(회차설정!$C$13:$C$27,$S$790))*(자동계산!$A$4:$A$48&lt;=INDEX(회차설정!$D$13:$D$27,$S$790))*자동계산!$C$4:$C$48)))</f>
        <v/>
      </c>
      <c r="E800" s="14">
        <f>IF(OR($S$790="",$R$782=""),"",SUM(OFFSET(전체채점!$AW$2,$R$782,INDEX(회차설정!$C$13:$C$27,$S$790),1,INDEX(회차설정!$D$13:$D$27,$S$790)-INDEX(회차설정!$C$13:$C$27,$S$790)+1)))</f>
        <v/>
      </c>
      <c r="F800" s="46">
        <f>IF(OR($S$790="",$D800=0,$D800="",$E800=""),"",$E800/$D800*100)</f>
        <v/>
      </c>
      <c r="G800" s="8" t="n"/>
      <c r="H800" s="47">
        <f>IF($F800="","",REPT("■",ROUND($F800/5,0)))</f>
        <v/>
      </c>
      <c r="I800" s="7" t="n"/>
      <c r="J800" s="7" t="n"/>
      <c r="K800" s="7" t="n"/>
      <c r="L800" s="7" t="n"/>
      <c r="M800" s="7" t="n"/>
      <c r="N800" s="7" t="n"/>
      <c r="O800" s="7" t="n"/>
      <c r="P800" s="8" t="n"/>
    </row>
    <row r="801">
      <c r="A801" s="14">
        <f>IF($S$791="","",INDEX(회차설정!$A$13:$A$27,$S$791))</f>
        <v/>
      </c>
      <c r="B801" s="14">
        <f>IF($S$791="","",INDEX(회차설정!$B$13:$B$27,$S$791))</f>
        <v/>
      </c>
      <c r="C801" s="8" t="n"/>
      <c r="D801" s="14">
        <f>IF($S$791="","",IF($R$783="언어와 매체",SUMPRODUCT((자동계산!$A$4:$A$48&gt;=INDEX(회차설정!$C$13:$C$27,$S$791))*(자동계산!$A$4:$A$48&lt;=INDEX(회차설정!$D$13:$D$27,$S$791))*자동계산!$E$4:$E$48),SUMPRODUCT((자동계산!$A$4:$A$48&gt;=INDEX(회차설정!$C$13:$C$27,$S$791))*(자동계산!$A$4:$A$48&lt;=INDEX(회차설정!$D$13:$D$27,$S$791))*자동계산!$C$4:$C$48)))</f>
        <v/>
      </c>
      <c r="E801" s="14">
        <f>IF(OR($S$791="",$R$782=""),"",SUM(OFFSET(전체채점!$AW$2,$R$782,INDEX(회차설정!$C$13:$C$27,$S$791),1,INDEX(회차설정!$D$13:$D$27,$S$791)-INDEX(회차설정!$C$13:$C$27,$S$791)+1)))</f>
        <v/>
      </c>
      <c r="F801" s="46">
        <f>IF(OR($S$791="",$D801=0,$D801="",$E801=""),"",$E801/$D801*100)</f>
        <v/>
      </c>
      <c r="G801" s="8" t="n"/>
      <c r="H801" s="47">
        <f>IF($F801="","",REPT("■",ROUND($F801/5,0)))</f>
        <v/>
      </c>
      <c r="I801" s="7" t="n"/>
      <c r="J801" s="7" t="n"/>
      <c r="K801" s="7" t="n"/>
      <c r="L801" s="7" t="n"/>
      <c r="M801" s="7" t="n"/>
      <c r="N801" s="7" t="n"/>
      <c r="O801" s="7" t="n"/>
      <c r="P801" s="8" t="n"/>
    </row>
    <row r="802">
      <c r="A802" s="14">
        <f>IF($S$792="","",INDEX(회차설정!$A$13:$A$27,$S$792))</f>
        <v/>
      </c>
      <c r="B802" s="14">
        <f>IF($S$792="","",INDEX(회차설정!$B$13:$B$27,$S$792))</f>
        <v/>
      </c>
      <c r="C802" s="8" t="n"/>
      <c r="D802" s="14">
        <f>IF($S$792="","",IF($R$783="언어와 매체",SUMPRODUCT((자동계산!$A$4:$A$48&gt;=INDEX(회차설정!$C$13:$C$27,$S$792))*(자동계산!$A$4:$A$48&lt;=INDEX(회차설정!$D$13:$D$27,$S$792))*자동계산!$E$4:$E$48),SUMPRODUCT((자동계산!$A$4:$A$48&gt;=INDEX(회차설정!$C$13:$C$27,$S$792))*(자동계산!$A$4:$A$48&lt;=INDEX(회차설정!$D$13:$D$27,$S$792))*자동계산!$C$4:$C$48)))</f>
        <v/>
      </c>
      <c r="E802" s="14">
        <f>IF(OR($S$792="",$R$782=""),"",SUM(OFFSET(전체채점!$AW$2,$R$782,INDEX(회차설정!$C$13:$C$27,$S$792),1,INDEX(회차설정!$D$13:$D$27,$S$792)-INDEX(회차설정!$C$13:$C$27,$S$792)+1)))</f>
        <v/>
      </c>
      <c r="F802" s="46">
        <f>IF(OR($S$792="",$D802=0,$D802="",$E802=""),"",$E802/$D802*100)</f>
        <v/>
      </c>
      <c r="G802" s="8" t="n"/>
      <c r="H802" s="47">
        <f>IF($F802="","",REPT("■",ROUND($F802/5,0)))</f>
        <v/>
      </c>
      <c r="I802" s="7" t="n"/>
      <c r="J802" s="7" t="n"/>
      <c r="K802" s="7" t="n"/>
      <c r="L802" s="7" t="n"/>
      <c r="M802" s="7" t="n"/>
      <c r="N802" s="7" t="n"/>
      <c r="O802" s="7" t="n"/>
      <c r="P802" s="8" t="n"/>
    </row>
    <row r="803">
      <c r="A803" s="14">
        <f>IF($S$793="","",INDEX(회차설정!$A$13:$A$27,$S$793))</f>
        <v/>
      </c>
      <c r="B803" s="14">
        <f>IF($S$793="","",INDEX(회차설정!$B$13:$B$27,$S$793))</f>
        <v/>
      </c>
      <c r="C803" s="8" t="n"/>
      <c r="D803" s="14">
        <f>IF($S$793="","",IF($R$783="언어와 매체",SUMPRODUCT((자동계산!$A$4:$A$48&gt;=INDEX(회차설정!$C$13:$C$27,$S$793))*(자동계산!$A$4:$A$48&lt;=INDEX(회차설정!$D$13:$D$27,$S$793))*자동계산!$E$4:$E$48),SUMPRODUCT((자동계산!$A$4:$A$48&gt;=INDEX(회차설정!$C$13:$C$27,$S$793))*(자동계산!$A$4:$A$48&lt;=INDEX(회차설정!$D$13:$D$27,$S$793))*자동계산!$C$4:$C$48)))</f>
        <v/>
      </c>
      <c r="E803" s="14">
        <f>IF(OR($S$793="",$R$782=""),"",SUM(OFFSET(전체채점!$AW$2,$R$782,INDEX(회차설정!$C$13:$C$27,$S$793),1,INDEX(회차설정!$D$13:$D$27,$S$793)-INDEX(회차설정!$C$13:$C$27,$S$793)+1)))</f>
        <v/>
      </c>
      <c r="F803" s="46">
        <f>IF(OR($S$793="",$D803=0,$D803="",$E803=""),"",$E803/$D803*100)</f>
        <v/>
      </c>
      <c r="G803" s="8" t="n"/>
      <c r="H803" s="47">
        <f>IF($F803="","",REPT("■",ROUND($F803/5,0)))</f>
        <v/>
      </c>
      <c r="I803" s="7" t="n"/>
      <c r="J803" s="7" t="n"/>
      <c r="K803" s="7" t="n"/>
      <c r="L803" s="7" t="n"/>
      <c r="M803" s="7" t="n"/>
      <c r="N803" s="7" t="n"/>
      <c r="O803" s="7" t="n"/>
      <c r="P803" s="8" t="n"/>
    </row>
    <row r="804">
      <c r="A804" s="5">
        <f>IF($R$782="","","합계")</f>
        <v/>
      </c>
      <c r="B804" s="7" t="n"/>
      <c r="C804" s="8" t="n"/>
      <c r="D804" s="5">
        <f>IF($R$782="","",SUM(D792:D803))</f>
        <v/>
      </c>
      <c r="E804" s="5">
        <f>IF($R$782="","",SUM(E792:E803))</f>
        <v/>
      </c>
      <c r="F804" s="48">
        <f>IF(OR($D804=0,$D804=""),"",$E804/$D804*100)</f>
        <v/>
      </c>
      <c r="G804" s="8" t="n"/>
      <c r="H804" s="49">
        <f>IF($F804="","",REPT("■",ROUND($F804/5,0)))</f>
        <v/>
      </c>
      <c r="I804" s="7" t="n"/>
      <c r="J804" s="7" t="n"/>
      <c r="K804" s="7" t="n"/>
      <c r="L804" s="7" t="n"/>
      <c r="M804" s="7" t="n"/>
      <c r="N804" s="7" t="n"/>
      <c r="O804" s="7" t="n"/>
      <c r="P804" s="8" t="n"/>
    </row>
    <row r="806">
      <c r="A806" s="12" t="inlineStr">
        <is>
          <t>4. 문항 채점표</t>
        </is>
      </c>
    </row>
    <row r="807">
      <c r="A807" s="50" t="inlineStr">
        <is>
          <t>문항 번호</t>
        </is>
      </c>
      <c r="B807" s="51" t="n">
        <v>1</v>
      </c>
      <c r="C807" s="51" t="n">
        <v>2</v>
      </c>
      <c r="D807" s="51" t="n">
        <v>3</v>
      </c>
      <c r="E807" s="51" t="n">
        <v>4</v>
      </c>
      <c r="F807" s="51" t="n">
        <v>5</v>
      </c>
      <c r="G807" s="51" t="n">
        <v>6</v>
      </c>
      <c r="H807" s="51" t="n">
        <v>7</v>
      </c>
      <c r="I807" s="51" t="n">
        <v>8</v>
      </c>
      <c r="J807" s="51" t="n">
        <v>9</v>
      </c>
      <c r="K807" s="51" t="n">
        <v>10</v>
      </c>
      <c r="L807" s="51" t="n">
        <v>11</v>
      </c>
      <c r="M807" s="51" t="n">
        <v>12</v>
      </c>
      <c r="N807" s="51" t="n">
        <v>13</v>
      </c>
      <c r="O807" s="51" t="n">
        <v>14</v>
      </c>
      <c r="P807" s="51" t="n">
        <v>15</v>
      </c>
    </row>
    <row r="808">
      <c r="A808" s="52" t="inlineStr">
        <is>
          <t>정답</t>
        </is>
      </c>
      <c r="B808" s="33">
        <f>IF($R$783="","",IF($R$783="언어와 매체",자동계산!$D$4,자동계산!$B$4))</f>
        <v/>
      </c>
      <c r="C808" s="33">
        <f>IF($R$783="","",IF($R$783="언어와 매체",자동계산!$D$5,자동계산!$B$5))</f>
        <v/>
      </c>
      <c r="D808" s="33">
        <f>IF($R$783="","",IF($R$783="언어와 매체",자동계산!$D$6,자동계산!$B$6))</f>
        <v/>
      </c>
      <c r="E808" s="33">
        <f>IF($R$783="","",IF($R$783="언어와 매체",자동계산!$D$7,자동계산!$B$7))</f>
        <v/>
      </c>
      <c r="F808" s="33">
        <f>IF($R$783="","",IF($R$783="언어와 매체",자동계산!$D$8,자동계산!$B$8))</f>
        <v/>
      </c>
      <c r="G808" s="33">
        <f>IF($R$783="","",IF($R$783="언어와 매체",자동계산!$D$9,자동계산!$B$9))</f>
        <v/>
      </c>
      <c r="H808" s="33">
        <f>IF($R$783="","",IF($R$783="언어와 매체",자동계산!$D$10,자동계산!$B$10))</f>
        <v/>
      </c>
      <c r="I808" s="33">
        <f>IF($R$783="","",IF($R$783="언어와 매체",자동계산!$D$11,자동계산!$B$11))</f>
        <v/>
      </c>
      <c r="J808" s="33">
        <f>IF($R$783="","",IF($R$783="언어와 매체",자동계산!$D$12,자동계산!$B$12))</f>
        <v/>
      </c>
      <c r="K808" s="33">
        <f>IF($R$783="","",IF($R$783="언어와 매체",자동계산!$D$13,자동계산!$B$13))</f>
        <v/>
      </c>
      <c r="L808" s="33">
        <f>IF($R$783="","",IF($R$783="언어와 매체",자동계산!$D$14,자동계산!$B$14))</f>
        <v/>
      </c>
      <c r="M808" s="33">
        <f>IF($R$783="","",IF($R$783="언어와 매체",자동계산!$D$15,자동계산!$B$15))</f>
        <v/>
      </c>
      <c r="N808" s="33">
        <f>IF($R$783="","",IF($R$783="언어와 매체",자동계산!$D$16,자동계산!$B$16))</f>
        <v/>
      </c>
      <c r="O808" s="33">
        <f>IF($R$783="","",IF($R$783="언어와 매체",자동계산!$D$17,자동계산!$B$17))</f>
        <v/>
      </c>
      <c r="P808" s="33">
        <f>IF($R$783="","",IF($R$783="언어와 매체",자동계산!$D$18,자동계산!$B$18))</f>
        <v/>
      </c>
    </row>
    <row r="809">
      <c r="A809" s="52" t="inlineStr">
        <is>
          <t>학생답안</t>
        </is>
      </c>
      <c r="B809" s="33">
        <f>IF($R$782="","",INDEX(전체채점!E$3:E$62,$R$782))</f>
        <v/>
      </c>
      <c r="C809" s="33">
        <f>IF($R$782="","",INDEX(전체채점!F$3:F$62,$R$782))</f>
        <v/>
      </c>
      <c r="D809" s="33">
        <f>IF($R$782="","",INDEX(전체채점!G$3:G$62,$R$782))</f>
        <v/>
      </c>
      <c r="E809" s="33">
        <f>IF($R$782="","",INDEX(전체채점!H$3:H$62,$R$782))</f>
        <v/>
      </c>
      <c r="F809" s="33">
        <f>IF($R$782="","",INDEX(전체채점!I$3:I$62,$R$782))</f>
        <v/>
      </c>
      <c r="G809" s="33">
        <f>IF($R$782="","",INDEX(전체채점!J$3:J$62,$R$782))</f>
        <v/>
      </c>
      <c r="H809" s="33">
        <f>IF($R$782="","",INDEX(전체채점!K$3:K$62,$R$782))</f>
        <v/>
      </c>
      <c r="I809" s="33">
        <f>IF($R$782="","",INDEX(전체채점!L$3:L$62,$R$782))</f>
        <v/>
      </c>
      <c r="J809" s="33">
        <f>IF($R$782="","",INDEX(전체채점!M$3:M$62,$R$782))</f>
        <v/>
      </c>
      <c r="K809" s="33">
        <f>IF($R$782="","",INDEX(전체채점!N$3:N$62,$R$782))</f>
        <v/>
      </c>
      <c r="L809" s="33">
        <f>IF($R$782="","",INDEX(전체채점!O$3:O$62,$R$782))</f>
        <v/>
      </c>
      <c r="M809" s="33">
        <f>IF($R$782="","",INDEX(전체채점!P$3:P$62,$R$782))</f>
        <v/>
      </c>
      <c r="N809" s="33">
        <f>IF($R$782="","",INDEX(전체채점!Q$3:Q$62,$R$782))</f>
        <v/>
      </c>
      <c r="O809" s="33">
        <f>IF($R$782="","",INDEX(전체채점!R$3:R$62,$R$782))</f>
        <v/>
      </c>
      <c r="P809" s="33">
        <f>IF($R$782="","",INDEX(전체채점!S$3:S$62,$R$782))</f>
        <v/>
      </c>
    </row>
    <row r="810">
      <c r="A810" s="52" t="inlineStr">
        <is>
          <t>정오</t>
        </is>
      </c>
      <c r="B810" s="33">
        <f>IF($R$782="","",INDEX(전체채점!AX$3:AX$62,$R$782))</f>
        <v/>
      </c>
      <c r="C810" s="33">
        <f>IF($R$782="","",INDEX(전체채점!AY$3:AY$62,$R$782))</f>
        <v/>
      </c>
      <c r="D810" s="33">
        <f>IF($R$782="","",INDEX(전체채점!AZ$3:AZ$62,$R$782))</f>
        <v/>
      </c>
      <c r="E810" s="33">
        <f>IF($R$782="","",INDEX(전체채점!BA$3:BA$62,$R$782))</f>
        <v/>
      </c>
      <c r="F810" s="33">
        <f>IF($R$782="","",INDEX(전체채점!BB$3:BB$62,$R$782))</f>
        <v/>
      </c>
      <c r="G810" s="33">
        <f>IF($R$782="","",INDEX(전체채점!BC$3:BC$62,$R$782))</f>
        <v/>
      </c>
      <c r="H810" s="33">
        <f>IF($R$782="","",INDEX(전체채점!BD$3:BD$62,$R$782))</f>
        <v/>
      </c>
      <c r="I810" s="33">
        <f>IF($R$782="","",INDEX(전체채점!BE$3:BE$62,$R$782))</f>
        <v/>
      </c>
      <c r="J810" s="33">
        <f>IF($R$782="","",INDEX(전체채점!BF$3:BF$62,$R$782))</f>
        <v/>
      </c>
      <c r="K810" s="33">
        <f>IF($R$782="","",INDEX(전체채점!BG$3:BG$62,$R$782))</f>
        <v/>
      </c>
      <c r="L810" s="33">
        <f>IF($R$782="","",INDEX(전체채점!BH$3:BH$62,$R$782))</f>
        <v/>
      </c>
      <c r="M810" s="33">
        <f>IF($R$782="","",INDEX(전체채점!BI$3:BI$62,$R$782))</f>
        <v/>
      </c>
      <c r="N810" s="33">
        <f>IF($R$782="","",INDEX(전체채점!BJ$3:BJ$62,$R$782))</f>
        <v/>
      </c>
      <c r="O810" s="33">
        <f>IF($R$782="","",INDEX(전체채점!BK$3:BK$62,$R$782))</f>
        <v/>
      </c>
      <c r="P810" s="33">
        <f>IF($R$782="","",INDEX(전체채점!BL$3:BL$62,$R$782))</f>
        <v/>
      </c>
    </row>
    <row r="811">
      <c r="A811" s="50" t="inlineStr">
        <is>
          <t>문항 번호</t>
        </is>
      </c>
      <c r="B811" s="51" t="n">
        <v>16</v>
      </c>
      <c r="C811" s="51" t="n">
        <v>17</v>
      </c>
      <c r="D811" s="51" t="n">
        <v>18</v>
      </c>
      <c r="E811" s="51" t="n">
        <v>19</v>
      </c>
      <c r="F811" s="51" t="n">
        <v>20</v>
      </c>
      <c r="G811" s="51" t="n">
        <v>21</v>
      </c>
      <c r="H811" s="51" t="n">
        <v>22</v>
      </c>
      <c r="I811" s="51" t="n">
        <v>23</v>
      </c>
      <c r="J811" s="51" t="n">
        <v>24</v>
      </c>
      <c r="K811" s="51" t="n">
        <v>25</v>
      </c>
      <c r="L811" s="51" t="n">
        <v>26</v>
      </c>
      <c r="M811" s="51" t="n">
        <v>27</v>
      </c>
      <c r="N811" s="51" t="n">
        <v>28</v>
      </c>
      <c r="O811" s="51" t="n">
        <v>29</v>
      </c>
      <c r="P811" s="51" t="n">
        <v>30</v>
      </c>
    </row>
    <row r="812">
      <c r="A812" s="52" t="inlineStr">
        <is>
          <t>정답</t>
        </is>
      </c>
      <c r="B812" s="33">
        <f>IF($R$783="","",IF($R$783="언어와 매체",자동계산!$D$19,자동계산!$B$19))</f>
        <v/>
      </c>
      <c r="C812" s="33">
        <f>IF($R$783="","",IF($R$783="언어와 매체",자동계산!$D$20,자동계산!$B$20))</f>
        <v/>
      </c>
      <c r="D812" s="33">
        <f>IF($R$783="","",IF($R$783="언어와 매체",자동계산!$D$21,자동계산!$B$21))</f>
        <v/>
      </c>
      <c r="E812" s="33">
        <f>IF($R$783="","",IF($R$783="언어와 매체",자동계산!$D$22,자동계산!$B$22))</f>
        <v/>
      </c>
      <c r="F812" s="33">
        <f>IF($R$783="","",IF($R$783="언어와 매체",자동계산!$D$23,자동계산!$B$23))</f>
        <v/>
      </c>
      <c r="G812" s="33">
        <f>IF($R$783="","",IF($R$783="언어와 매체",자동계산!$D$24,자동계산!$B$24))</f>
        <v/>
      </c>
      <c r="H812" s="33">
        <f>IF($R$783="","",IF($R$783="언어와 매체",자동계산!$D$25,자동계산!$B$25))</f>
        <v/>
      </c>
      <c r="I812" s="33">
        <f>IF($R$783="","",IF($R$783="언어와 매체",자동계산!$D$26,자동계산!$B$26))</f>
        <v/>
      </c>
      <c r="J812" s="33">
        <f>IF($R$783="","",IF($R$783="언어와 매체",자동계산!$D$27,자동계산!$B$27))</f>
        <v/>
      </c>
      <c r="K812" s="33">
        <f>IF($R$783="","",IF($R$783="언어와 매체",자동계산!$D$28,자동계산!$B$28))</f>
        <v/>
      </c>
      <c r="L812" s="33">
        <f>IF($R$783="","",IF($R$783="언어와 매체",자동계산!$D$29,자동계산!$B$29))</f>
        <v/>
      </c>
      <c r="M812" s="33">
        <f>IF($R$783="","",IF($R$783="언어와 매체",자동계산!$D$30,자동계산!$B$30))</f>
        <v/>
      </c>
      <c r="N812" s="33">
        <f>IF($R$783="","",IF($R$783="언어와 매체",자동계산!$D$31,자동계산!$B$31))</f>
        <v/>
      </c>
      <c r="O812" s="33">
        <f>IF($R$783="","",IF($R$783="언어와 매체",자동계산!$D$32,자동계산!$B$32))</f>
        <v/>
      </c>
      <c r="P812" s="33">
        <f>IF($R$783="","",IF($R$783="언어와 매체",자동계산!$D$33,자동계산!$B$33))</f>
        <v/>
      </c>
    </row>
    <row r="813">
      <c r="A813" s="52" t="inlineStr">
        <is>
          <t>학생답안</t>
        </is>
      </c>
      <c r="B813" s="33">
        <f>IF($R$782="","",INDEX(전체채점!T$3:T$62,$R$782))</f>
        <v/>
      </c>
      <c r="C813" s="33">
        <f>IF($R$782="","",INDEX(전체채점!U$3:U$62,$R$782))</f>
        <v/>
      </c>
      <c r="D813" s="33">
        <f>IF($R$782="","",INDEX(전체채점!V$3:V$62,$R$782))</f>
        <v/>
      </c>
      <c r="E813" s="33">
        <f>IF($R$782="","",INDEX(전체채점!W$3:W$62,$R$782))</f>
        <v/>
      </c>
      <c r="F813" s="33">
        <f>IF($R$782="","",INDEX(전체채점!X$3:X$62,$R$782))</f>
        <v/>
      </c>
      <c r="G813" s="33">
        <f>IF($R$782="","",INDEX(전체채점!Y$3:Y$62,$R$782))</f>
        <v/>
      </c>
      <c r="H813" s="33">
        <f>IF($R$782="","",INDEX(전체채점!Z$3:Z$62,$R$782))</f>
        <v/>
      </c>
      <c r="I813" s="33">
        <f>IF($R$782="","",INDEX(전체채점!AA$3:AA$62,$R$782))</f>
        <v/>
      </c>
      <c r="J813" s="33">
        <f>IF($R$782="","",INDEX(전체채점!AB$3:AB$62,$R$782))</f>
        <v/>
      </c>
      <c r="K813" s="33">
        <f>IF($R$782="","",INDEX(전체채점!AC$3:AC$62,$R$782))</f>
        <v/>
      </c>
      <c r="L813" s="33">
        <f>IF($R$782="","",INDEX(전체채점!AD$3:AD$62,$R$782))</f>
        <v/>
      </c>
      <c r="M813" s="33">
        <f>IF($R$782="","",INDEX(전체채점!AE$3:AE$62,$R$782))</f>
        <v/>
      </c>
      <c r="N813" s="33">
        <f>IF($R$782="","",INDEX(전체채점!AF$3:AF$62,$R$782))</f>
        <v/>
      </c>
      <c r="O813" s="33">
        <f>IF($R$782="","",INDEX(전체채점!AG$3:AG$62,$R$782))</f>
        <v/>
      </c>
      <c r="P813" s="33">
        <f>IF($R$782="","",INDEX(전체채점!AH$3:AH$62,$R$782))</f>
        <v/>
      </c>
    </row>
    <row r="814">
      <c r="A814" s="52" t="inlineStr">
        <is>
          <t>정오</t>
        </is>
      </c>
      <c r="B814" s="33">
        <f>IF($R$782="","",INDEX(전체채점!BM$3:BM$62,$R$782))</f>
        <v/>
      </c>
      <c r="C814" s="33">
        <f>IF($R$782="","",INDEX(전체채점!BN$3:BN$62,$R$782))</f>
        <v/>
      </c>
      <c r="D814" s="33">
        <f>IF($R$782="","",INDEX(전체채점!BO$3:BO$62,$R$782))</f>
        <v/>
      </c>
      <c r="E814" s="33">
        <f>IF($R$782="","",INDEX(전체채점!BP$3:BP$62,$R$782))</f>
        <v/>
      </c>
      <c r="F814" s="33">
        <f>IF($R$782="","",INDEX(전체채점!BQ$3:BQ$62,$R$782))</f>
        <v/>
      </c>
      <c r="G814" s="33">
        <f>IF($R$782="","",INDEX(전체채점!BR$3:BR$62,$R$782))</f>
        <v/>
      </c>
      <c r="H814" s="33">
        <f>IF($R$782="","",INDEX(전체채점!BS$3:BS$62,$R$782))</f>
        <v/>
      </c>
      <c r="I814" s="33">
        <f>IF($R$782="","",INDEX(전체채점!BT$3:BT$62,$R$782))</f>
        <v/>
      </c>
      <c r="J814" s="33">
        <f>IF($R$782="","",INDEX(전체채점!BU$3:BU$62,$R$782))</f>
        <v/>
      </c>
      <c r="K814" s="33">
        <f>IF($R$782="","",INDEX(전체채점!BV$3:BV$62,$R$782))</f>
        <v/>
      </c>
      <c r="L814" s="33">
        <f>IF($R$782="","",INDEX(전체채점!BW$3:BW$62,$R$782))</f>
        <v/>
      </c>
      <c r="M814" s="33">
        <f>IF($R$782="","",INDEX(전체채점!BX$3:BX$62,$R$782))</f>
        <v/>
      </c>
      <c r="N814" s="33">
        <f>IF($R$782="","",INDEX(전체채점!BY$3:BY$62,$R$782))</f>
        <v/>
      </c>
      <c r="O814" s="33">
        <f>IF($R$782="","",INDEX(전체채점!BZ$3:BZ$62,$R$782))</f>
        <v/>
      </c>
      <c r="P814" s="33">
        <f>IF($R$782="","",INDEX(전체채점!CA$3:CA$62,$R$782))</f>
        <v/>
      </c>
    </row>
    <row r="815">
      <c r="A815" s="50" t="inlineStr">
        <is>
          <t>문항 번호</t>
        </is>
      </c>
      <c r="B815" s="51" t="n">
        <v>31</v>
      </c>
      <c r="C815" s="51" t="n">
        <v>32</v>
      </c>
      <c r="D815" s="51" t="n">
        <v>33</v>
      </c>
      <c r="E815" s="51" t="n">
        <v>34</v>
      </c>
      <c r="F815" s="51" t="n">
        <v>35</v>
      </c>
      <c r="G815" s="51" t="n">
        <v>36</v>
      </c>
      <c r="H815" s="51" t="n">
        <v>37</v>
      </c>
      <c r="I815" s="51" t="n">
        <v>38</v>
      </c>
      <c r="J815" s="51" t="n">
        <v>39</v>
      </c>
      <c r="K815" s="51" t="n">
        <v>40</v>
      </c>
      <c r="L815" s="51" t="n">
        <v>41</v>
      </c>
      <c r="M815" s="51" t="n">
        <v>42</v>
      </c>
      <c r="N815" s="51" t="n">
        <v>43</v>
      </c>
      <c r="O815" s="51" t="n">
        <v>44</v>
      </c>
      <c r="P815" s="51" t="n">
        <v>45</v>
      </c>
    </row>
    <row r="816">
      <c r="A816" s="52" t="inlineStr">
        <is>
          <t>정답</t>
        </is>
      </c>
      <c r="B816" s="33">
        <f>IF($R$783="","",IF($R$783="언어와 매체",자동계산!$D$34,자동계산!$B$34))</f>
        <v/>
      </c>
      <c r="C816" s="33">
        <f>IF($R$783="","",IF($R$783="언어와 매체",자동계산!$D$35,자동계산!$B$35))</f>
        <v/>
      </c>
      <c r="D816" s="33">
        <f>IF($R$783="","",IF($R$783="언어와 매체",자동계산!$D$36,자동계산!$B$36))</f>
        <v/>
      </c>
      <c r="E816" s="33">
        <f>IF($R$783="","",IF($R$783="언어와 매체",자동계산!$D$37,자동계산!$B$37))</f>
        <v/>
      </c>
      <c r="F816" s="33">
        <f>IF($R$783="","",IF($R$783="언어와 매체",자동계산!$D$38,자동계산!$B$38))</f>
        <v/>
      </c>
      <c r="G816" s="33">
        <f>IF($R$783="","",IF($R$783="언어와 매체",자동계산!$D$39,자동계산!$B$39))</f>
        <v/>
      </c>
      <c r="H816" s="33">
        <f>IF($R$783="","",IF($R$783="언어와 매체",자동계산!$D$40,자동계산!$B$40))</f>
        <v/>
      </c>
      <c r="I816" s="33">
        <f>IF($R$783="","",IF($R$783="언어와 매체",자동계산!$D$41,자동계산!$B$41))</f>
        <v/>
      </c>
      <c r="J816" s="33">
        <f>IF($R$783="","",IF($R$783="언어와 매체",자동계산!$D$42,자동계산!$B$42))</f>
        <v/>
      </c>
      <c r="K816" s="33">
        <f>IF($R$783="","",IF($R$783="언어와 매체",자동계산!$D$43,자동계산!$B$43))</f>
        <v/>
      </c>
      <c r="L816" s="33">
        <f>IF($R$783="","",IF($R$783="언어와 매체",자동계산!$D$44,자동계산!$B$44))</f>
        <v/>
      </c>
      <c r="M816" s="33">
        <f>IF($R$783="","",IF($R$783="언어와 매체",자동계산!$D$45,자동계산!$B$45))</f>
        <v/>
      </c>
      <c r="N816" s="33">
        <f>IF($R$783="","",IF($R$783="언어와 매체",자동계산!$D$46,자동계산!$B$46))</f>
        <v/>
      </c>
      <c r="O816" s="33">
        <f>IF($R$783="","",IF($R$783="언어와 매체",자동계산!$D$47,자동계산!$B$47))</f>
        <v/>
      </c>
      <c r="P816" s="33">
        <f>IF($R$783="","",IF($R$783="언어와 매체",자동계산!$D$48,자동계산!$B$48))</f>
        <v/>
      </c>
    </row>
    <row r="817">
      <c r="A817" s="52" t="inlineStr">
        <is>
          <t>학생답안</t>
        </is>
      </c>
      <c r="B817" s="33">
        <f>IF($R$782="","",INDEX(전체채점!AI$3:AI$62,$R$782))</f>
        <v/>
      </c>
      <c r="C817" s="33">
        <f>IF($R$782="","",INDEX(전체채점!AJ$3:AJ$62,$R$782))</f>
        <v/>
      </c>
      <c r="D817" s="33">
        <f>IF($R$782="","",INDEX(전체채점!AK$3:AK$62,$R$782))</f>
        <v/>
      </c>
      <c r="E817" s="33">
        <f>IF($R$782="","",INDEX(전체채점!AL$3:AL$62,$R$782))</f>
        <v/>
      </c>
      <c r="F817" s="33">
        <f>IF($R$782="","",INDEX(전체채점!AM$3:AM$62,$R$782))</f>
        <v/>
      </c>
      <c r="G817" s="33">
        <f>IF($R$782="","",INDEX(전체채점!AN$3:AN$62,$R$782))</f>
        <v/>
      </c>
      <c r="H817" s="33">
        <f>IF($R$782="","",INDEX(전체채점!AO$3:AO$62,$R$782))</f>
        <v/>
      </c>
      <c r="I817" s="33">
        <f>IF($R$782="","",INDEX(전체채점!AP$3:AP$62,$R$782))</f>
        <v/>
      </c>
      <c r="J817" s="33">
        <f>IF($R$782="","",INDEX(전체채점!AQ$3:AQ$62,$R$782))</f>
        <v/>
      </c>
      <c r="K817" s="33">
        <f>IF($R$782="","",INDEX(전체채점!AR$3:AR$62,$R$782))</f>
        <v/>
      </c>
      <c r="L817" s="33">
        <f>IF($R$782="","",INDEX(전체채점!AS$3:AS$62,$R$782))</f>
        <v/>
      </c>
      <c r="M817" s="33">
        <f>IF($R$782="","",INDEX(전체채점!AT$3:AT$62,$R$782))</f>
        <v/>
      </c>
      <c r="N817" s="33">
        <f>IF($R$782="","",INDEX(전체채점!AU$3:AU$62,$R$782))</f>
        <v/>
      </c>
      <c r="O817" s="33">
        <f>IF($R$782="","",INDEX(전체채점!AV$3:AV$62,$R$782))</f>
        <v/>
      </c>
      <c r="P817" s="33">
        <f>IF($R$782="","",INDEX(전체채점!AW$3:AW$62,$R$782))</f>
        <v/>
      </c>
    </row>
    <row r="818">
      <c r="A818" s="52" t="inlineStr">
        <is>
          <t>정오</t>
        </is>
      </c>
      <c r="B818" s="33">
        <f>IF($R$782="","",INDEX(전체채점!CB$3:CB$62,$R$782))</f>
        <v/>
      </c>
      <c r="C818" s="33">
        <f>IF($R$782="","",INDEX(전체채점!CC$3:CC$62,$R$782))</f>
        <v/>
      </c>
      <c r="D818" s="33">
        <f>IF($R$782="","",INDEX(전체채점!CD$3:CD$62,$R$782))</f>
        <v/>
      </c>
      <c r="E818" s="33">
        <f>IF($R$782="","",INDEX(전체채점!CE$3:CE$62,$R$782))</f>
        <v/>
      </c>
      <c r="F818" s="33">
        <f>IF($R$782="","",INDEX(전체채점!CF$3:CF$62,$R$782))</f>
        <v/>
      </c>
      <c r="G818" s="33">
        <f>IF($R$782="","",INDEX(전체채점!CG$3:CG$62,$R$782))</f>
        <v/>
      </c>
      <c r="H818" s="33">
        <f>IF($R$782="","",INDEX(전체채점!CH$3:CH$62,$R$782))</f>
        <v/>
      </c>
      <c r="I818" s="33">
        <f>IF($R$782="","",INDEX(전체채점!CI$3:CI$62,$R$782))</f>
        <v/>
      </c>
      <c r="J818" s="33">
        <f>IF($R$782="","",INDEX(전체채점!CJ$3:CJ$62,$R$782))</f>
        <v/>
      </c>
      <c r="K818" s="33">
        <f>IF($R$782="","",INDEX(전체채점!CK$3:CK$62,$R$782))</f>
        <v/>
      </c>
      <c r="L818" s="33">
        <f>IF($R$782="","",INDEX(전체채점!CL$3:CL$62,$R$782))</f>
        <v/>
      </c>
      <c r="M818" s="33">
        <f>IF($R$782="","",INDEX(전체채점!CM$3:CM$62,$R$782))</f>
        <v/>
      </c>
      <c r="N818" s="33">
        <f>IF($R$782="","",INDEX(전체채점!CN$3:CN$62,$R$782))</f>
        <v/>
      </c>
      <c r="O818" s="33">
        <f>IF($R$782="","",INDEX(전체채점!CO$3:CO$62,$R$782))</f>
        <v/>
      </c>
      <c r="P818" s="33">
        <f>IF($R$782="","",INDEX(전체채점!CP$3:CP$62,$R$782))</f>
        <v/>
      </c>
    </row>
    <row r="821" ht="34" customHeight="1">
      <c r="A821" s="36">
        <f>IF($R$823="","",회차설정!$B$2&amp;" 성적표")</f>
        <v/>
      </c>
    </row>
    <row r="823">
      <c r="A823" s="12" t="inlineStr">
        <is>
          <t>1. 학생정보</t>
        </is>
      </c>
      <c r="R823" s="37">
        <f>IF(답안입력!$A$23="","",21)</f>
        <v/>
      </c>
      <c r="S823" s="37">
        <f>IF($R$824="","",IFERROR(IF($R$824="언어와 매체",MATCH(1,회차설정!$G$13:$G$27,0),MATCH(1,회차설정!$F$13:$F$27,0)),""))</f>
        <v/>
      </c>
    </row>
    <row r="824">
      <c r="A824" s="13" t="inlineStr">
        <is>
          <t>성명</t>
        </is>
      </c>
      <c r="B824" s="7" t="n"/>
      <c r="C824" s="8" t="n"/>
      <c r="D824" s="13" t="inlineStr">
        <is>
          <t>선택과목</t>
        </is>
      </c>
      <c r="E824" s="7" t="n"/>
      <c r="F824" s="7" t="n"/>
      <c r="G824" s="8" t="n"/>
      <c r="H824" s="13" t="inlineStr">
        <is>
          <t>학년</t>
        </is>
      </c>
      <c r="I824" s="7" t="n"/>
      <c r="J824" s="7" t="n"/>
      <c r="K824" s="8" t="n"/>
      <c r="L824" s="13" t="inlineStr">
        <is>
          <t>시행일</t>
        </is>
      </c>
      <c r="M824" s="7" t="n"/>
      <c r="N824" s="7" t="n"/>
      <c r="O824" s="7" t="n"/>
      <c r="P824" s="8" t="n"/>
      <c r="R824" s="37">
        <f>IF($R$823="","",INDEX(전체채점!$B$3:$B$62,$R$823))</f>
        <v/>
      </c>
      <c r="S824" s="37">
        <f>IF($R$824="","",IFERROR(IF($R$824="언어와 매체",MATCH(2,회차설정!$G$13:$G$27,0),MATCH(2,회차설정!$F$13:$F$27,0)),""))</f>
        <v/>
      </c>
    </row>
    <row r="825" ht="26" customHeight="1">
      <c r="A825" s="39">
        <f>IF($R$823="","",INDEX(답안입력!$A$3:$A$62,$R$823))</f>
        <v/>
      </c>
      <c r="B825" s="7" t="n"/>
      <c r="C825" s="8" t="n"/>
      <c r="D825" s="39">
        <f>IF($R$823="","",INDEX(답안입력!$C$3:$C$62,$R$823))</f>
        <v/>
      </c>
      <c r="E825" s="7" t="n"/>
      <c r="F825" s="7" t="n"/>
      <c r="G825" s="8" t="n"/>
      <c r="H825" s="39">
        <f>IF($R$823="","",INDEX(답안입력!$B$3:$B$62,$R$823))</f>
        <v/>
      </c>
      <c r="I825" s="7" t="n"/>
      <c r="J825" s="7" t="n"/>
      <c r="K825" s="8" t="n"/>
      <c r="L825" s="40">
        <f>회차설정!$B$3</f>
        <v/>
      </c>
      <c r="M825" s="7" t="n"/>
      <c r="N825" s="7" t="n"/>
      <c r="O825" s="7" t="n"/>
      <c r="P825" s="8" t="n"/>
      <c r="R825" s="37">
        <f>IF($R$824="언어와 매체",회차설정!$B$9,회차설정!$B$8)</f>
        <v/>
      </c>
      <c r="S825" s="37">
        <f>IF($R$824="","",IFERROR(IF($R$824="언어와 매체",MATCH(3,회차설정!$G$13:$G$27,0),MATCH(3,회차설정!$F$13:$F$27,0)),""))</f>
        <v/>
      </c>
    </row>
    <row r="826">
      <c r="R826" s="37">
        <f>IF($R$824="언어와 매체",회차설정!$C$9,회차설정!$C$8)</f>
        <v/>
      </c>
      <c r="S826" s="37">
        <f>IF($R$824="","",IFERROR(IF($R$824="언어와 매체",MATCH(4,회차설정!$G$13:$G$27,0),MATCH(4,회차설정!$F$13:$F$27,0)),""))</f>
        <v/>
      </c>
    </row>
    <row r="827">
      <c r="A827" s="12" t="inlineStr">
        <is>
          <t>2. 성적</t>
        </is>
      </c>
      <c r="R827" s="37">
        <f>IF($R$824="언어와 매체",회차설정!$D$9,회차설정!$D$8)</f>
        <v/>
      </c>
      <c r="S827" s="37">
        <f>IF($R$824="","",IFERROR(IF($R$824="언어와 매체",MATCH(5,회차설정!$G$13:$G$27,0),MATCH(5,회차설정!$F$13:$F$27,0)),""))</f>
        <v/>
      </c>
    </row>
    <row r="828">
      <c r="A828" s="13" t="inlineStr">
        <is>
          <t>점수 (100점 만점)</t>
        </is>
      </c>
      <c r="B828" s="7" t="n"/>
      <c r="C828" s="7" t="n"/>
      <c r="D828" s="7" t="n"/>
      <c r="E828" s="8" t="n"/>
      <c r="F828" s="13" t="inlineStr">
        <is>
          <t>등급</t>
        </is>
      </c>
      <c r="G828" s="7" t="n"/>
      <c r="H828" s="8" t="n"/>
      <c r="I828" s="13" t="inlineStr">
        <is>
          <t>등급컷</t>
        </is>
      </c>
      <c r="J828" s="7" t="n"/>
      <c r="K828" s="7" t="n"/>
      <c r="L828" s="8" t="n"/>
      <c r="M828" s="13" t="inlineStr">
        <is>
          <t>같은 선택과목 평균</t>
        </is>
      </c>
      <c r="N828" s="7" t="n"/>
      <c r="O828" s="7" t="n"/>
      <c r="P828" s="8" t="n"/>
      <c r="R828" s="37">
        <f>IF($R$824="언어와 매체",회차설정!$E$9,회차설정!$E$8)</f>
        <v/>
      </c>
      <c r="S828" s="37">
        <f>IF($R$824="","",IFERROR(IF($R$824="언어와 매체",MATCH(6,회차설정!$G$13:$G$27,0),MATCH(6,회차설정!$F$13:$F$27,0)),""))</f>
        <v/>
      </c>
    </row>
    <row r="829" ht="34" customHeight="1">
      <c r="A829" s="41">
        <f>IF($R$823="","",INDEX(전체채점!$C$3:$C$62,$R$823))</f>
        <v/>
      </c>
      <c r="B829" s="7" t="n"/>
      <c r="C829" s="7" t="n"/>
      <c r="D829" s="7" t="n"/>
      <c r="E829" s="8" t="n"/>
      <c r="F829" s="42">
        <f>IF($R$823="","",INDEX(전체채점!$D$3:$D$62,$R$823))</f>
        <v/>
      </c>
      <c r="G829" s="7" t="n"/>
      <c r="H829" s="8" t="n"/>
      <c r="I829" s="43">
        <f>IF($R$823="","",$R$825&amp;"-"&amp;$R$826&amp;"-"&amp;$R$827&amp;"-"&amp;$R$828)</f>
        <v/>
      </c>
      <c r="J829" s="7" t="n"/>
      <c r="K829" s="7" t="n"/>
      <c r="L829" s="8" t="n"/>
      <c r="M829" s="44">
        <f>IFERROR(AVERAGEIF(전체채점!$B$3:$B$62,$R$824,전체채점!$C$3:$C$62),"")</f>
        <v/>
      </c>
      <c r="N829" s="7" t="n"/>
      <c r="O829" s="7" t="n"/>
      <c r="P829" s="8" t="n"/>
      <c r="S829" s="37">
        <f>IF($R$824="","",IFERROR(IF($R$824="언어와 매체",MATCH(7,회차설정!$G$13:$G$27,0),MATCH(7,회차설정!$F$13:$F$27,0)),""))</f>
        <v/>
      </c>
    </row>
    <row r="830">
      <c r="S830" s="37">
        <f>IF($R$824="","",IFERROR(IF($R$824="언어와 매체",MATCH(8,회차설정!$G$13:$G$27,0),MATCH(8,회차설정!$F$13:$F$27,0)),""))</f>
        <v/>
      </c>
    </row>
    <row r="831">
      <c r="A831" s="12" t="inlineStr">
        <is>
          <t>3. 영역분류별 성취도 분석</t>
        </is>
      </c>
      <c r="F831" s="45">
        <f>IF(OR($R$823="",$E845=""),"",IF($E845=INDEX(전체채점!$C$3:$C$62,$R$823),"","※ 회차설정의 영역 표를 확인하세요 — 영역 합계와 점수가 다릅니다"))</f>
        <v/>
      </c>
      <c r="S831" s="37">
        <f>IF($R$824="","",IFERROR(IF($R$824="언어와 매체",MATCH(9,회차설정!$G$13:$G$27,0),MATCH(9,회차설정!$F$13:$F$27,0)),""))</f>
        <v/>
      </c>
    </row>
    <row r="832">
      <c r="A832" s="13" t="inlineStr">
        <is>
          <t>분류</t>
        </is>
      </c>
      <c r="B832" s="13" t="inlineStr">
        <is>
          <t>영역</t>
        </is>
      </c>
      <c r="C832" s="8" t="n"/>
      <c r="D832" s="13" t="inlineStr">
        <is>
          <t>배점</t>
        </is>
      </c>
      <c r="E832" s="13" t="inlineStr">
        <is>
          <t>득점</t>
        </is>
      </c>
      <c r="F832" s="13" t="inlineStr">
        <is>
          <t>성취도(%)</t>
        </is>
      </c>
      <c r="G832" s="8" t="n"/>
      <c r="H832" s="13" t="inlineStr"/>
      <c r="I832" s="7" t="n"/>
      <c r="J832" s="7" t="n"/>
      <c r="K832" s="7" t="n"/>
      <c r="L832" s="7" t="n"/>
      <c r="M832" s="7" t="n"/>
      <c r="N832" s="7" t="n"/>
      <c r="O832" s="7" t="n"/>
      <c r="P832" s="8" t="n"/>
      <c r="S832" s="37">
        <f>IF($R$824="","",IFERROR(IF($R$824="언어와 매체",MATCH(10,회차설정!$G$13:$G$27,0),MATCH(10,회차설정!$F$13:$F$27,0)),""))</f>
        <v/>
      </c>
    </row>
    <row r="833">
      <c r="A833" s="14">
        <f>IF($S$823="","",INDEX(회차설정!$A$13:$A$27,$S$823))</f>
        <v/>
      </c>
      <c r="B833" s="14">
        <f>IF($S$823="","",INDEX(회차설정!$B$13:$B$27,$S$823))</f>
        <v/>
      </c>
      <c r="C833" s="8" t="n"/>
      <c r="D833" s="14">
        <f>IF($S$823="","",IF($R$824="언어와 매체",SUMPRODUCT((자동계산!$A$4:$A$48&gt;=INDEX(회차설정!$C$13:$C$27,$S$823))*(자동계산!$A$4:$A$48&lt;=INDEX(회차설정!$D$13:$D$27,$S$823))*자동계산!$E$4:$E$48),SUMPRODUCT((자동계산!$A$4:$A$48&gt;=INDEX(회차설정!$C$13:$C$27,$S$823))*(자동계산!$A$4:$A$48&lt;=INDEX(회차설정!$D$13:$D$27,$S$823))*자동계산!$C$4:$C$48)))</f>
        <v/>
      </c>
      <c r="E833" s="14">
        <f>IF(OR($S$823="",$R$823=""),"",SUM(OFFSET(전체채점!$AW$2,$R$823,INDEX(회차설정!$C$13:$C$27,$S$823),1,INDEX(회차설정!$D$13:$D$27,$S$823)-INDEX(회차설정!$C$13:$C$27,$S$823)+1)))</f>
        <v/>
      </c>
      <c r="F833" s="46">
        <f>IF(OR($S$823="",$D833=0,$D833="",$E833=""),"",$E833/$D833*100)</f>
        <v/>
      </c>
      <c r="G833" s="8" t="n"/>
      <c r="H833" s="47">
        <f>IF($F833="","",REPT("■",ROUND($F833/5,0)))</f>
        <v/>
      </c>
      <c r="I833" s="7" t="n"/>
      <c r="J833" s="7" t="n"/>
      <c r="K833" s="7" t="n"/>
      <c r="L833" s="7" t="n"/>
      <c r="M833" s="7" t="n"/>
      <c r="N833" s="7" t="n"/>
      <c r="O833" s="7" t="n"/>
      <c r="P833" s="8" t="n"/>
      <c r="S833" s="37">
        <f>IF($R$824="","",IFERROR(IF($R$824="언어와 매체",MATCH(11,회차설정!$G$13:$G$27,0),MATCH(11,회차설정!$F$13:$F$27,0)),""))</f>
        <v/>
      </c>
    </row>
    <row r="834">
      <c r="A834" s="14">
        <f>IF($S$824="","",INDEX(회차설정!$A$13:$A$27,$S$824))</f>
        <v/>
      </c>
      <c r="B834" s="14">
        <f>IF($S$824="","",INDEX(회차설정!$B$13:$B$27,$S$824))</f>
        <v/>
      </c>
      <c r="C834" s="8" t="n"/>
      <c r="D834" s="14">
        <f>IF($S$824="","",IF($R$824="언어와 매체",SUMPRODUCT((자동계산!$A$4:$A$48&gt;=INDEX(회차설정!$C$13:$C$27,$S$824))*(자동계산!$A$4:$A$48&lt;=INDEX(회차설정!$D$13:$D$27,$S$824))*자동계산!$E$4:$E$48),SUMPRODUCT((자동계산!$A$4:$A$48&gt;=INDEX(회차설정!$C$13:$C$27,$S$824))*(자동계산!$A$4:$A$48&lt;=INDEX(회차설정!$D$13:$D$27,$S$824))*자동계산!$C$4:$C$48)))</f>
        <v/>
      </c>
      <c r="E834" s="14">
        <f>IF(OR($S$824="",$R$823=""),"",SUM(OFFSET(전체채점!$AW$2,$R$823,INDEX(회차설정!$C$13:$C$27,$S$824),1,INDEX(회차설정!$D$13:$D$27,$S$824)-INDEX(회차설정!$C$13:$C$27,$S$824)+1)))</f>
        <v/>
      </c>
      <c r="F834" s="46">
        <f>IF(OR($S$824="",$D834=0,$D834="",$E834=""),"",$E834/$D834*100)</f>
        <v/>
      </c>
      <c r="G834" s="8" t="n"/>
      <c r="H834" s="47">
        <f>IF($F834="","",REPT("■",ROUND($F834/5,0)))</f>
        <v/>
      </c>
      <c r="I834" s="7" t="n"/>
      <c r="J834" s="7" t="n"/>
      <c r="K834" s="7" t="n"/>
      <c r="L834" s="7" t="n"/>
      <c r="M834" s="7" t="n"/>
      <c r="N834" s="7" t="n"/>
      <c r="O834" s="7" t="n"/>
      <c r="P834" s="8" t="n"/>
      <c r="S834" s="37">
        <f>IF($R$824="","",IFERROR(IF($R$824="언어와 매체",MATCH(12,회차설정!$G$13:$G$27,0),MATCH(12,회차설정!$F$13:$F$27,0)),""))</f>
        <v/>
      </c>
    </row>
    <row r="835">
      <c r="A835" s="14">
        <f>IF($S$825="","",INDEX(회차설정!$A$13:$A$27,$S$825))</f>
        <v/>
      </c>
      <c r="B835" s="14">
        <f>IF($S$825="","",INDEX(회차설정!$B$13:$B$27,$S$825))</f>
        <v/>
      </c>
      <c r="C835" s="8" t="n"/>
      <c r="D835" s="14">
        <f>IF($S$825="","",IF($R$824="언어와 매체",SUMPRODUCT((자동계산!$A$4:$A$48&gt;=INDEX(회차설정!$C$13:$C$27,$S$825))*(자동계산!$A$4:$A$48&lt;=INDEX(회차설정!$D$13:$D$27,$S$825))*자동계산!$E$4:$E$48),SUMPRODUCT((자동계산!$A$4:$A$48&gt;=INDEX(회차설정!$C$13:$C$27,$S$825))*(자동계산!$A$4:$A$48&lt;=INDEX(회차설정!$D$13:$D$27,$S$825))*자동계산!$C$4:$C$48)))</f>
        <v/>
      </c>
      <c r="E835" s="14">
        <f>IF(OR($S$825="",$R$823=""),"",SUM(OFFSET(전체채점!$AW$2,$R$823,INDEX(회차설정!$C$13:$C$27,$S$825),1,INDEX(회차설정!$D$13:$D$27,$S$825)-INDEX(회차설정!$C$13:$C$27,$S$825)+1)))</f>
        <v/>
      </c>
      <c r="F835" s="46">
        <f>IF(OR($S$825="",$D835=0,$D835="",$E835=""),"",$E835/$D835*100)</f>
        <v/>
      </c>
      <c r="G835" s="8" t="n"/>
      <c r="H835" s="47">
        <f>IF($F835="","",REPT("■",ROUND($F835/5,0)))</f>
        <v/>
      </c>
      <c r="I835" s="7" t="n"/>
      <c r="J835" s="7" t="n"/>
      <c r="K835" s="7" t="n"/>
      <c r="L835" s="7" t="n"/>
      <c r="M835" s="7" t="n"/>
      <c r="N835" s="7" t="n"/>
      <c r="O835" s="7" t="n"/>
      <c r="P835" s="8" t="n"/>
    </row>
    <row r="836">
      <c r="A836" s="14">
        <f>IF($S$826="","",INDEX(회차설정!$A$13:$A$27,$S$826))</f>
        <v/>
      </c>
      <c r="B836" s="14">
        <f>IF($S$826="","",INDEX(회차설정!$B$13:$B$27,$S$826))</f>
        <v/>
      </c>
      <c r="C836" s="8" t="n"/>
      <c r="D836" s="14">
        <f>IF($S$826="","",IF($R$824="언어와 매체",SUMPRODUCT((자동계산!$A$4:$A$48&gt;=INDEX(회차설정!$C$13:$C$27,$S$826))*(자동계산!$A$4:$A$48&lt;=INDEX(회차설정!$D$13:$D$27,$S$826))*자동계산!$E$4:$E$48),SUMPRODUCT((자동계산!$A$4:$A$48&gt;=INDEX(회차설정!$C$13:$C$27,$S$826))*(자동계산!$A$4:$A$48&lt;=INDEX(회차설정!$D$13:$D$27,$S$826))*자동계산!$C$4:$C$48)))</f>
        <v/>
      </c>
      <c r="E836" s="14">
        <f>IF(OR($S$826="",$R$823=""),"",SUM(OFFSET(전체채점!$AW$2,$R$823,INDEX(회차설정!$C$13:$C$27,$S$826),1,INDEX(회차설정!$D$13:$D$27,$S$826)-INDEX(회차설정!$C$13:$C$27,$S$826)+1)))</f>
        <v/>
      </c>
      <c r="F836" s="46">
        <f>IF(OR($S$826="",$D836=0,$D836="",$E836=""),"",$E836/$D836*100)</f>
        <v/>
      </c>
      <c r="G836" s="8" t="n"/>
      <c r="H836" s="47">
        <f>IF($F836="","",REPT("■",ROUND($F836/5,0)))</f>
        <v/>
      </c>
      <c r="I836" s="7" t="n"/>
      <c r="J836" s="7" t="n"/>
      <c r="K836" s="7" t="n"/>
      <c r="L836" s="7" t="n"/>
      <c r="M836" s="7" t="n"/>
      <c r="N836" s="7" t="n"/>
      <c r="O836" s="7" t="n"/>
      <c r="P836" s="8" t="n"/>
    </row>
    <row r="837">
      <c r="A837" s="14">
        <f>IF($S$827="","",INDEX(회차설정!$A$13:$A$27,$S$827))</f>
        <v/>
      </c>
      <c r="B837" s="14">
        <f>IF($S$827="","",INDEX(회차설정!$B$13:$B$27,$S$827))</f>
        <v/>
      </c>
      <c r="C837" s="8" t="n"/>
      <c r="D837" s="14">
        <f>IF($S$827="","",IF($R$824="언어와 매체",SUMPRODUCT((자동계산!$A$4:$A$48&gt;=INDEX(회차설정!$C$13:$C$27,$S$827))*(자동계산!$A$4:$A$48&lt;=INDEX(회차설정!$D$13:$D$27,$S$827))*자동계산!$E$4:$E$48),SUMPRODUCT((자동계산!$A$4:$A$48&gt;=INDEX(회차설정!$C$13:$C$27,$S$827))*(자동계산!$A$4:$A$48&lt;=INDEX(회차설정!$D$13:$D$27,$S$827))*자동계산!$C$4:$C$48)))</f>
        <v/>
      </c>
      <c r="E837" s="14">
        <f>IF(OR($S$827="",$R$823=""),"",SUM(OFFSET(전체채점!$AW$2,$R$823,INDEX(회차설정!$C$13:$C$27,$S$827),1,INDEX(회차설정!$D$13:$D$27,$S$827)-INDEX(회차설정!$C$13:$C$27,$S$827)+1)))</f>
        <v/>
      </c>
      <c r="F837" s="46">
        <f>IF(OR($S$827="",$D837=0,$D837="",$E837=""),"",$E837/$D837*100)</f>
        <v/>
      </c>
      <c r="G837" s="8" t="n"/>
      <c r="H837" s="47">
        <f>IF($F837="","",REPT("■",ROUND($F837/5,0)))</f>
        <v/>
      </c>
      <c r="I837" s="7" t="n"/>
      <c r="J837" s="7" t="n"/>
      <c r="K837" s="7" t="n"/>
      <c r="L837" s="7" t="n"/>
      <c r="M837" s="7" t="n"/>
      <c r="N837" s="7" t="n"/>
      <c r="O837" s="7" t="n"/>
      <c r="P837" s="8" t="n"/>
    </row>
    <row r="838">
      <c r="A838" s="14">
        <f>IF($S$828="","",INDEX(회차설정!$A$13:$A$27,$S$828))</f>
        <v/>
      </c>
      <c r="B838" s="14">
        <f>IF($S$828="","",INDEX(회차설정!$B$13:$B$27,$S$828))</f>
        <v/>
      </c>
      <c r="C838" s="8" t="n"/>
      <c r="D838" s="14">
        <f>IF($S$828="","",IF($R$824="언어와 매체",SUMPRODUCT((자동계산!$A$4:$A$48&gt;=INDEX(회차설정!$C$13:$C$27,$S$828))*(자동계산!$A$4:$A$48&lt;=INDEX(회차설정!$D$13:$D$27,$S$828))*자동계산!$E$4:$E$48),SUMPRODUCT((자동계산!$A$4:$A$48&gt;=INDEX(회차설정!$C$13:$C$27,$S$828))*(자동계산!$A$4:$A$48&lt;=INDEX(회차설정!$D$13:$D$27,$S$828))*자동계산!$C$4:$C$48)))</f>
        <v/>
      </c>
      <c r="E838" s="14">
        <f>IF(OR($S$828="",$R$823=""),"",SUM(OFFSET(전체채점!$AW$2,$R$823,INDEX(회차설정!$C$13:$C$27,$S$828),1,INDEX(회차설정!$D$13:$D$27,$S$828)-INDEX(회차설정!$C$13:$C$27,$S$828)+1)))</f>
        <v/>
      </c>
      <c r="F838" s="46">
        <f>IF(OR($S$828="",$D838=0,$D838="",$E838=""),"",$E838/$D838*100)</f>
        <v/>
      </c>
      <c r="G838" s="8" t="n"/>
      <c r="H838" s="47">
        <f>IF($F838="","",REPT("■",ROUND($F838/5,0)))</f>
        <v/>
      </c>
      <c r="I838" s="7" t="n"/>
      <c r="J838" s="7" t="n"/>
      <c r="K838" s="7" t="n"/>
      <c r="L838" s="7" t="n"/>
      <c r="M838" s="7" t="n"/>
      <c r="N838" s="7" t="n"/>
      <c r="O838" s="7" t="n"/>
      <c r="P838" s="8" t="n"/>
    </row>
    <row r="839">
      <c r="A839" s="14">
        <f>IF($S$829="","",INDEX(회차설정!$A$13:$A$27,$S$829))</f>
        <v/>
      </c>
      <c r="B839" s="14">
        <f>IF($S$829="","",INDEX(회차설정!$B$13:$B$27,$S$829))</f>
        <v/>
      </c>
      <c r="C839" s="8" t="n"/>
      <c r="D839" s="14">
        <f>IF($S$829="","",IF($R$824="언어와 매체",SUMPRODUCT((자동계산!$A$4:$A$48&gt;=INDEX(회차설정!$C$13:$C$27,$S$829))*(자동계산!$A$4:$A$48&lt;=INDEX(회차설정!$D$13:$D$27,$S$829))*자동계산!$E$4:$E$48),SUMPRODUCT((자동계산!$A$4:$A$48&gt;=INDEX(회차설정!$C$13:$C$27,$S$829))*(자동계산!$A$4:$A$48&lt;=INDEX(회차설정!$D$13:$D$27,$S$829))*자동계산!$C$4:$C$48)))</f>
        <v/>
      </c>
      <c r="E839" s="14">
        <f>IF(OR($S$829="",$R$823=""),"",SUM(OFFSET(전체채점!$AW$2,$R$823,INDEX(회차설정!$C$13:$C$27,$S$829),1,INDEX(회차설정!$D$13:$D$27,$S$829)-INDEX(회차설정!$C$13:$C$27,$S$829)+1)))</f>
        <v/>
      </c>
      <c r="F839" s="46">
        <f>IF(OR($S$829="",$D839=0,$D839="",$E839=""),"",$E839/$D839*100)</f>
        <v/>
      </c>
      <c r="G839" s="8" t="n"/>
      <c r="H839" s="47">
        <f>IF($F839="","",REPT("■",ROUND($F839/5,0)))</f>
        <v/>
      </c>
      <c r="I839" s="7" t="n"/>
      <c r="J839" s="7" t="n"/>
      <c r="K839" s="7" t="n"/>
      <c r="L839" s="7" t="n"/>
      <c r="M839" s="7" t="n"/>
      <c r="N839" s="7" t="n"/>
      <c r="O839" s="7" t="n"/>
      <c r="P839" s="8" t="n"/>
    </row>
    <row r="840">
      <c r="A840" s="14">
        <f>IF($S$830="","",INDEX(회차설정!$A$13:$A$27,$S$830))</f>
        <v/>
      </c>
      <c r="B840" s="14">
        <f>IF($S$830="","",INDEX(회차설정!$B$13:$B$27,$S$830))</f>
        <v/>
      </c>
      <c r="C840" s="8" t="n"/>
      <c r="D840" s="14">
        <f>IF($S$830="","",IF($R$824="언어와 매체",SUMPRODUCT((자동계산!$A$4:$A$48&gt;=INDEX(회차설정!$C$13:$C$27,$S$830))*(자동계산!$A$4:$A$48&lt;=INDEX(회차설정!$D$13:$D$27,$S$830))*자동계산!$E$4:$E$48),SUMPRODUCT((자동계산!$A$4:$A$48&gt;=INDEX(회차설정!$C$13:$C$27,$S$830))*(자동계산!$A$4:$A$48&lt;=INDEX(회차설정!$D$13:$D$27,$S$830))*자동계산!$C$4:$C$48)))</f>
        <v/>
      </c>
      <c r="E840" s="14">
        <f>IF(OR($S$830="",$R$823=""),"",SUM(OFFSET(전체채점!$AW$2,$R$823,INDEX(회차설정!$C$13:$C$27,$S$830),1,INDEX(회차설정!$D$13:$D$27,$S$830)-INDEX(회차설정!$C$13:$C$27,$S$830)+1)))</f>
        <v/>
      </c>
      <c r="F840" s="46">
        <f>IF(OR($S$830="",$D840=0,$D840="",$E840=""),"",$E840/$D840*100)</f>
        <v/>
      </c>
      <c r="G840" s="8" t="n"/>
      <c r="H840" s="47">
        <f>IF($F840="","",REPT("■",ROUND($F840/5,0)))</f>
        <v/>
      </c>
      <c r="I840" s="7" t="n"/>
      <c r="J840" s="7" t="n"/>
      <c r="K840" s="7" t="n"/>
      <c r="L840" s="7" t="n"/>
      <c r="M840" s="7" t="n"/>
      <c r="N840" s="7" t="n"/>
      <c r="O840" s="7" t="n"/>
      <c r="P840" s="8" t="n"/>
    </row>
    <row r="841">
      <c r="A841" s="14">
        <f>IF($S$831="","",INDEX(회차설정!$A$13:$A$27,$S$831))</f>
        <v/>
      </c>
      <c r="B841" s="14">
        <f>IF($S$831="","",INDEX(회차설정!$B$13:$B$27,$S$831))</f>
        <v/>
      </c>
      <c r="C841" s="8" t="n"/>
      <c r="D841" s="14">
        <f>IF($S$831="","",IF($R$824="언어와 매체",SUMPRODUCT((자동계산!$A$4:$A$48&gt;=INDEX(회차설정!$C$13:$C$27,$S$831))*(자동계산!$A$4:$A$48&lt;=INDEX(회차설정!$D$13:$D$27,$S$831))*자동계산!$E$4:$E$48),SUMPRODUCT((자동계산!$A$4:$A$48&gt;=INDEX(회차설정!$C$13:$C$27,$S$831))*(자동계산!$A$4:$A$48&lt;=INDEX(회차설정!$D$13:$D$27,$S$831))*자동계산!$C$4:$C$48)))</f>
        <v/>
      </c>
      <c r="E841" s="14">
        <f>IF(OR($S$831="",$R$823=""),"",SUM(OFFSET(전체채점!$AW$2,$R$823,INDEX(회차설정!$C$13:$C$27,$S$831),1,INDEX(회차설정!$D$13:$D$27,$S$831)-INDEX(회차설정!$C$13:$C$27,$S$831)+1)))</f>
        <v/>
      </c>
      <c r="F841" s="46">
        <f>IF(OR($S$831="",$D841=0,$D841="",$E841=""),"",$E841/$D841*100)</f>
        <v/>
      </c>
      <c r="G841" s="8" t="n"/>
      <c r="H841" s="47">
        <f>IF($F841="","",REPT("■",ROUND($F841/5,0)))</f>
        <v/>
      </c>
      <c r="I841" s="7" t="n"/>
      <c r="J841" s="7" t="n"/>
      <c r="K841" s="7" t="n"/>
      <c r="L841" s="7" t="n"/>
      <c r="M841" s="7" t="n"/>
      <c r="N841" s="7" t="n"/>
      <c r="O841" s="7" t="n"/>
      <c r="P841" s="8" t="n"/>
    </row>
    <row r="842">
      <c r="A842" s="14">
        <f>IF($S$832="","",INDEX(회차설정!$A$13:$A$27,$S$832))</f>
        <v/>
      </c>
      <c r="B842" s="14">
        <f>IF($S$832="","",INDEX(회차설정!$B$13:$B$27,$S$832))</f>
        <v/>
      </c>
      <c r="C842" s="8" t="n"/>
      <c r="D842" s="14">
        <f>IF($S$832="","",IF($R$824="언어와 매체",SUMPRODUCT((자동계산!$A$4:$A$48&gt;=INDEX(회차설정!$C$13:$C$27,$S$832))*(자동계산!$A$4:$A$48&lt;=INDEX(회차설정!$D$13:$D$27,$S$832))*자동계산!$E$4:$E$48),SUMPRODUCT((자동계산!$A$4:$A$48&gt;=INDEX(회차설정!$C$13:$C$27,$S$832))*(자동계산!$A$4:$A$48&lt;=INDEX(회차설정!$D$13:$D$27,$S$832))*자동계산!$C$4:$C$48)))</f>
        <v/>
      </c>
      <c r="E842" s="14">
        <f>IF(OR($S$832="",$R$823=""),"",SUM(OFFSET(전체채점!$AW$2,$R$823,INDEX(회차설정!$C$13:$C$27,$S$832),1,INDEX(회차설정!$D$13:$D$27,$S$832)-INDEX(회차설정!$C$13:$C$27,$S$832)+1)))</f>
        <v/>
      </c>
      <c r="F842" s="46">
        <f>IF(OR($S$832="",$D842=0,$D842="",$E842=""),"",$E842/$D842*100)</f>
        <v/>
      </c>
      <c r="G842" s="8" t="n"/>
      <c r="H842" s="47">
        <f>IF($F842="","",REPT("■",ROUND($F842/5,0)))</f>
        <v/>
      </c>
      <c r="I842" s="7" t="n"/>
      <c r="J842" s="7" t="n"/>
      <c r="K842" s="7" t="n"/>
      <c r="L842" s="7" t="n"/>
      <c r="M842" s="7" t="n"/>
      <c r="N842" s="7" t="n"/>
      <c r="O842" s="7" t="n"/>
      <c r="P842" s="8" t="n"/>
    </row>
    <row r="843">
      <c r="A843" s="14">
        <f>IF($S$833="","",INDEX(회차설정!$A$13:$A$27,$S$833))</f>
        <v/>
      </c>
      <c r="B843" s="14">
        <f>IF($S$833="","",INDEX(회차설정!$B$13:$B$27,$S$833))</f>
        <v/>
      </c>
      <c r="C843" s="8" t="n"/>
      <c r="D843" s="14">
        <f>IF($S$833="","",IF($R$824="언어와 매체",SUMPRODUCT((자동계산!$A$4:$A$48&gt;=INDEX(회차설정!$C$13:$C$27,$S$833))*(자동계산!$A$4:$A$48&lt;=INDEX(회차설정!$D$13:$D$27,$S$833))*자동계산!$E$4:$E$48),SUMPRODUCT((자동계산!$A$4:$A$48&gt;=INDEX(회차설정!$C$13:$C$27,$S$833))*(자동계산!$A$4:$A$48&lt;=INDEX(회차설정!$D$13:$D$27,$S$833))*자동계산!$C$4:$C$48)))</f>
        <v/>
      </c>
      <c r="E843" s="14">
        <f>IF(OR($S$833="",$R$823=""),"",SUM(OFFSET(전체채점!$AW$2,$R$823,INDEX(회차설정!$C$13:$C$27,$S$833),1,INDEX(회차설정!$D$13:$D$27,$S$833)-INDEX(회차설정!$C$13:$C$27,$S$833)+1)))</f>
        <v/>
      </c>
      <c r="F843" s="46">
        <f>IF(OR($S$833="",$D843=0,$D843="",$E843=""),"",$E843/$D843*100)</f>
        <v/>
      </c>
      <c r="G843" s="8" t="n"/>
      <c r="H843" s="47">
        <f>IF($F843="","",REPT("■",ROUND($F843/5,0)))</f>
        <v/>
      </c>
      <c r="I843" s="7" t="n"/>
      <c r="J843" s="7" t="n"/>
      <c r="K843" s="7" t="n"/>
      <c r="L843" s="7" t="n"/>
      <c r="M843" s="7" t="n"/>
      <c r="N843" s="7" t="n"/>
      <c r="O843" s="7" t="n"/>
      <c r="P843" s="8" t="n"/>
    </row>
    <row r="844">
      <c r="A844" s="14">
        <f>IF($S$834="","",INDEX(회차설정!$A$13:$A$27,$S$834))</f>
        <v/>
      </c>
      <c r="B844" s="14">
        <f>IF($S$834="","",INDEX(회차설정!$B$13:$B$27,$S$834))</f>
        <v/>
      </c>
      <c r="C844" s="8" t="n"/>
      <c r="D844" s="14">
        <f>IF($S$834="","",IF($R$824="언어와 매체",SUMPRODUCT((자동계산!$A$4:$A$48&gt;=INDEX(회차설정!$C$13:$C$27,$S$834))*(자동계산!$A$4:$A$48&lt;=INDEX(회차설정!$D$13:$D$27,$S$834))*자동계산!$E$4:$E$48),SUMPRODUCT((자동계산!$A$4:$A$48&gt;=INDEX(회차설정!$C$13:$C$27,$S$834))*(자동계산!$A$4:$A$48&lt;=INDEX(회차설정!$D$13:$D$27,$S$834))*자동계산!$C$4:$C$48)))</f>
        <v/>
      </c>
      <c r="E844" s="14">
        <f>IF(OR($S$834="",$R$823=""),"",SUM(OFFSET(전체채점!$AW$2,$R$823,INDEX(회차설정!$C$13:$C$27,$S$834),1,INDEX(회차설정!$D$13:$D$27,$S$834)-INDEX(회차설정!$C$13:$C$27,$S$834)+1)))</f>
        <v/>
      </c>
      <c r="F844" s="46">
        <f>IF(OR($S$834="",$D844=0,$D844="",$E844=""),"",$E844/$D844*100)</f>
        <v/>
      </c>
      <c r="G844" s="8" t="n"/>
      <c r="H844" s="47">
        <f>IF($F844="","",REPT("■",ROUND($F844/5,0)))</f>
        <v/>
      </c>
      <c r="I844" s="7" t="n"/>
      <c r="J844" s="7" t="n"/>
      <c r="K844" s="7" t="n"/>
      <c r="L844" s="7" t="n"/>
      <c r="M844" s="7" t="n"/>
      <c r="N844" s="7" t="n"/>
      <c r="O844" s="7" t="n"/>
      <c r="P844" s="8" t="n"/>
    </row>
    <row r="845">
      <c r="A845" s="5">
        <f>IF($R$823="","","합계")</f>
        <v/>
      </c>
      <c r="B845" s="7" t="n"/>
      <c r="C845" s="8" t="n"/>
      <c r="D845" s="5">
        <f>IF($R$823="","",SUM(D833:D844))</f>
        <v/>
      </c>
      <c r="E845" s="5">
        <f>IF($R$823="","",SUM(E833:E844))</f>
        <v/>
      </c>
      <c r="F845" s="48">
        <f>IF(OR($D845=0,$D845=""),"",$E845/$D845*100)</f>
        <v/>
      </c>
      <c r="G845" s="8" t="n"/>
      <c r="H845" s="49">
        <f>IF($F845="","",REPT("■",ROUND($F845/5,0)))</f>
        <v/>
      </c>
      <c r="I845" s="7" t="n"/>
      <c r="J845" s="7" t="n"/>
      <c r="K845" s="7" t="n"/>
      <c r="L845" s="7" t="n"/>
      <c r="M845" s="7" t="n"/>
      <c r="N845" s="7" t="n"/>
      <c r="O845" s="7" t="n"/>
      <c r="P845" s="8" t="n"/>
    </row>
    <row r="847">
      <c r="A847" s="12" t="inlineStr">
        <is>
          <t>4. 문항 채점표</t>
        </is>
      </c>
    </row>
    <row r="848">
      <c r="A848" s="50" t="inlineStr">
        <is>
          <t>문항 번호</t>
        </is>
      </c>
      <c r="B848" s="51" t="n">
        <v>1</v>
      </c>
      <c r="C848" s="51" t="n">
        <v>2</v>
      </c>
      <c r="D848" s="51" t="n">
        <v>3</v>
      </c>
      <c r="E848" s="51" t="n">
        <v>4</v>
      </c>
      <c r="F848" s="51" t="n">
        <v>5</v>
      </c>
      <c r="G848" s="51" t="n">
        <v>6</v>
      </c>
      <c r="H848" s="51" t="n">
        <v>7</v>
      </c>
      <c r="I848" s="51" t="n">
        <v>8</v>
      </c>
      <c r="J848" s="51" t="n">
        <v>9</v>
      </c>
      <c r="K848" s="51" t="n">
        <v>10</v>
      </c>
      <c r="L848" s="51" t="n">
        <v>11</v>
      </c>
      <c r="M848" s="51" t="n">
        <v>12</v>
      </c>
      <c r="N848" s="51" t="n">
        <v>13</v>
      </c>
      <c r="O848" s="51" t="n">
        <v>14</v>
      </c>
      <c r="P848" s="51" t="n">
        <v>15</v>
      </c>
    </row>
    <row r="849">
      <c r="A849" s="52" t="inlineStr">
        <is>
          <t>정답</t>
        </is>
      </c>
      <c r="B849" s="33">
        <f>IF($R$824="","",IF($R$824="언어와 매체",자동계산!$D$4,자동계산!$B$4))</f>
        <v/>
      </c>
      <c r="C849" s="33">
        <f>IF($R$824="","",IF($R$824="언어와 매체",자동계산!$D$5,자동계산!$B$5))</f>
        <v/>
      </c>
      <c r="D849" s="33">
        <f>IF($R$824="","",IF($R$824="언어와 매체",자동계산!$D$6,자동계산!$B$6))</f>
        <v/>
      </c>
      <c r="E849" s="33">
        <f>IF($R$824="","",IF($R$824="언어와 매체",자동계산!$D$7,자동계산!$B$7))</f>
        <v/>
      </c>
      <c r="F849" s="33">
        <f>IF($R$824="","",IF($R$824="언어와 매체",자동계산!$D$8,자동계산!$B$8))</f>
        <v/>
      </c>
      <c r="G849" s="33">
        <f>IF($R$824="","",IF($R$824="언어와 매체",자동계산!$D$9,자동계산!$B$9))</f>
        <v/>
      </c>
      <c r="H849" s="33">
        <f>IF($R$824="","",IF($R$824="언어와 매체",자동계산!$D$10,자동계산!$B$10))</f>
        <v/>
      </c>
      <c r="I849" s="33">
        <f>IF($R$824="","",IF($R$824="언어와 매체",자동계산!$D$11,자동계산!$B$11))</f>
        <v/>
      </c>
      <c r="J849" s="33">
        <f>IF($R$824="","",IF($R$824="언어와 매체",자동계산!$D$12,자동계산!$B$12))</f>
        <v/>
      </c>
      <c r="K849" s="33">
        <f>IF($R$824="","",IF($R$824="언어와 매체",자동계산!$D$13,자동계산!$B$13))</f>
        <v/>
      </c>
      <c r="L849" s="33">
        <f>IF($R$824="","",IF($R$824="언어와 매체",자동계산!$D$14,자동계산!$B$14))</f>
        <v/>
      </c>
      <c r="M849" s="33">
        <f>IF($R$824="","",IF($R$824="언어와 매체",자동계산!$D$15,자동계산!$B$15))</f>
        <v/>
      </c>
      <c r="N849" s="33">
        <f>IF($R$824="","",IF($R$824="언어와 매체",자동계산!$D$16,자동계산!$B$16))</f>
        <v/>
      </c>
      <c r="O849" s="33">
        <f>IF($R$824="","",IF($R$824="언어와 매체",자동계산!$D$17,자동계산!$B$17))</f>
        <v/>
      </c>
      <c r="P849" s="33">
        <f>IF($R$824="","",IF($R$824="언어와 매체",자동계산!$D$18,자동계산!$B$18))</f>
        <v/>
      </c>
    </row>
    <row r="850">
      <c r="A850" s="52" t="inlineStr">
        <is>
          <t>학생답안</t>
        </is>
      </c>
      <c r="B850" s="33">
        <f>IF($R$823="","",INDEX(전체채점!E$3:E$62,$R$823))</f>
        <v/>
      </c>
      <c r="C850" s="33">
        <f>IF($R$823="","",INDEX(전체채점!F$3:F$62,$R$823))</f>
        <v/>
      </c>
      <c r="D850" s="33">
        <f>IF($R$823="","",INDEX(전체채점!G$3:G$62,$R$823))</f>
        <v/>
      </c>
      <c r="E850" s="33">
        <f>IF($R$823="","",INDEX(전체채점!H$3:H$62,$R$823))</f>
        <v/>
      </c>
      <c r="F850" s="33">
        <f>IF($R$823="","",INDEX(전체채점!I$3:I$62,$R$823))</f>
        <v/>
      </c>
      <c r="G850" s="33">
        <f>IF($R$823="","",INDEX(전체채점!J$3:J$62,$R$823))</f>
        <v/>
      </c>
      <c r="H850" s="33">
        <f>IF($R$823="","",INDEX(전체채점!K$3:K$62,$R$823))</f>
        <v/>
      </c>
      <c r="I850" s="33">
        <f>IF($R$823="","",INDEX(전체채점!L$3:L$62,$R$823))</f>
        <v/>
      </c>
      <c r="J850" s="33">
        <f>IF($R$823="","",INDEX(전체채점!M$3:M$62,$R$823))</f>
        <v/>
      </c>
      <c r="K850" s="33">
        <f>IF($R$823="","",INDEX(전체채점!N$3:N$62,$R$823))</f>
        <v/>
      </c>
      <c r="L850" s="33">
        <f>IF($R$823="","",INDEX(전체채점!O$3:O$62,$R$823))</f>
        <v/>
      </c>
      <c r="M850" s="33">
        <f>IF($R$823="","",INDEX(전체채점!P$3:P$62,$R$823))</f>
        <v/>
      </c>
      <c r="N850" s="33">
        <f>IF($R$823="","",INDEX(전체채점!Q$3:Q$62,$R$823))</f>
        <v/>
      </c>
      <c r="O850" s="33">
        <f>IF($R$823="","",INDEX(전체채점!R$3:R$62,$R$823))</f>
        <v/>
      </c>
      <c r="P850" s="33">
        <f>IF($R$823="","",INDEX(전체채점!S$3:S$62,$R$823))</f>
        <v/>
      </c>
    </row>
    <row r="851">
      <c r="A851" s="52" t="inlineStr">
        <is>
          <t>정오</t>
        </is>
      </c>
      <c r="B851" s="33">
        <f>IF($R$823="","",INDEX(전체채점!AX$3:AX$62,$R$823))</f>
        <v/>
      </c>
      <c r="C851" s="33">
        <f>IF($R$823="","",INDEX(전체채점!AY$3:AY$62,$R$823))</f>
        <v/>
      </c>
      <c r="D851" s="33">
        <f>IF($R$823="","",INDEX(전체채점!AZ$3:AZ$62,$R$823))</f>
        <v/>
      </c>
      <c r="E851" s="33">
        <f>IF($R$823="","",INDEX(전체채점!BA$3:BA$62,$R$823))</f>
        <v/>
      </c>
      <c r="F851" s="33">
        <f>IF($R$823="","",INDEX(전체채점!BB$3:BB$62,$R$823))</f>
        <v/>
      </c>
      <c r="G851" s="33">
        <f>IF($R$823="","",INDEX(전체채점!BC$3:BC$62,$R$823))</f>
        <v/>
      </c>
      <c r="H851" s="33">
        <f>IF($R$823="","",INDEX(전체채점!BD$3:BD$62,$R$823))</f>
        <v/>
      </c>
      <c r="I851" s="33">
        <f>IF($R$823="","",INDEX(전체채점!BE$3:BE$62,$R$823))</f>
        <v/>
      </c>
      <c r="J851" s="33">
        <f>IF($R$823="","",INDEX(전체채점!BF$3:BF$62,$R$823))</f>
        <v/>
      </c>
      <c r="K851" s="33">
        <f>IF($R$823="","",INDEX(전체채점!BG$3:BG$62,$R$823))</f>
        <v/>
      </c>
      <c r="L851" s="33">
        <f>IF($R$823="","",INDEX(전체채점!BH$3:BH$62,$R$823))</f>
        <v/>
      </c>
      <c r="M851" s="33">
        <f>IF($R$823="","",INDEX(전체채점!BI$3:BI$62,$R$823))</f>
        <v/>
      </c>
      <c r="N851" s="33">
        <f>IF($R$823="","",INDEX(전체채점!BJ$3:BJ$62,$R$823))</f>
        <v/>
      </c>
      <c r="O851" s="33">
        <f>IF($R$823="","",INDEX(전체채점!BK$3:BK$62,$R$823))</f>
        <v/>
      </c>
      <c r="P851" s="33">
        <f>IF($R$823="","",INDEX(전체채점!BL$3:BL$62,$R$823))</f>
        <v/>
      </c>
    </row>
    <row r="852">
      <c r="A852" s="50" t="inlineStr">
        <is>
          <t>문항 번호</t>
        </is>
      </c>
      <c r="B852" s="51" t="n">
        <v>16</v>
      </c>
      <c r="C852" s="51" t="n">
        <v>17</v>
      </c>
      <c r="D852" s="51" t="n">
        <v>18</v>
      </c>
      <c r="E852" s="51" t="n">
        <v>19</v>
      </c>
      <c r="F852" s="51" t="n">
        <v>20</v>
      </c>
      <c r="G852" s="51" t="n">
        <v>21</v>
      </c>
      <c r="H852" s="51" t="n">
        <v>22</v>
      </c>
      <c r="I852" s="51" t="n">
        <v>23</v>
      </c>
      <c r="J852" s="51" t="n">
        <v>24</v>
      </c>
      <c r="K852" s="51" t="n">
        <v>25</v>
      </c>
      <c r="L852" s="51" t="n">
        <v>26</v>
      </c>
      <c r="M852" s="51" t="n">
        <v>27</v>
      </c>
      <c r="N852" s="51" t="n">
        <v>28</v>
      </c>
      <c r="O852" s="51" t="n">
        <v>29</v>
      </c>
      <c r="P852" s="51" t="n">
        <v>30</v>
      </c>
    </row>
    <row r="853">
      <c r="A853" s="52" t="inlineStr">
        <is>
          <t>정답</t>
        </is>
      </c>
      <c r="B853" s="33">
        <f>IF($R$824="","",IF($R$824="언어와 매체",자동계산!$D$19,자동계산!$B$19))</f>
        <v/>
      </c>
      <c r="C853" s="33">
        <f>IF($R$824="","",IF($R$824="언어와 매체",자동계산!$D$20,자동계산!$B$20))</f>
        <v/>
      </c>
      <c r="D853" s="33">
        <f>IF($R$824="","",IF($R$824="언어와 매체",자동계산!$D$21,자동계산!$B$21))</f>
        <v/>
      </c>
      <c r="E853" s="33">
        <f>IF($R$824="","",IF($R$824="언어와 매체",자동계산!$D$22,자동계산!$B$22))</f>
        <v/>
      </c>
      <c r="F853" s="33">
        <f>IF($R$824="","",IF($R$824="언어와 매체",자동계산!$D$23,자동계산!$B$23))</f>
        <v/>
      </c>
      <c r="G853" s="33">
        <f>IF($R$824="","",IF($R$824="언어와 매체",자동계산!$D$24,자동계산!$B$24))</f>
        <v/>
      </c>
      <c r="H853" s="33">
        <f>IF($R$824="","",IF($R$824="언어와 매체",자동계산!$D$25,자동계산!$B$25))</f>
        <v/>
      </c>
      <c r="I853" s="33">
        <f>IF($R$824="","",IF($R$824="언어와 매체",자동계산!$D$26,자동계산!$B$26))</f>
        <v/>
      </c>
      <c r="J853" s="33">
        <f>IF($R$824="","",IF($R$824="언어와 매체",자동계산!$D$27,자동계산!$B$27))</f>
        <v/>
      </c>
      <c r="K853" s="33">
        <f>IF($R$824="","",IF($R$824="언어와 매체",자동계산!$D$28,자동계산!$B$28))</f>
        <v/>
      </c>
      <c r="L853" s="33">
        <f>IF($R$824="","",IF($R$824="언어와 매체",자동계산!$D$29,자동계산!$B$29))</f>
        <v/>
      </c>
      <c r="M853" s="33">
        <f>IF($R$824="","",IF($R$824="언어와 매체",자동계산!$D$30,자동계산!$B$30))</f>
        <v/>
      </c>
      <c r="N853" s="33">
        <f>IF($R$824="","",IF($R$824="언어와 매체",자동계산!$D$31,자동계산!$B$31))</f>
        <v/>
      </c>
      <c r="O853" s="33">
        <f>IF($R$824="","",IF($R$824="언어와 매체",자동계산!$D$32,자동계산!$B$32))</f>
        <v/>
      </c>
      <c r="P853" s="33">
        <f>IF($R$824="","",IF($R$824="언어와 매체",자동계산!$D$33,자동계산!$B$33))</f>
        <v/>
      </c>
    </row>
    <row r="854">
      <c r="A854" s="52" t="inlineStr">
        <is>
          <t>학생답안</t>
        </is>
      </c>
      <c r="B854" s="33">
        <f>IF($R$823="","",INDEX(전체채점!T$3:T$62,$R$823))</f>
        <v/>
      </c>
      <c r="C854" s="33">
        <f>IF($R$823="","",INDEX(전체채점!U$3:U$62,$R$823))</f>
        <v/>
      </c>
      <c r="D854" s="33">
        <f>IF($R$823="","",INDEX(전체채점!V$3:V$62,$R$823))</f>
        <v/>
      </c>
      <c r="E854" s="33">
        <f>IF($R$823="","",INDEX(전체채점!W$3:W$62,$R$823))</f>
        <v/>
      </c>
      <c r="F854" s="33">
        <f>IF($R$823="","",INDEX(전체채점!X$3:X$62,$R$823))</f>
        <v/>
      </c>
      <c r="G854" s="33">
        <f>IF($R$823="","",INDEX(전체채점!Y$3:Y$62,$R$823))</f>
        <v/>
      </c>
      <c r="H854" s="33">
        <f>IF($R$823="","",INDEX(전체채점!Z$3:Z$62,$R$823))</f>
        <v/>
      </c>
      <c r="I854" s="33">
        <f>IF($R$823="","",INDEX(전체채점!AA$3:AA$62,$R$823))</f>
        <v/>
      </c>
      <c r="J854" s="33">
        <f>IF($R$823="","",INDEX(전체채점!AB$3:AB$62,$R$823))</f>
        <v/>
      </c>
      <c r="K854" s="33">
        <f>IF($R$823="","",INDEX(전체채점!AC$3:AC$62,$R$823))</f>
        <v/>
      </c>
      <c r="L854" s="33">
        <f>IF($R$823="","",INDEX(전체채점!AD$3:AD$62,$R$823))</f>
        <v/>
      </c>
      <c r="M854" s="33">
        <f>IF($R$823="","",INDEX(전체채점!AE$3:AE$62,$R$823))</f>
        <v/>
      </c>
      <c r="N854" s="33">
        <f>IF($R$823="","",INDEX(전체채점!AF$3:AF$62,$R$823))</f>
        <v/>
      </c>
      <c r="O854" s="33">
        <f>IF($R$823="","",INDEX(전체채점!AG$3:AG$62,$R$823))</f>
        <v/>
      </c>
      <c r="P854" s="33">
        <f>IF($R$823="","",INDEX(전체채점!AH$3:AH$62,$R$823))</f>
        <v/>
      </c>
    </row>
    <row r="855">
      <c r="A855" s="52" t="inlineStr">
        <is>
          <t>정오</t>
        </is>
      </c>
      <c r="B855" s="33">
        <f>IF($R$823="","",INDEX(전체채점!BM$3:BM$62,$R$823))</f>
        <v/>
      </c>
      <c r="C855" s="33">
        <f>IF($R$823="","",INDEX(전체채점!BN$3:BN$62,$R$823))</f>
        <v/>
      </c>
      <c r="D855" s="33">
        <f>IF($R$823="","",INDEX(전체채점!BO$3:BO$62,$R$823))</f>
        <v/>
      </c>
      <c r="E855" s="33">
        <f>IF($R$823="","",INDEX(전체채점!BP$3:BP$62,$R$823))</f>
        <v/>
      </c>
      <c r="F855" s="33">
        <f>IF($R$823="","",INDEX(전체채점!BQ$3:BQ$62,$R$823))</f>
        <v/>
      </c>
      <c r="G855" s="33">
        <f>IF($R$823="","",INDEX(전체채점!BR$3:BR$62,$R$823))</f>
        <v/>
      </c>
      <c r="H855" s="33">
        <f>IF($R$823="","",INDEX(전체채점!BS$3:BS$62,$R$823))</f>
        <v/>
      </c>
      <c r="I855" s="33">
        <f>IF($R$823="","",INDEX(전체채점!BT$3:BT$62,$R$823))</f>
        <v/>
      </c>
      <c r="J855" s="33">
        <f>IF($R$823="","",INDEX(전체채점!BU$3:BU$62,$R$823))</f>
        <v/>
      </c>
      <c r="K855" s="33">
        <f>IF($R$823="","",INDEX(전체채점!BV$3:BV$62,$R$823))</f>
        <v/>
      </c>
      <c r="L855" s="33">
        <f>IF($R$823="","",INDEX(전체채점!BW$3:BW$62,$R$823))</f>
        <v/>
      </c>
      <c r="M855" s="33">
        <f>IF($R$823="","",INDEX(전체채점!BX$3:BX$62,$R$823))</f>
        <v/>
      </c>
      <c r="N855" s="33">
        <f>IF($R$823="","",INDEX(전체채점!BY$3:BY$62,$R$823))</f>
        <v/>
      </c>
      <c r="O855" s="33">
        <f>IF($R$823="","",INDEX(전체채점!BZ$3:BZ$62,$R$823))</f>
        <v/>
      </c>
      <c r="P855" s="33">
        <f>IF($R$823="","",INDEX(전체채점!CA$3:CA$62,$R$823))</f>
        <v/>
      </c>
    </row>
    <row r="856">
      <c r="A856" s="50" t="inlineStr">
        <is>
          <t>문항 번호</t>
        </is>
      </c>
      <c r="B856" s="51" t="n">
        <v>31</v>
      </c>
      <c r="C856" s="51" t="n">
        <v>32</v>
      </c>
      <c r="D856" s="51" t="n">
        <v>33</v>
      </c>
      <c r="E856" s="51" t="n">
        <v>34</v>
      </c>
      <c r="F856" s="51" t="n">
        <v>35</v>
      </c>
      <c r="G856" s="51" t="n">
        <v>36</v>
      </c>
      <c r="H856" s="51" t="n">
        <v>37</v>
      </c>
      <c r="I856" s="51" t="n">
        <v>38</v>
      </c>
      <c r="J856" s="51" t="n">
        <v>39</v>
      </c>
      <c r="K856" s="51" t="n">
        <v>40</v>
      </c>
      <c r="L856" s="51" t="n">
        <v>41</v>
      </c>
      <c r="M856" s="51" t="n">
        <v>42</v>
      </c>
      <c r="N856" s="51" t="n">
        <v>43</v>
      </c>
      <c r="O856" s="51" t="n">
        <v>44</v>
      </c>
      <c r="P856" s="51" t="n">
        <v>45</v>
      </c>
    </row>
    <row r="857">
      <c r="A857" s="52" t="inlineStr">
        <is>
          <t>정답</t>
        </is>
      </c>
      <c r="B857" s="33">
        <f>IF($R$824="","",IF($R$824="언어와 매체",자동계산!$D$34,자동계산!$B$34))</f>
        <v/>
      </c>
      <c r="C857" s="33">
        <f>IF($R$824="","",IF($R$824="언어와 매체",자동계산!$D$35,자동계산!$B$35))</f>
        <v/>
      </c>
      <c r="D857" s="33">
        <f>IF($R$824="","",IF($R$824="언어와 매체",자동계산!$D$36,자동계산!$B$36))</f>
        <v/>
      </c>
      <c r="E857" s="33">
        <f>IF($R$824="","",IF($R$824="언어와 매체",자동계산!$D$37,자동계산!$B$37))</f>
        <v/>
      </c>
      <c r="F857" s="33">
        <f>IF($R$824="","",IF($R$824="언어와 매체",자동계산!$D$38,자동계산!$B$38))</f>
        <v/>
      </c>
      <c r="G857" s="33">
        <f>IF($R$824="","",IF($R$824="언어와 매체",자동계산!$D$39,자동계산!$B$39))</f>
        <v/>
      </c>
      <c r="H857" s="33">
        <f>IF($R$824="","",IF($R$824="언어와 매체",자동계산!$D$40,자동계산!$B$40))</f>
        <v/>
      </c>
      <c r="I857" s="33">
        <f>IF($R$824="","",IF($R$824="언어와 매체",자동계산!$D$41,자동계산!$B$41))</f>
        <v/>
      </c>
      <c r="J857" s="33">
        <f>IF($R$824="","",IF($R$824="언어와 매체",자동계산!$D$42,자동계산!$B$42))</f>
        <v/>
      </c>
      <c r="K857" s="33">
        <f>IF($R$824="","",IF($R$824="언어와 매체",자동계산!$D$43,자동계산!$B$43))</f>
        <v/>
      </c>
      <c r="L857" s="33">
        <f>IF($R$824="","",IF($R$824="언어와 매체",자동계산!$D$44,자동계산!$B$44))</f>
        <v/>
      </c>
      <c r="M857" s="33">
        <f>IF($R$824="","",IF($R$824="언어와 매체",자동계산!$D$45,자동계산!$B$45))</f>
        <v/>
      </c>
      <c r="N857" s="33">
        <f>IF($R$824="","",IF($R$824="언어와 매체",자동계산!$D$46,자동계산!$B$46))</f>
        <v/>
      </c>
      <c r="O857" s="33">
        <f>IF($R$824="","",IF($R$824="언어와 매체",자동계산!$D$47,자동계산!$B$47))</f>
        <v/>
      </c>
      <c r="P857" s="33">
        <f>IF($R$824="","",IF($R$824="언어와 매체",자동계산!$D$48,자동계산!$B$48))</f>
        <v/>
      </c>
    </row>
    <row r="858">
      <c r="A858" s="52" t="inlineStr">
        <is>
          <t>학생답안</t>
        </is>
      </c>
      <c r="B858" s="33">
        <f>IF($R$823="","",INDEX(전체채점!AI$3:AI$62,$R$823))</f>
        <v/>
      </c>
      <c r="C858" s="33">
        <f>IF($R$823="","",INDEX(전체채점!AJ$3:AJ$62,$R$823))</f>
        <v/>
      </c>
      <c r="D858" s="33">
        <f>IF($R$823="","",INDEX(전체채점!AK$3:AK$62,$R$823))</f>
        <v/>
      </c>
      <c r="E858" s="33">
        <f>IF($R$823="","",INDEX(전체채점!AL$3:AL$62,$R$823))</f>
        <v/>
      </c>
      <c r="F858" s="33">
        <f>IF($R$823="","",INDEX(전체채점!AM$3:AM$62,$R$823))</f>
        <v/>
      </c>
      <c r="G858" s="33">
        <f>IF($R$823="","",INDEX(전체채점!AN$3:AN$62,$R$823))</f>
        <v/>
      </c>
      <c r="H858" s="33">
        <f>IF($R$823="","",INDEX(전체채점!AO$3:AO$62,$R$823))</f>
        <v/>
      </c>
      <c r="I858" s="33">
        <f>IF($R$823="","",INDEX(전체채점!AP$3:AP$62,$R$823))</f>
        <v/>
      </c>
      <c r="J858" s="33">
        <f>IF($R$823="","",INDEX(전체채점!AQ$3:AQ$62,$R$823))</f>
        <v/>
      </c>
      <c r="K858" s="33">
        <f>IF($R$823="","",INDEX(전체채점!AR$3:AR$62,$R$823))</f>
        <v/>
      </c>
      <c r="L858" s="33">
        <f>IF($R$823="","",INDEX(전체채점!AS$3:AS$62,$R$823))</f>
        <v/>
      </c>
      <c r="M858" s="33">
        <f>IF($R$823="","",INDEX(전체채점!AT$3:AT$62,$R$823))</f>
        <v/>
      </c>
      <c r="N858" s="33">
        <f>IF($R$823="","",INDEX(전체채점!AU$3:AU$62,$R$823))</f>
        <v/>
      </c>
      <c r="O858" s="33">
        <f>IF($R$823="","",INDEX(전체채점!AV$3:AV$62,$R$823))</f>
        <v/>
      </c>
      <c r="P858" s="33">
        <f>IF($R$823="","",INDEX(전체채점!AW$3:AW$62,$R$823))</f>
        <v/>
      </c>
    </row>
    <row r="859">
      <c r="A859" s="52" t="inlineStr">
        <is>
          <t>정오</t>
        </is>
      </c>
      <c r="B859" s="33">
        <f>IF($R$823="","",INDEX(전체채점!CB$3:CB$62,$R$823))</f>
        <v/>
      </c>
      <c r="C859" s="33">
        <f>IF($R$823="","",INDEX(전체채점!CC$3:CC$62,$R$823))</f>
        <v/>
      </c>
      <c r="D859" s="33">
        <f>IF($R$823="","",INDEX(전체채점!CD$3:CD$62,$R$823))</f>
        <v/>
      </c>
      <c r="E859" s="33">
        <f>IF($R$823="","",INDEX(전체채점!CE$3:CE$62,$R$823))</f>
        <v/>
      </c>
      <c r="F859" s="33">
        <f>IF($R$823="","",INDEX(전체채점!CF$3:CF$62,$R$823))</f>
        <v/>
      </c>
      <c r="G859" s="33">
        <f>IF($R$823="","",INDEX(전체채점!CG$3:CG$62,$R$823))</f>
        <v/>
      </c>
      <c r="H859" s="33">
        <f>IF($R$823="","",INDEX(전체채점!CH$3:CH$62,$R$823))</f>
        <v/>
      </c>
      <c r="I859" s="33">
        <f>IF($R$823="","",INDEX(전체채점!CI$3:CI$62,$R$823))</f>
        <v/>
      </c>
      <c r="J859" s="33">
        <f>IF($R$823="","",INDEX(전체채점!CJ$3:CJ$62,$R$823))</f>
        <v/>
      </c>
      <c r="K859" s="33">
        <f>IF($R$823="","",INDEX(전체채점!CK$3:CK$62,$R$823))</f>
        <v/>
      </c>
      <c r="L859" s="33">
        <f>IF($R$823="","",INDEX(전체채점!CL$3:CL$62,$R$823))</f>
        <v/>
      </c>
      <c r="M859" s="33">
        <f>IF($R$823="","",INDEX(전체채점!CM$3:CM$62,$R$823))</f>
        <v/>
      </c>
      <c r="N859" s="33">
        <f>IF($R$823="","",INDEX(전체채점!CN$3:CN$62,$R$823))</f>
        <v/>
      </c>
      <c r="O859" s="33">
        <f>IF($R$823="","",INDEX(전체채점!CO$3:CO$62,$R$823))</f>
        <v/>
      </c>
      <c r="P859" s="33">
        <f>IF($R$823="","",INDEX(전체채점!CP$3:CP$62,$R$823))</f>
        <v/>
      </c>
    </row>
    <row r="862" ht="34" customHeight="1">
      <c r="A862" s="36">
        <f>IF($R$864="","",회차설정!$B$2&amp;" 성적표")</f>
        <v/>
      </c>
    </row>
    <row r="864">
      <c r="A864" s="12" t="inlineStr">
        <is>
          <t>1. 학생정보</t>
        </is>
      </c>
      <c r="R864" s="37">
        <f>IF(답안입력!$A$24="","",22)</f>
        <v/>
      </c>
      <c r="S864" s="37">
        <f>IF($R$865="","",IFERROR(IF($R$865="언어와 매체",MATCH(1,회차설정!$G$13:$G$27,0),MATCH(1,회차설정!$F$13:$F$27,0)),""))</f>
        <v/>
      </c>
    </row>
    <row r="865">
      <c r="A865" s="13" t="inlineStr">
        <is>
          <t>성명</t>
        </is>
      </c>
      <c r="B865" s="7" t="n"/>
      <c r="C865" s="8" t="n"/>
      <c r="D865" s="13" t="inlineStr">
        <is>
          <t>선택과목</t>
        </is>
      </c>
      <c r="E865" s="7" t="n"/>
      <c r="F865" s="7" t="n"/>
      <c r="G865" s="8" t="n"/>
      <c r="H865" s="13" t="inlineStr">
        <is>
          <t>학년</t>
        </is>
      </c>
      <c r="I865" s="7" t="n"/>
      <c r="J865" s="7" t="n"/>
      <c r="K865" s="8" t="n"/>
      <c r="L865" s="13" t="inlineStr">
        <is>
          <t>시행일</t>
        </is>
      </c>
      <c r="M865" s="7" t="n"/>
      <c r="N865" s="7" t="n"/>
      <c r="O865" s="7" t="n"/>
      <c r="P865" s="8" t="n"/>
      <c r="R865" s="37">
        <f>IF($R$864="","",INDEX(전체채점!$B$3:$B$62,$R$864))</f>
        <v/>
      </c>
      <c r="S865" s="37">
        <f>IF($R$865="","",IFERROR(IF($R$865="언어와 매체",MATCH(2,회차설정!$G$13:$G$27,0),MATCH(2,회차설정!$F$13:$F$27,0)),""))</f>
        <v/>
      </c>
    </row>
    <row r="866" ht="26" customHeight="1">
      <c r="A866" s="39">
        <f>IF($R$864="","",INDEX(답안입력!$A$3:$A$62,$R$864))</f>
        <v/>
      </c>
      <c r="B866" s="7" t="n"/>
      <c r="C866" s="8" t="n"/>
      <c r="D866" s="39">
        <f>IF($R$864="","",INDEX(답안입력!$C$3:$C$62,$R$864))</f>
        <v/>
      </c>
      <c r="E866" s="7" t="n"/>
      <c r="F866" s="7" t="n"/>
      <c r="G866" s="8" t="n"/>
      <c r="H866" s="39">
        <f>IF($R$864="","",INDEX(답안입력!$B$3:$B$62,$R$864))</f>
        <v/>
      </c>
      <c r="I866" s="7" t="n"/>
      <c r="J866" s="7" t="n"/>
      <c r="K866" s="8" t="n"/>
      <c r="L866" s="40">
        <f>회차설정!$B$3</f>
        <v/>
      </c>
      <c r="M866" s="7" t="n"/>
      <c r="N866" s="7" t="n"/>
      <c r="O866" s="7" t="n"/>
      <c r="P866" s="8" t="n"/>
      <c r="R866" s="37">
        <f>IF($R$865="언어와 매체",회차설정!$B$9,회차설정!$B$8)</f>
        <v/>
      </c>
      <c r="S866" s="37">
        <f>IF($R$865="","",IFERROR(IF($R$865="언어와 매체",MATCH(3,회차설정!$G$13:$G$27,0),MATCH(3,회차설정!$F$13:$F$27,0)),""))</f>
        <v/>
      </c>
    </row>
    <row r="867">
      <c r="R867" s="37">
        <f>IF($R$865="언어와 매체",회차설정!$C$9,회차설정!$C$8)</f>
        <v/>
      </c>
      <c r="S867" s="37">
        <f>IF($R$865="","",IFERROR(IF($R$865="언어와 매체",MATCH(4,회차설정!$G$13:$G$27,0),MATCH(4,회차설정!$F$13:$F$27,0)),""))</f>
        <v/>
      </c>
    </row>
    <row r="868">
      <c r="A868" s="12" t="inlineStr">
        <is>
          <t>2. 성적</t>
        </is>
      </c>
      <c r="R868" s="37">
        <f>IF($R$865="언어와 매체",회차설정!$D$9,회차설정!$D$8)</f>
        <v/>
      </c>
      <c r="S868" s="37">
        <f>IF($R$865="","",IFERROR(IF($R$865="언어와 매체",MATCH(5,회차설정!$G$13:$G$27,0),MATCH(5,회차설정!$F$13:$F$27,0)),""))</f>
        <v/>
      </c>
    </row>
    <row r="869">
      <c r="A869" s="13" t="inlineStr">
        <is>
          <t>점수 (100점 만점)</t>
        </is>
      </c>
      <c r="B869" s="7" t="n"/>
      <c r="C869" s="7" t="n"/>
      <c r="D869" s="7" t="n"/>
      <c r="E869" s="8" t="n"/>
      <c r="F869" s="13" t="inlineStr">
        <is>
          <t>등급</t>
        </is>
      </c>
      <c r="G869" s="7" t="n"/>
      <c r="H869" s="8" t="n"/>
      <c r="I869" s="13" t="inlineStr">
        <is>
          <t>등급컷</t>
        </is>
      </c>
      <c r="J869" s="7" t="n"/>
      <c r="K869" s="7" t="n"/>
      <c r="L869" s="8" t="n"/>
      <c r="M869" s="13" t="inlineStr">
        <is>
          <t>같은 선택과목 평균</t>
        </is>
      </c>
      <c r="N869" s="7" t="n"/>
      <c r="O869" s="7" t="n"/>
      <c r="P869" s="8" t="n"/>
      <c r="R869" s="37">
        <f>IF($R$865="언어와 매체",회차설정!$E$9,회차설정!$E$8)</f>
        <v/>
      </c>
      <c r="S869" s="37">
        <f>IF($R$865="","",IFERROR(IF($R$865="언어와 매체",MATCH(6,회차설정!$G$13:$G$27,0),MATCH(6,회차설정!$F$13:$F$27,0)),""))</f>
        <v/>
      </c>
    </row>
    <row r="870" ht="34" customHeight="1">
      <c r="A870" s="41">
        <f>IF($R$864="","",INDEX(전체채점!$C$3:$C$62,$R$864))</f>
        <v/>
      </c>
      <c r="B870" s="7" t="n"/>
      <c r="C870" s="7" t="n"/>
      <c r="D870" s="7" t="n"/>
      <c r="E870" s="8" t="n"/>
      <c r="F870" s="42">
        <f>IF($R$864="","",INDEX(전체채점!$D$3:$D$62,$R$864))</f>
        <v/>
      </c>
      <c r="G870" s="7" t="n"/>
      <c r="H870" s="8" t="n"/>
      <c r="I870" s="43">
        <f>IF($R$864="","",$R$866&amp;"-"&amp;$R$867&amp;"-"&amp;$R$868&amp;"-"&amp;$R$869)</f>
        <v/>
      </c>
      <c r="J870" s="7" t="n"/>
      <c r="K870" s="7" t="n"/>
      <c r="L870" s="8" t="n"/>
      <c r="M870" s="44">
        <f>IFERROR(AVERAGEIF(전체채점!$B$3:$B$62,$R$865,전체채점!$C$3:$C$62),"")</f>
        <v/>
      </c>
      <c r="N870" s="7" t="n"/>
      <c r="O870" s="7" t="n"/>
      <c r="P870" s="8" t="n"/>
      <c r="S870" s="37">
        <f>IF($R$865="","",IFERROR(IF($R$865="언어와 매체",MATCH(7,회차설정!$G$13:$G$27,0),MATCH(7,회차설정!$F$13:$F$27,0)),""))</f>
        <v/>
      </c>
    </row>
    <row r="871">
      <c r="S871" s="37">
        <f>IF($R$865="","",IFERROR(IF($R$865="언어와 매체",MATCH(8,회차설정!$G$13:$G$27,0),MATCH(8,회차설정!$F$13:$F$27,0)),""))</f>
        <v/>
      </c>
    </row>
    <row r="872">
      <c r="A872" s="12" t="inlineStr">
        <is>
          <t>3. 영역분류별 성취도 분석</t>
        </is>
      </c>
      <c r="F872" s="45">
        <f>IF(OR($R$864="",$E886=""),"",IF($E886=INDEX(전체채점!$C$3:$C$62,$R$864),"","※ 회차설정의 영역 표를 확인하세요 — 영역 합계와 점수가 다릅니다"))</f>
        <v/>
      </c>
      <c r="S872" s="37">
        <f>IF($R$865="","",IFERROR(IF($R$865="언어와 매체",MATCH(9,회차설정!$G$13:$G$27,0),MATCH(9,회차설정!$F$13:$F$27,0)),""))</f>
        <v/>
      </c>
    </row>
    <row r="873">
      <c r="A873" s="13" t="inlineStr">
        <is>
          <t>분류</t>
        </is>
      </c>
      <c r="B873" s="13" t="inlineStr">
        <is>
          <t>영역</t>
        </is>
      </c>
      <c r="C873" s="8" t="n"/>
      <c r="D873" s="13" t="inlineStr">
        <is>
          <t>배점</t>
        </is>
      </c>
      <c r="E873" s="13" t="inlineStr">
        <is>
          <t>득점</t>
        </is>
      </c>
      <c r="F873" s="13" t="inlineStr">
        <is>
          <t>성취도(%)</t>
        </is>
      </c>
      <c r="G873" s="8" t="n"/>
      <c r="H873" s="13" t="inlineStr"/>
      <c r="I873" s="7" t="n"/>
      <c r="J873" s="7" t="n"/>
      <c r="K873" s="7" t="n"/>
      <c r="L873" s="7" t="n"/>
      <c r="M873" s="7" t="n"/>
      <c r="N873" s="7" t="n"/>
      <c r="O873" s="7" t="n"/>
      <c r="P873" s="8" t="n"/>
      <c r="S873" s="37">
        <f>IF($R$865="","",IFERROR(IF($R$865="언어와 매체",MATCH(10,회차설정!$G$13:$G$27,0),MATCH(10,회차설정!$F$13:$F$27,0)),""))</f>
        <v/>
      </c>
    </row>
    <row r="874">
      <c r="A874" s="14">
        <f>IF($S$864="","",INDEX(회차설정!$A$13:$A$27,$S$864))</f>
        <v/>
      </c>
      <c r="B874" s="14">
        <f>IF($S$864="","",INDEX(회차설정!$B$13:$B$27,$S$864))</f>
        <v/>
      </c>
      <c r="C874" s="8" t="n"/>
      <c r="D874" s="14">
        <f>IF($S$864="","",IF($R$865="언어와 매체",SUMPRODUCT((자동계산!$A$4:$A$48&gt;=INDEX(회차설정!$C$13:$C$27,$S$864))*(자동계산!$A$4:$A$48&lt;=INDEX(회차설정!$D$13:$D$27,$S$864))*자동계산!$E$4:$E$48),SUMPRODUCT((자동계산!$A$4:$A$48&gt;=INDEX(회차설정!$C$13:$C$27,$S$864))*(자동계산!$A$4:$A$48&lt;=INDEX(회차설정!$D$13:$D$27,$S$864))*자동계산!$C$4:$C$48)))</f>
        <v/>
      </c>
      <c r="E874" s="14">
        <f>IF(OR($S$864="",$R$864=""),"",SUM(OFFSET(전체채점!$AW$2,$R$864,INDEX(회차설정!$C$13:$C$27,$S$864),1,INDEX(회차설정!$D$13:$D$27,$S$864)-INDEX(회차설정!$C$13:$C$27,$S$864)+1)))</f>
        <v/>
      </c>
      <c r="F874" s="46">
        <f>IF(OR($S$864="",$D874=0,$D874="",$E874=""),"",$E874/$D874*100)</f>
        <v/>
      </c>
      <c r="G874" s="8" t="n"/>
      <c r="H874" s="47">
        <f>IF($F874="","",REPT("■",ROUND($F874/5,0)))</f>
        <v/>
      </c>
      <c r="I874" s="7" t="n"/>
      <c r="J874" s="7" t="n"/>
      <c r="K874" s="7" t="n"/>
      <c r="L874" s="7" t="n"/>
      <c r="M874" s="7" t="n"/>
      <c r="N874" s="7" t="n"/>
      <c r="O874" s="7" t="n"/>
      <c r="P874" s="8" t="n"/>
      <c r="S874" s="37">
        <f>IF($R$865="","",IFERROR(IF($R$865="언어와 매체",MATCH(11,회차설정!$G$13:$G$27,0),MATCH(11,회차설정!$F$13:$F$27,0)),""))</f>
        <v/>
      </c>
    </row>
    <row r="875">
      <c r="A875" s="14">
        <f>IF($S$865="","",INDEX(회차설정!$A$13:$A$27,$S$865))</f>
        <v/>
      </c>
      <c r="B875" s="14">
        <f>IF($S$865="","",INDEX(회차설정!$B$13:$B$27,$S$865))</f>
        <v/>
      </c>
      <c r="C875" s="8" t="n"/>
      <c r="D875" s="14">
        <f>IF($S$865="","",IF($R$865="언어와 매체",SUMPRODUCT((자동계산!$A$4:$A$48&gt;=INDEX(회차설정!$C$13:$C$27,$S$865))*(자동계산!$A$4:$A$48&lt;=INDEX(회차설정!$D$13:$D$27,$S$865))*자동계산!$E$4:$E$48),SUMPRODUCT((자동계산!$A$4:$A$48&gt;=INDEX(회차설정!$C$13:$C$27,$S$865))*(자동계산!$A$4:$A$48&lt;=INDEX(회차설정!$D$13:$D$27,$S$865))*자동계산!$C$4:$C$48)))</f>
        <v/>
      </c>
      <c r="E875" s="14">
        <f>IF(OR($S$865="",$R$864=""),"",SUM(OFFSET(전체채점!$AW$2,$R$864,INDEX(회차설정!$C$13:$C$27,$S$865),1,INDEX(회차설정!$D$13:$D$27,$S$865)-INDEX(회차설정!$C$13:$C$27,$S$865)+1)))</f>
        <v/>
      </c>
      <c r="F875" s="46">
        <f>IF(OR($S$865="",$D875=0,$D875="",$E875=""),"",$E875/$D875*100)</f>
        <v/>
      </c>
      <c r="G875" s="8" t="n"/>
      <c r="H875" s="47">
        <f>IF($F875="","",REPT("■",ROUND($F875/5,0)))</f>
        <v/>
      </c>
      <c r="I875" s="7" t="n"/>
      <c r="J875" s="7" t="n"/>
      <c r="K875" s="7" t="n"/>
      <c r="L875" s="7" t="n"/>
      <c r="M875" s="7" t="n"/>
      <c r="N875" s="7" t="n"/>
      <c r="O875" s="7" t="n"/>
      <c r="P875" s="8" t="n"/>
      <c r="S875" s="37">
        <f>IF($R$865="","",IFERROR(IF($R$865="언어와 매체",MATCH(12,회차설정!$G$13:$G$27,0),MATCH(12,회차설정!$F$13:$F$27,0)),""))</f>
        <v/>
      </c>
    </row>
    <row r="876">
      <c r="A876" s="14">
        <f>IF($S$866="","",INDEX(회차설정!$A$13:$A$27,$S$866))</f>
        <v/>
      </c>
      <c r="B876" s="14">
        <f>IF($S$866="","",INDEX(회차설정!$B$13:$B$27,$S$866))</f>
        <v/>
      </c>
      <c r="C876" s="8" t="n"/>
      <c r="D876" s="14">
        <f>IF($S$866="","",IF($R$865="언어와 매체",SUMPRODUCT((자동계산!$A$4:$A$48&gt;=INDEX(회차설정!$C$13:$C$27,$S$866))*(자동계산!$A$4:$A$48&lt;=INDEX(회차설정!$D$13:$D$27,$S$866))*자동계산!$E$4:$E$48),SUMPRODUCT((자동계산!$A$4:$A$48&gt;=INDEX(회차설정!$C$13:$C$27,$S$866))*(자동계산!$A$4:$A$48&lt;=INDEX(회차설정!$D$13:$D$27,$S$866))*자동계산!$C$4:$C$48)))</f>
        <v/>
      </c>
      <c r="E876" s="14">
        <f>IF(OR($S$866="",$R$864=""),"",SUM(OFFSET(전체채점!$AW$2,$R$864,INDEX(회차설정!$C$13:$C$27,$S$866),1,INDEX(회차설정!$D$13:$D$27,$S$866)-INDEX(회차설정!$C$13:$C$27,$S$866)+1)))</f>
        <v/>
      </c>
      <c r="F876" s="46">
        <f>IF(OR($S$866="",$D876=0,$D876="",$E876=""),"",$E876/$D876*100)</f>
        <v/>
      </c>
      <c r="G876" s="8" t="n"/>
      <c r="H876" s="47">
        <f>IF($F876="","",REPT("■",ROUND($F876/5,0)))</f>
        <v/>
      </c>
      <c r="I876" s="7" t="n"/>
      <c r="J876" s="7" t="n"/>
      <c r="K876" s="7" t="n"/>
      <c r="L876" s="7" t="n"/>
      <c r="M876" s="7" t="n"/>
      <c r="N876" s="7" t="n"/>
      <c r="O876" s="7" t="n"/>
      <c r="P876" s="8" t="n"/>
    </row>
    <row r="877">
      <c r="A877" s="14">
        <f>IF($S$867="","",INDEX(회차설정!$A$13:$A$27,$S$867))</f>
        <v/>
      </c>
      <c r="B877" s="14">
        <f>IF($S$867="","",INDEX(회차설정!$B$13:$B$27,$S$867))</f>
        <v/>
      </c>
      <c r="C877" s="8" t="n"/>
      <c r="D877" s="14">
        <f>IF($S$867="","",IF($R$865="언어와 매체",SUMPRODUCT((자동계산!$A$4:$A$48&gt;=INDEX(회차설정!$C$13:$C$27,$S$867))*(자동계산!$A$4:$A$48&lt;=INDEX(회차설정!$D$13:$D$27,$S$867))*자동계산!$E$4:$E$48),SUMPRODUCT((자동계산!$A$4:$A$48&gt;=INDEX(회차설정!$C$13:$C$27,$S$867))*(자동계산!$A$4:$A$48&lt;=INDEX(회차설정!$D$13:$D$27,$S$867))*자동계산!$C$4:$C$48)))</f>
        <v/>
      </c>
      <c r="E877" s="14">
        <f>IF(OR($S$867="",$R$864=""),"",SUM(OFFSET(전체채점!$AW$2,$R$864,INDEX(회차설정!$C$13:$C$27,$S$867),1,INDEX(회차설정!$D$13:$D$27,$S$867)-INDEX(회차설정!$C$13:$C$27,$S$867)+1)))</f>
        <v/>
      </c>
      <c r="F877" s="46">
        <f>IF(OR($S$867="",$D877=0,$D877="",$E877=""),"",$E877/$D877*100)</f>
        <v/>
      </c>
      <c r="G877" s="8" t="n"/>
      <c r="H877" s="47">
        <f>IF($F877="","",REPT("■",ROUND($F877/5,0)))</f>
        <v/>
      </c>
      <c r="I877" s="7" t="n"/>
      <c r="J877" s="7" t="n"/>
      <c r="K877" s="7" t="n"/>
      <c r="L877" s="7" t="n"/>
      <c r="M877" s="7" t="n"/>
      <c r="N877" s="7" t="n"/>
      <c r="O877" s="7" t="n"/>
      <c r="P877" s="8" t="n"/>
    </row>
    <row r="878">
      <c r="A878" s="14">
        <f>IF($S$868="","",INDEX(회차설정!$A$13:$A$27,$S$868))</f>
        <v/>
      </c>
      <c r="B878" s="14">
        <f>IF($S$868="","",INDEX(회차설정!$B$13:$B$27,$S$868))</f>
        <v/>
      </c>
      <c r="C878" s="8" t="n"/>
      <c r="D878" s="14">
        <f>IF($S$868="","",IF($R$865="언어와 매체",SUMPRODUCT((자동계산!$A$4:$A$48&gt;=INDEX(회차설정!$C$13:$C$27,$S$868))*(자동계산!$A$4:$A$48&lt;=INDEX(회차설정!$D$13:$D$27,$S$868))*자동계산!$E$4:$E$48),SUMPRODUCT((자동계산!$A$4:$A$48&gt;=INDEX(회차설정!$C$13:$C$27,$S$868))*(자동계산!$A$4:$A$48&lt;=INDEX(회차설정!$D$13:$D$27,$S$868))*자동계산!$C$4:$C$48)))</f>
        <v/>
      </c>
      <c r="E878" s="14">
        <f>IF(OR($S$868="",$R$864=""),"",SUM(OFFSET(전체채점!$AW$2,$R$864,INDEX(회차설정!$C$13:$C$27,$S$868),1,INDEX(회차설정!$D$13:$D$27,$S$868)-INDEX(회차설정!$C$13:$C$27,$S$868)+1)))</f>
        <v/>
      </c>
      <c r="F878" s="46">
        <f>IF(OR($S$868="",$D878=0,$D878="",$E878=""),"",$E878/$D878*100)</f>
        <v/>
      </c>
      <c r="G878" s="8" t="n"/>
      <c r="H878" s="47">
        <f>IF($F878="","",REPT("■",ROUND($F878/5,0)))</f>
        <v/>
      </c>
      <c r="I878" s="7" t="n"/>
      <c r="J878" s="7" t="n"/>
      <c r="K878" s="7" t="n"/>
      <c r="L878" s="7" t="n"/>
      <c r="M878" s="7" t="n"/>
      <c r="N878" s="7" t="n"/>
      <c r="O878" s="7" t="n"/>
      <c r="P878" s="8" t="n"/>
    </row>
    <row r="879">
      <c r="A879" s="14">
        <f>IF($S$869="","",INDEX(회차설정!$A$13:$A$27,$S$869))</f>
        <v/>
      </c>
      <c r="B879" s="14">
        <f>IF($S$869="","",INDEX(회차설정!$B$13:$B$27,$S$869))</f>
        <v/>
      </c>
      <c r="C879" s="8" t="n"/>
      <c r="D879" s="14">
        <f>IF($S$869="","",IF($R$865="언어와 매체",SUMPRODUCT((자동계산!$A$4:$A$48&gt;=INDEX(회차설정!$C$13:$C$27,$S$869))*(자동계산!$A$4:$A$48&lt;=INDEX(회차설정!$D$13:$D$27,$S$869))*자동계산!$E$4:$E$48),SUMPRODUCT((자동계산!$A$4:$A$48&gt;=INDEX(회차설정!$C$13:$C$27,$S$869))*(자동계산!$A$4:$A$48&lt;=INDEX(회차설정!$D$13:$D$27,$S$869))*자동계산!$C$4:$C$48)))</f>
        <v/>
      </c>
      <c r="E879" s="14">
        <f>IF(OR($S$869="",$R$864=""),"",SUM(OFFSET(전체채점!$AW$2,$R$864,INDEX(회차설정!$C$13:$C$27,$S$869),1,INDEX(회차설정!$D$13:$D$27,$S$869)-INDEX(회차설정!$C$13:$C$27,$S$869)+1)))</f>
        <v/>
      </c>
      <c r="F879" s="46">
        <f>IF(OR($S$869="",$D879=0,$D879="",$E879=""),"",$E879/$D879*100)</f>
        <v/>
      </c>
      <c r="G879" s="8" t="n"/>
      <c r="H879" s="47">
        <f>IF($F879="","",REPT("■",ROUND($F879/5,0)))</f>
        <v/>
      </c>
      <c r="I879" s="7" t="n"/>
      <c r="J879" s="7" t="n"/>
      <c r="K879" s="7" t="n"/>
      <c r="L879" s="7" t="n"/>
      <c r="M879" s="7" t="n"/>
      <c r="N879" s="7" t="n"/>
      <c r="O879" s="7" t="n"/>
      <c r="P879" s="8" t="n"/>
    </row>
    <row r="880">
      <c r="A880" s="14">
        <f>IF($S$870="","",INDEX(회차설정!$A$13:$A$27,$S$870))</f>
        <v/>
      </c>
      <c r="B880" s="14">
        <f>IF($S$870="","",INDEX(회차설정!$B$13:$B$27,$S$870))</f>
        <v/>
      </c>
      <c r="C880" s="8" t="n"/>
      <c r="D880" s="14">
        <f>IF($S$870="","",IF($R$865="언어와 매체",SUMPRODUCT((자동계산!$A$4:$A$48&gt;=INDEX(회차설정!$C$13:$C$27,$S$870))*(자동계산!$A$4:$A$48&lt;=INDEX(회차설정!$D$13:$D$27,$S$870))*자동계산!$E$4:$E$48),SUMPRODUCT((자동계산!$A$4:$A$48&gt;=INDEX(회차설정!$C$13:$C$27,$S$870))*(자동계산!$A$4:$A$48&lt;=INDEX(회차설정!$D$13:$D$27,$S$870))*자동계산!$C$4:$C$48)))</f>
        <v/>
      </c>
      <c r="E880" s="14">
        <f>IF(OR($S$870="",$R$864=""),"",SUM(OFFSET(전체채점!$AW$2,$R$864,INDEX(회차설정!$C$13:$C$27,$S$870),1,INDEX(회차설정!$D$13:$D$27,$S$870)-INDEX(회차설정!$C$13:$C$27,$S$870)+1)))</f>
        <v/>
      </c>
      <c r="F880" s="46">
        <f>IF(OR($S$870="",$D880=0,$D880="",$E880=""),"",$E880/$D880*100)</f>
        <v/>
      </c>
      <c r="G880" s="8" t="n"/>
      <c r="H880" s="47">
        <f>IF($F880="","",REPT("■",ROUND($F880/5,0)))</f>
        <v/>
      </c>
      <c r="I880" s="7" t="n"/>
      <c r="J880" s="7" t="n"/>
      <c r="K880" s="7" t="n"/>
      <c r="L880" s="7" t="n"/>
      <c r="M880" s="7" t="n"/>
      <c r="N880" s="7" t="n"/>
      <c r="O880" s="7" t="n"/>
      <c r="P880" s="8" t="n"/>
    </row>
    <row r="881">
      <c r="A881" s="14">
        <f>IF($S$871="","",INDEX(회차설정!$A$13:$A$27,$S$871))</f>
        <v/>
      </c>
      <c r="B881" s="14">
        <f>IF($S$871="","",INDEX(회차설정!$B$13:$B$27,$S$871))</f>
        <v/>
      </c>
      <c r="C881" s="8" t="n"/>
      <c r="D881" s="14">
        <f>IF($S$871="","",IF($R$865="언어와 매체",SUMPRODUCT((자동계산!$A$4:$A$48&gt;=INDEX(회차설정!$C$13:$C$27,$S$871))*(자동계산!$A$4:$A$48&lt;=INDEX(회차설정!$D$13:$D$27,$S$871))*자동계산!$E$4:$E$48),SUMPRODUCT((자동계산!$A$4:$A$48&gt;=INDEX(회차설정!$C$13:$C$27,$S$871))*(자동계산!$A$4:$A$48&lt;=INDEX(회차설정!$D$13:$D$27,$S$871))*자동계산!$C$4:$C$48)))</f>
        <v/>
      </c>
      <c r="E881" s="14">
        <f>IF(OR($S$871="",$R$864=""),"",SUM(OFFSET(전체채점!$AW$2,$R$864,INDEX(회차설정!$C$13:$C$27,$S$871),1,INDEX(회차설정!$D$13:$D$27,$S$871)-INDEX(회차설정!$C$13:$C$27,$S$871)+1)))</f>
        <v/>
      </c>
      <c r="F881" s="46">
        <f>IF(OR($S$871="",$D881=0,$D881="",$E881=""),"",$E881/$D881*100)</f>
        <v/>
      </c>
      <c r="G881" s="8" t="n"/>
      <c r="H881" s="47">
        <f>IF($F881="","",REPT("■",ROUND($F881/5,0)))</f>
        <v/>
      </c>
      <c r="I881" s="7" t="n"/>
      <c r="J881" s="7" t="n"/>
      <c r="K881" s="7" t="n"/>
      <c r="L881" s="7" t="n"/>
      <c r="M881" s="7" t="n"/>
      <c r="N881" s="7" t="n"/>
      <c r="O881" s="7" t="n"/>
      <c r="P881" s="8" t="n"/>
    </row>
    <row r="882">
      <c r="A882" s="14">
        <f>IF($S$872="","",INDEX(회차설정!$A$13:$A$27,$S$872))</f>
        <v/>
      </c>
      <c r="B882" s="14">
        <f>IF($S$872="","",INDEX(회차설정!$B$13:$B$27,$S$872))</f>
        <v/>
      </c>
      <c r="C882" s="8" t="n"/>
      <c r="D882" s="14">
        <f>IF($S$872="","",IF($R$865="언어와 매체",SUMPRODUCT((자동계산!$A$4:$A$48&gt;=INDEX(회차설정!$C$13:$C$27,$S$872))*(자동계산!$A$4:$A$48&lt;=INDEX(회차설정!$D$13:$D$27,$S$872))*자동계산!$E$4:$E$48),SUMPRODUCT((자동계산!$A$4:$A$48&gt;=INDEX(회차설정!$C$13:$C$27,$S$872))*(자동계산!$A$4:$A$48&lt;=INDEX(회차설정!$D$13:$D$27,$S$872))*자동계산!$C$4:$C$48)))</f>
        <v/>
      </c>
      <c r="E882" s="14">
        <f>IF(OR($S$872="",$R$864=""),"",SUM(OFFSET(전체채점!$AW$2,$R$864,INDEX(회차설정!$C$13:$C$27,$S$872),1,INDEX(회차설정!$D$13:$D$27,$S$872)-INDEX(회차설정!$C$13:$C$27,$S$872)+1)))</f>
        <v/>
      </c>
      <c r="F882" s="46">
        <f>IF(OR($S$872="",$D882=0,$D882="",$E882=""),"",$E882/$D882*100)</f>
        <v/>
      </c>
      <c r="G882" s="8" t="n"/>
      <c r="H882" s="47">
        <f>IF($F882="","",REPT("■",ROUND($F882/5,0)))</f>
        <v/>
      </c>
      <c r="I882" s="7" t="n"/>
      <c r="J882" s="7" t="n"/>
      <c r="K882" s="7" t="n"/>
      <c r="L882" s="7" t="n"/>
      <c r="M882" s="7" t="n"/>
      <c r="N882" s="7" t="n"/>
      <c r="O882" s="7" t="n"/>
      <c r="P882" s="8" t="n"/>
    </row>
    <row r="883">
      <c r="A883" s="14">
        <f>IF($S$873="","",INDEX(회차설정!$A$13:$A$27,$S$873))</f>
        <v/>
      </c>
      <c r="B883" s="14">
        <f>IF($S$873="","",INDEX(회차설정!$B$13:$B$27,$S$873))</f>
        <v/>
      </c>
      <c r="C883" s="8" t="n"/>
      <c r="D883" s="14">
        <f>IF($S$873="","",IF($R$865="언어와 매체",SUMPRODUCT((자동계산!$A$4:$A$48&gt;=INDEX(회차설정!$C$13:$C$27,$S$873))*(자동계산!$A$4:$A$48&lt;=INDEX(회차설정!$D$13:$D$27,$S$873))*자동계산!$E$4:$E$48),SUMPRODUCT((자동계산!$A$4:$A$48&gt;=INDEX(회차설정!$C$13:$C$27,$S$873))*(자동계산!$A$4:$A$48&lt;=INDEX(회차설정!$D$13:$D$27,$S$873))*자동계산!$C$4:$C$48)))</f>
        <v/>
      </c>
      <c r="E883" s="14">
        <f>IF(OR($S$873="",$R$864=""),"",SUM(OFFSET(전체채점!$AW$2,$R$864,INDEX(회차설정!$C$13:$C$27,$S$873),1,INDEX(회차설정!$D$13:$D$27,$S$873)-INDEX(회차설정!$C$13:$C$27,$S$873)+1)))</f>
        <v/>
      </c>
      <c r="F883" s="46">
        <f>IF(OR($S$873="",$D883=0,$D883="",$E883=""),"",$E883/$D883*100)</f>
        <v/>
      </c>
      <c r="G883" s="8" t="n"/>
      <c r="H883" s="47">
        <f>IF($F883="","",REPT("■",ROUND($F883/5,0)))</f>
        <v/>
      </c>
      <c r="I883" s="7" t="n"/>
      <c r="J883" s="7" t="n"/>
      <c r="K883" s="7" t="n"/>
      <c r="L883" s="7" t="n"/>
      <c r="M883" s="7" t="n"/>
      <c r="N883" s="7" t="n"/>
      <c r="O883" s="7" t="n"/>
      <c r="P883" s="8" t="n"/>
    </row>
    <row r="884">
      <c r="A884" s="14">
        <f>IF($S$874="","",INDEX(회차설정!$A$13:$A$27,$S$874))</f>
        <v/>
      </c>
      <c r="B884" s="14">
        <f>IF($S$874="","",INDEX(회차설정!$B$13:$B$27,$S$874))</f>
        <v/>
      </c>
      <c r="C884" s="8" t="n"/>
      <c r="D884" s="14">
        <f>IF($S$874="","",IF($R$865="언어와 매체",SUMPRODUCT((자동계산!$A$4:$A$48&gt;=INDEX(회차설정!$C$13:$C$27,$S$874))*(자동계산!$A$4:$A$48&lt;=INDEX(회차설정!$D$13:$D$27,$S$874))*자동계산!$E$4:$E$48),SUMPRODUCT((자동계산!$A$4:$A$48&gt;=INDEX(회차설정!$C$13:$C$27,$S$874))*(자동계산!$A$4:$A$48&lt;=INDEX(회차설정!$D$13:$D$27,$S$874))*자동계산!$C$4:$C$48)))</f>
        <v/>
      </c>
      <c r="E884" s="14">
        <f>IF(OR($S$874="",$R$864=""),"",SUM(OFFSET(전체채점!$AW$2,$R$864,INDEX(회차설정!$C$13:$C$27,$S$874),1,INDEX(회차설정!$D$13:$D$27,$S$874)-INDEX(회차설정!$C$13:$C$27,$S$874)+1)))</f>
        <v/>
      </c>
      <c r="F884" s="46">
        <f>IF(OR($S$874="",$D884=0,$D884="",$E884=""),"",$E884/$D884*100)</f>
        <v/>
      </c>
      <c r="G884" s="8" t="n"/>
      <c r="H884" s="47">
        <f>IF($F884="","",REPT("■",ROUND($F884/5,0)))</f>
        <v/>
      </c>
      <c r="I884" s="7" t="n"/>
      <c r="J884" s="7" t="n"/>
      <c r="K884" s="7" t="n"/>
      <c r="L884" s="7" t="n"/>
      <c r="M884" s="7" t="n"/>
      <c r="N884" s="7" t="n"/>
      <c r="O884" s="7" t="n"/>
      <c r="P884" s="8" t="n"/>
    </row>
    <row r="885">
      <c r="A885" s="14">
        <f>IF($S$875="","",INDEX(회차설정!$A$13:$A$27,$S$875))</f>
        <v/>
      </c>
      <c r="B885" s="14">
        <f>IF($S$875="","",INDEX(회차설정!$B$13:$B$27,$S$875))</f>
        <v/>
      </c>
      <c r="C885" s="8" t="n"/>
      <c r="D885" s="14">
        <f>IF($S$875="","",IF($R$865="언어와 매체",SUMPRODUCT((자동계산!$A$4:$A$48&gt;=INDEX(회차설정!$C$13:$C$27,$S$875))*(자동계산!$A$4:$A$48&lt;=INDEX(회차설정!$D$13:$D$27,$S$875))*자동계산!$E$4:$E$48),SUMPRODUCT((자동계산!$A$4:$A$48&gt;=INDEX(회차설정!$C$13:$C$27,$S$875))*(자동계산!$A$4:$A$48&lt;=INDEX(회차설정!$D$13:$D$27,$S$875))*자동계산!$C$4:$C$48)))</f>
        <v/>
      </c>
      <c r="E885" s="14">
        <f>IF(OR($S$875="",$R$864=""),"",SUM(OFFSET(전체채점!$AW$2,$R$864,INDEX(회차설정!$C$13:$C$27,$S$875),1,INDEX(회차설정!$D$13:$D$27,$S$875)-INDEX(회차설정!$C$13:$C$27,$S$875)+1)))</f>
        <v/>
      </c>
      <c r="F885" s="46">
        <f>IF(OR($S$875="",$D885=0,$D885="",$E885=""),"",$E885/$D885*100)</f>
        <v/>
      </c>
      <c r="G885" s="8" t="n"/>
      <c r="H885" s="47">
        <f>IF($F885="","",REPT("■",ROUND($F885/5,0)))</f>
        <v/>
      </c>
      <c r="I885" s="7" t="n"/>
      <c r="J885" s="7" t="n"/>
      <c r="K885" s="7" t="n"/>
      <c r="L885" s="7" t="n"/>
      <c r="M885" s="7" t="n"/>
      <c r="N885" s="7" t="n"/>
      <c r="O885" s="7" t="n"/>
      <c r="P885" s="8" t="n"/>
    </row>
    <row r="886">
      <c r="A886" s="5">
        <f>IF($R$864="","","합계")</f>
        <v/>
      </c>
      <c r="B886" s="7" t="n"/>
      <c r="C886" s="8" t="n"/>
      <c r="D886" s="5">
        <f>IF($R$864="","",SUM(D874:D885))</f>
        <v/>
      </c>
      <c r="E886" s="5">
        <f>IF($R$864="","",SUM(E874:E885))</f>
        <v/>
      </c>
      <c r="F886" s="48">
        <f>IF(OR($D886=0,$D886=""),"",$E886/$D886*100)</f>
        <v/>
      </c>
      <c r="G886" s="8" t="n"/>
      <c r="H886" s="49">
        <f>IF($F886="","",REPT("■",ROUND($F886/5,0)))</f>
        <v/>
      </c>
      <c r="I886" s="7" t="n"/>
      <c r="J886" s="7" t="n"/>
      <c r="K886" s="7" t="n"/>
      <c r="L886" s="7" t="n"/>
      <c r="M886" s="7" t="n"/>
      <c r="N886" s="7" t="n"/>
      <c r="O886" s="7" t="n"/>
      <c r="P886" s="8" t="n"/>
    </row>
    <row r="888">
      <c r="A888" s="12" t="inlineStr">
        <is>
          <t>4. 문항 채점표</t>
        </is>
      </c>
    </row>
    <row r="889">
      <c r="A889" s="50" t="inlineStr">
        <is>
          <t>문항 번호</t>
        </is>
      </c>
      <c r="B889" s="51" t="n">
        <v>1</v>
      </c>
      <c r="C889" s="51" t="n">
        <v>2</v>
      </c>
      <c r="D889" s="51" t="n">
        <v>3</v>
      </c>
      <c r="E889" s="51" t="n">
        <v>4</v>
      </c>
      <c r="F889" s="51" t="n">
        <v>5</v>
      </c>
      <c r="G889" s="51" t="n">
        <v>6</v>
      </c>
      <c r="H889" s="51" t="n">
        <v>7</v>
      </c>
      <c r="I889" s="51" t="n">
        <v>8</v>
      </c>
      <c r="J889" s="51" t="n">
        <v>9</v>
      </c>
      <c r="K889" s="51" t="n">
        <v>10</v>
      </c>
      <c r="L889" s="51" t="n">
        <v>11</v>
      </c>
      <c r="M889" s="51" t="n">
        <v>12</v>
      </c>
      <c r="N889" s="51" t="n">
        <v>13</v>
      </c>
      <c r="O889" s="51" t="n">
        <v>14</v>
      </c>
      <c r="P889" s="51" t="n">
        <v>15</v>
      </c>
    </row>
    <row r="890">
      <c r="A890" s="52" t="inlineStr">
        <is>
          <t>정답</t>
        </is>
      </c>
      <c r="B890" s="33">
        <f>IF($R$865="","",IF($R$865="언어와 매체",자동계산!$D$4,자동계산!$B$4))</f>
        <v/>
      </c>
      <c r="C890" s="33">
        <f>IF($R$865="","",IF($R$865="언어와 매체",자동계산!$D$5,자동계산!$B$5))</f>
        <v/>
      </c>
      <c r="D890" s="33">
        <f>IF($R$865="","",IF($R$865="언어와 매체",자동계산!$D$6,자동계산!$B$6))</f>
        <v/>
      </c>
      <c r="E890" s="33">
        <f>IF($R$865="","",IF($R$865="언어와 매체",자동계산!$D$7,자동계산!$B$7))</f>
        <v/>
      </c>
      <c r="F890" s="33">
        <f>IF($R$865="","",IF($R$865="언어와 매체",자동계산!$D$8,자동계산!$B$8))</f>
        <v/>
      </c>
      <c r="G890" s="33">
        <f>IF($R$865="","",IF($R$865="언어와 매체",자동계산!$D$9,자동계산!$B$9))</f>
        <v/>
      </c>
      <c r="H890" s="33">
        <f>IF($R$865="","",IF($R$865="언어와 매체",자동계산!$D$10,자동계산!$B$10))</f>
        <v/>
      </c>
      <c r="I890" s="33">
        <f>IF($R$865="","",IF($R$865="언어와 매체",자동계산!$D$11,자동계산!$B$11))</f>
        <v/>
      </c>
      <c r="J890" s="33">
        <f>IF($R$865="","",IF($R$865="언어와 매체",자동계산!$D$12,자동계산!$B$12))</f>
        <v/>
      </c>
      <c r="K890" s="33">
        <f>IF($R$865="","",IF($R$865="언어와 매체",자동계산!$D$13,자동계산!$B$13))</f>
        <v/>
      </c>
      <c r="L890" s="33">
        <f>IF($R$865="","",IF($R$865="언어와 매체",자동계산!$D$14,자동계산!$B$14))</f>
        <v/>
      </c>
      <c r="M890" s="33">
        <f>IF($R$865="","",IF($R$865="언어와 매체",자동계산!$D$15,자동계산!$B$15))</f>
        <v/>
      </c>
      <c r="N890" s="33">
        <f>IF($R$865="","",IF($R$865="언어와 매체",자동계산!$D$16,자동계산!$B$16))</f>
        <v/>
      </c>
      <c r="O890" s="33">
        <f>IF($R$865="","",IF($R$865="언어와 매체",자동계산!$D$17,자동계산!$B$17))</f>
        <v/>
      </c>
      <c r="P890" s="33">
        <f>IF($R$865="","",IF($R$865="언어와 매체",자동계산!$D$18,자동계산!$B$18))</f>
        <v/>
      </c>
    </row>
    <row r="891">
      <c r="A891" s="52" t="inlineStr">
        <is>
          <t>학생답안</t>
        </is>
      </c>
      <c r="B891" s="33">
        <f>IF($R$864="","",INDEX(전체채점!E$3:E$62,$R$864))</f>
        <v/>
      </c>
      <c r="C891" s="33">
        <f>IF($R$864="","",INDEX(전체채점!F$3:F$62,$R$864))</f>
        <v/>
      </c>
      <c r="D891" s="33">
        <f>IF($R$864="","",INDEX(전체채점!G$3:G$62,$R$864))</f>
        <v/>
      </c>
      <c r="E891" s="33">
        <f>IF($R$864="","",INDEX(전체채점!H$3:H$62,$R$864))</f>
        <v/>
      </c>
      <c r="F891" s="33">
        <f>IF($R$864="","",INDEX(전체채점!I$3:I$62,$R$864))</f>
        <v/>
      </c>
      <c r="G891" s="33">
        <f>IF($R$864="","",INDEX(전체채점!J$3:J$62,$R$864))</f>
        <v/>
      </c>
      <c r="H891" s="33">
        <f>IF($R$864="","",INDEX(전체채점!K$3:K$62,$R$864))</f>
        <v/>
      </c>
      <c r="I891" s="33">
        <f>IF($R$864="","",INDEX(전체채점!L$3:L$62,$R$864))</f>
        <v/>
      </c>
      <c r="J891" s="33">
        <f>IF($R$864="","",INDEX(전체채점!M$3:M$62,$R$864))</f>
        <v/>
      </c>
      <c r="K891" s="33">
        <f>IF($R$864="","",INDEX(전체채점!N$3:N$62,$R$864))</f>
        <v/>
      </c>
      <c r="L891" s="33">
        <f>IF($R$864="","",INDEX(전체채점!O$3:O$62,$R$864))</f>
        <v/>
      </c>
      <c r="M891" s="33">
        <f>IF($R$864="","",INDEX(전체채점!P$3:P$62,$R$864))</f>
        <v/>
      </c>
      <c r="N891" s="33">
        <f>IF($R$864="","",INDEX(전체채점!Q$3:Q$62,$R$864))</f>
        <v/>
      </c>
      <c r="O891" s="33">
        <f>IF($R$864="","",INDEX(전체채점!R$3:R$62,$R$864))</f>
        <v/>
      </c>
      <c r="P891" s="33">
        <f>IF($R$864="","",INDEX(전체채점!S$3:S$62,$R$864))</f>
        <v/>
      </c>
    </row>
    <row r="892">
      <c r="A892" s="52" t="inlineStr">
        <is>
          <t>정오</t>
        </is>
      </c>
      <c r="B892" s="33">
        <f>IF($R$864="","",INDEX(전체채점!AX$3:AX$62,$R$864))</f>
        <v/>
      </c>
      <c r="C892" s="33">
        <f>IF($R$864="","",INDEX(전체채점!AY$3:AY$62,$R$864))</f>
        <v/>
      </c>
      <c r="D892" s="33">
        <f>IF($R$864="","",INDEX(전체채점!AZ$3:AZ$62,$R$864))</f>
        <v/>
      </c>
      <c r="E892" s="33">
        <f>IF($R$864="","",INDEX(전체채점!BA$3:BA$62,$R$864))</f>
        <v/>
      </c>
      <c r="F892" s="33">
        <f>IF($R$864="","",INDEX(전체채점!BB$3:BB$62,$R$864))</f>
        <v/>
      </c>
      <c r="G892" s="33">
        <f>IF($R$864="","",INDEX(전체채점!BC$3:BC$62,$R$864))</f>
        <v/>
      </c>
      <c r="H892" s="33">
        <f>IF($R$864="","",INDEX(전체채점!BD$3:BD$62,$R$864))</f>
        <v/>
      </c>
      <c r="I892" s="33">
        <f>IF($R$864="","",INDEX(전체채점!BE$3:BE$62,$R$864))</f>
        <v/>
      </c>
      <c r="J892" s="33">
        <f>IF($R$864="","",INDEX(전체채점!BF$3:BF$62,$R$864))</f>
        <v/>
      </c>
      <c r="K892" s="33">
        <f>IF($R$864="","",INDEX(전체채점!BG$3:BG$62,$R$864))</f>
        <v/>
      </c>
      <c r="L892" s="33">
        <f>IF($R$864="","",INDEX(전체채점!BH$3:BH$62,$R$864))</f>
        <v/>
      </c>
      <c r="M892" s="33">
        <f>IF($R$864="","",INDEX(전체채점!BI$3:BI$62,$R$864))</f>
        <v/>
      </c>
      <c r="N892" s="33">
        <f>IF($R$864="","",INDEX(전체채점!BJ$3:BJ$62,$R$864))</f>
        <v/>
      </c>
      <c r="O892" s="33">
        <f>IF($R$864="","",INDEX(전체채점!BK$3:BK$62,$R$864))</f>
        <v/>
      </c>
      <c r="P892" s="33">
        <f>IF($R$864="","",INDEX(전체채점!BL$3:BL$62,$R$864))</f>
        <v/>
      </c>
    </row>
    <row r="893">
      <c r="A893" s="50" t="inlineStr">
        <is>
          <t>문항 번호</t>
        </is>
      </c>
      <c r="B893" s="51" t="n">
        <v>16</v>
      </c>
      <c r="C893" s="51" t="n">
        <v>17</v>
      </c>
      <c r="D893" s="51" t="n">
        <v>18</v>
      </c>
      <c r="E893" s="51" t="n">
        <v>19</v>
      </c>
      <c r="F893" s="51" t="n">
        <v>20</v>
      </c>
      <c r="G893" s="51" t="n">
        <v>21</v>
      </c>
      <c r="H893" s="51" t="n">
        <v>22</v>
      </c>
      <c r="I893" s="51" t="n">
        <v>23</v>
      </c>
      <c r="J893" s="51" t="n">
        <v>24</v>
      </c>
      <c r="K893" s="51" t="n">
        <v>25</v>
      </c>
      <c r="L893" s="51" t="n">
        <v>26</v>
      </c>
      <c r="M893" s="51" t="n">
        <v>27</v>
      </c>
      <c r="N893" s="51" t="n">
        <v>28</v>
      </c>
      <c r="O893" s="51" t="n">
        <v>29</v>
      </c>
      <c r="P893" s="51" t="n">
        <v>30</v>
      </c>
    </row>
    <row r="894">
      <c r="A894" s="52" t="inlineStr">
        <is>
          <t>정답</t>
        </is>
      </c>
      <c r="B894" s="33">
        <f>IF($R$865="","",IF($R$865="언어와 매체",자동계산!$D$19,자동계산!$B$19))</f>
        <v/>
      </c>
      <c r="C894" s="33">
        <f>IF($R$865="","",IF($R$865="언어와 매체",자동계산!$D$20,자동계산!$B$20))</f>
        <v/>
      </c>
      <c r="D894" s="33">
        <f>IF($R$865="","",IF($R$865="언어와 매체",자동계산!$D$21,자동계산!$B$21))</f>
        <v/>
      </c>
      <c r="E894" s="33">
        <f>IF($R$865="","",IF($R$865="언어와 매체",자동계산!$D$22,자동계산!$B$22))</f>
        <v/>
      </c>
      <c r="F894" s="33">
        <f>IF($R$865="","",IF($R$865="언어와 매체",자동계산!$D$23,자동계산!$B$23))</f>
        <v/>
      </c>
      <c r="G894" s="33">
        <f>IF($R$865="","",IF($R$865="언어와 매체",자동계산!$D$24,자동계산!$B$24))</f>
        <v/>
      </c>
      <c r="H894" s="33">
        <f>IF($R$865="","",IF($R$865="언어와 매체",자동계산!$D$25,자동계산!$B$25))</f>
        <v/>
      </c>
      <c r="I894" s="33">
        <f>IF($R$865="","",IF($R$865="언어와 매체",자동계산!$D$26,자동계산!$B$26))</f>
        <v/>
      </c>
      <c r="J894" s="33">
        <f>IF($R$865="","",IF($R$865="언어와 매체",자동계산!$D$27,자동계산!$B$27))</f>
        <v/>
      </c>
      <c r="K894" s="33">
        <f>IF($R$865="","",IF($R$865="언어와 매체",자동계산!$D$28,자동계산!$B$28))</f>
        <v/>
      </c>
      <c r="L894" s="33">
        <f>IF($R$865="","",IF($R$865="언어와 매체",자동계산!$D$29,자동계산!$B$29))</f>
        <v/>
      </c>
      <c r="M894" s="33">
        <f>IF($R$865="","",IF($R$865="언어와 매체",자동계산!$D$30,자동계산!$B$30))</f>
        <v/>
      </c>
      <c r="N894" s="33">
        <f>IF($R$865="","",IF($R$865="언어와 매체",자동계산!$D$31,자동계산!$B$31))</f>
        <v/>
      </c>
      <c r="O894" s="33">
        <f>IF($R$865="","",IF($R$865="언어와 매체",자동계산!$D$32,자동계산!$B$32))</f>
        <v/>
      </c>
      <c r="P894" s="33">
        <f>IF($R$865="","",IF($R$865="언어와 매체",자동계산!$D$33,자동계산!$B$33))</f>
        <v/>
      </c>
    </row>
    <row r="895">
      <c r="A895" s="52" t="inlineStr">
        <is>
          <t>학생답안</t>
        </is>
      </c>
      <c r="B895" s="33">
        <f>IF($R$864="","",INDEX(전체채점!T$3:T$62,$R$864))</f>
        <v/>
      </c>
      <c r="C895" s="33">
        <f>IF($R$864="","",INDEX(전체채점!U$3:U$62,$R$864))</f>
        <v/>
      </c>
      <c r="D895" s="33">
        <f>IF($R$864="","",INDEX(전체채점!V$3:V$62,$R$864))</f>
        <v/>
      </c>
      <c r="E895" s="33">
        <f>IF($R$864="","",INDEX(전체채점!W$3:W$62,$R$864))</f>
        <v/>
      </c>
      <c r="F895" s="33">
        <f>IF($R$864="","",INDEX(전체채점!X$3:X$62,$R$864))</f>
        <v/>
      </c>
      <c r="G895" s="33">
        <f>IF($R$864="","",INDEX(전체채점!Y$3:Y$62,$R$864))</f>
        <v/>
      </c>
      <c r="H895" s="33">
        <f>IF($R$864="","",INDEX(전체채점!Z$3:Z$62,$R$864))</f>
        <v/>
      </c>
      <c r="I895" s="33">
        <f>IF($R$864="","",INDEX(전체채점!AA$3:AA$62,$R$864))</f>
        <v/>
      </c>
      <c r="J895" s="33">
        <f>IF($R$864="","",INDEX(전체채점!AB$3:AB$62,$R$864))</f>
        <v/>
      </c>
      <c r="K895" s="33">
        <f>IF($R$864="","",INDEX(전체채점!AC$3:AC$62,$R$864))</f>
        <v/>
      </c>
      <c r="L895" s="33">
        <f>IF($R$864="","",INDEX(전체채점!AD$3:AD$62,$R$864))</f>
        <v/>
      </c>
      <c r="M895" s="33">
        <f>IF($R$864="","",INDEX(전체채점!AE$3:AE$62,$R$864))</f>
        <v/>
      </c>
      <c r="N895" s="33">
        <f>IF($R$864="","",INDEX(전체채점!AF$3:AF$62,$R$864))</f>
        <v/>
      </c>
      <c r="O895" s="33">
        <f>IF($R$864="","",INDEX(전체채점!AG$3:AG$62,$R$864))</f>
        <v/>
      </c>
      <c r="P895" s="33">
        <f>IF($R$864="","",INDEX(전체채점!AH$3:AH$62,$R$864))</f>
        <v/>
      </c>
    </row>
    <row r="896">
      <c r="A896" s="52" t="inlineStr">
        <is>
          <t>정오</t>
        </is>
      </c>
      <c r="B896" s="33">
        <f>IF($R$864="","",INDEX(전체채점!BM$3:BM$62,$R$864))</f>
        <v/>
      </c>
      <c r="C896" s="33">
        <f>IF($R$864="","",INDEX(전체채점!BN$3:BN$62,$R$864))</f>
        <v/>
      </c>
      <c r="D896" s="33">
        <f>IF($R$864="","",INDEX(전체채점!BO$3:BO$62,$R$864))</f>
        <v/>
      </c>
      <c r="E896" s="33">
        <f>IF($R$864="","",INDEX(전체채점!BP$3:BP$62,$R$864))</f>
        <v/>
      </c>
      <c r="F896" s="33">
        <f>IF($R$864="","",INDEX(전체채점!BQ$3:BQ$62,$R$864))</f>
        <v/>
      </c>
      <c r="G896" s="33">
        <f>IF($R$864="","",INDEX(전체채점!BR$3:BR$62,$R$864))</f>
        <v/>
      </c>
      <c r="H896" s="33">
        <f>IF($R$864="","",INDEX(전체채점!BS$3:BS$62,$R$864))</f>
        <v/>
      </c>
      <c r="I896" s="33">
        <f>IF($R$864="","",INDEX(전체채점!BT$3:BT$62,$R$864))</f>
        <v/>
      </c>
      <c r="J896" s="33">
        <f>IF($R$864="","",INDEX(전체채점!BU$3:BU$62,$R$864))</f>
        <v/>
      </c>
      <c r="K896" s="33">
        <f>IF($R$864="","",INDEX(전체채점!BV$3:BV$62,$R$864))</f>
        <v/>
      </c>
      <c r="L896" s="33">
        <f>IF($R$864="","",INDEX(전체채점!BW$3:BW$62,$R$864))</f>
        <v/>
      </c>
      <c r="M896" s="33">
        <f>IF($R$864="","",INDEX(전체채점!BX$3:BX$62,$R$864))</f>
        <v/>
      </c>
      <c r="N896" s="33">
        <f>IF($R$864="","",INDEX(전체채점!BY$3:BY$62,$R$864))</f>
        <v/>
      </c>
      <c r="O896" s="33">
        <f>IF($R$864="","",INDEX(전체채점!BZ$3:BZ$62,$R$864))</f>
        <v/>
      </c>
      <c r="P896" s="33">
        <f>IF($R$864="","",INDEX(전체채점!CA$3:CA$62,$R$864))</f>
        <v/>
      </c>
    </row>
    <row r="897">
      <c r="A897" s="50" t="inlineStr">
        <is>
          <t>문항 번호</t>
        </is>
      </c>
      <c r="B897" s="51" t="n">
        <v>31</v>
      </c>
      <c r="C897" s="51" t="n">
        <v>32</v>
      </c>
      <c r="D897" s="51" t="n">
        <v>33</v>
      </c>
      <c r="E897" s="51" t="n">
        <v>34</v>
      </c>
      <c r="F897" s="51" t="n">
        <v>35</v>
      </c>
      <c r="G897" s="51" t="n">
        <v>36</v>
      </c>
      <c r="H897" s="51" t="n">
        <v>37</v>
      </c>
      <c r="I897" s="51" t="n">
        <v>38</v>
      </c>
      <c r="J897" s="51" t="n">
        <v>39</v>
      </c>
      <c r="K897" s="51" t="n">
        <v>40</v>
      </c>
      <c r="L897" s="51" t="n">
        <v>41</v>
      </c>
      <c r="M897" s="51" t="n">
        <v>42</v>
      </c>
      <c r="N897" s="51" t="n">
        <v>43</v>
      </c>
      <c r="O897" s="51" t="n">
        <v>44</v>
      </c>
      <c r="P897" s="51" t="n">
        <v>45</v>
      </c>
    </row>
    <row r="898">
      <c r="A898" s="52" t="inlineStr">
        <is>
          <t>정답</t>
        </is>
      </c>
      <c r="B898" s="33">
        <f>IF($R$865="","",IF($R$865="언어와 매체",자동계산!$D$34,자동계산!$B$34))</f>
        <v/>
      </c>
      <c r="C898" s="33">
        <f>IF($R$865="","",IF($R$865="언어와 매체",자동계산!$D$35,자동계산!$B$35))</f>
        <v/>
      </c>
      <c r="D898" s="33">
        <f>IF($R$865="","",IF($R$865="언어와 매체",자동계산!$D$36,자동계산!$B$36))</f>
        <v/>
      </c>
      <c r="E898" s="33">
        <f>IF($R$865="","",IF($R$865="언어와 매체",자동계산!$D$37,자동계산!$B$37))</f>
        <v/>
      </c>
      <c r="F898" s="33">
        <f>IF($R$865="","",IF($R$865="언어와 매체",자동계산!$D$38,자동계산!$B$38))</f>
        <v/>
      </c>
      <c r="G898" s="33">
        <f>IF($R$865="","",IF($R$865="언어와 매체",자동계산!$D$39,자동계산!$B$39))</f>
        <v/>
      </c>
      <c r="H898" s="33">
        <f>IF($R$865="","",IF($R$865="언어와 매체",자동계산!$D$40,자동계산!$B$40))</f>
        <v/>
      </c>
      <c r="I898" s="33">
        <f>IF($R$865="","",IF($R$865="언어와 매체",자동계산!$D$41,자동계산!$B$41))</f>
        <v/>
      </c>
      <c r="J898" s="33">
        <f>IF($R$865="","",IF($R$865="언어와 매체",자동계산!$D$42,자동계산!$B$42))</f>
        <v/>
      </c>
      <c r="K898" s="33">
        <f>IF($R$865="","",IF($R$865="언어와 매체",자동계산!$D$43,자동계산!$B$43))</f>
        <v/>
      </c>
      <c r="L898" s="33">
        <f>IF($R$865="","",IF($R$865="언어와 매체",자동계산!$D$44,자동계산!$B$44))</f>
        <v/>
      </c>
      <c r="M898" s="33">
        <f>IF($R$865="","",IF($R$865="언어와 매체",자동계산!$D$45,자동계산!$B$45))</f>
        <v/>
      </c>
      <c r="N898" s="33">
        <f>IF($R$865="","",IF($R$865="언어와 매체",자동계산!$D$46,자동계산!$B$46))</f>
        <v/>
      </c>
      <c r="O898" s="33">
        <f>IF($R$865="","",IF($R$865="언어와 매체",자동계산!$D$47,자동계산!$B$47))</f>
        <v/>
      </c>
      <c r="P898" s="33">
        <f>IF($R$865="","",IF($R$865="언어와 매체",자동계산!$D$48,자동계산!$B$48))</f>
        <v/>
      </c>
    </row>
    <row r="899">
      <c r="A899" s="52" t="inlineStr">
        <is>
          <t>학생답안</t>
        </is>
      </c>
      <c r="B899" s="33">
        <f>IF($R$864="","",INDEX(전체채점!AI$3:AI$62,$R$864))</f>
        <v/>
      </c>
      <c r="C899" s="33">
        <f>IF($R$864="","",INDEX(전체채점!AJ$3:AJ$62,$R$864))</f>
        <v/>
      </c>
      <c r="D899" s="33">
        <f>IF($R$864="","",INDEX(전체채점!AK$3:AK$62,$R$864))</f>
        <v/>
      </c>
      <c r="E899" s="33">
        <f>IF($R$864="","",INDEX(전체채점!AL$3:AL$62,$R$864))</f>
        <v/>
      </c>
      <c r="F899" s="33">
        <f>IF($R$864="","",INDEX(전체채점!AM$3:AM$62,$R$864))</f>
        <v/>
      </c>
      <c r="G899" s="33">
        <f>IF($R$864="","",INDEX(전체채점!AN$3:AN$62,$R$864))</f>
        <v/>
      </c>
      <c r="H899" s="33">
        <f>IF($R$864="","",INDEX(전체채점!AO$3:AO$62,$R$864))</f>
        <v/>
      </c>
      <c r="I899" s="33">
        <f>IF($R$864="","",INDEX(전체채점!AP$3:AP$62,$R$864))</f>
        <v/>
      </c>
      <c r="J899" s="33">
        <f>IF($R$864="","",INDEX(전체채점!AQ$3:AQ$62,$R$864))</f>
        <v/>
      </c>
      <c r="K899" s="33">
        <f>IF($R$864="","",INDEX(전체채점!AR$3:AR$62,$R$864))</f>
        <v/>
      </c>
      <c r="L899" s="33">
        <f>IF($R$864="","",INDEX(전체채점!AS$3:AS$62,$R$864))</f>
        <v/>
      </c>
      <c r="M899" s="33">
        <f>IF($R$864="","",INDEX(전체채점!AT$3:AT$62,$R$864))</f>
        <v/>
      </c>
      <c r="N899" s="33">
        <f>IF($R$864="","",INDEX(전체채점!AU$3:AU$62,$R$864))</f>
        <v/>
      </c>
      <c r="O899" s="33">
        <f>IF($R$864="","",INDEX(전체채점!AV$3:AV$62,$R$864))</f>
        <v/>
      </c>
      <c r="P899" s="33">
        <f>IF($R$864="","",INDEX(전체채점!AW$3:AW$62,$R$864))</f>
        <v/>
      </c>
    </row>
    <row r="900">
      <c r="A900" s="52" t="inlineStr">
        <is>
          <t>정오</t>
        </is>
      </c>
      <c r="B900" s="33">
        <f>IF($R$864="","",INDEX(전체채점!CB$3:CB$62,$R$864))</f>
        <v/>
      </c>
      <c r="C900" s="33">
        <f>IF($R$864="","",INDEX(전체채점!CC$3:CC$62,$R$864))</f>
        <v/>
      </c>
      <c r="D900" s="33">
        <f>IF($R$864="","",INDEX(전체채점!CD$3:CD$62,$R$864))</f>
        <v/>
      </c>
      <c r="E900" s="33">
        <f>IF($R$864="","",INDEX(전체채점!CE$3:CE$62,$R$864))</f>
        <v/>
      </c>
      <c r="F900" s="33">
        <f>IF($R$864="","",INDEX(전체채점!CF$3:CF$62,$R$864))</f>
        <v/>
      </c>
      <c r="G900" s="33">
        <f>IF($R$864="","",INDEX(전체채점!CG$3:CG$62,$R$864))</f>
        <v/>
      </c>
      <c r="H900" s="33">
        <f>IF($R$864="","",INDEX(전체채점!CH$3:CH$62,$R$864))</f>
        <v/>
      </c>
      <c r="I900" s="33">
        <f>IF($R$864="","",INDEX(전체채점!CI$3:CI$62,$R$864))</f>
        <v/>
      </c>
      <c r="J900" s="33">
        <f>IF($R$864="","",INDEX(전체채점!CJ$3:CJ$62,$R$864))</f>
        <v/>
      </c>
      <c r="K900" s="33">
        <f>IF($R$864="","",INDEX(전체채점!CK$3:CK$62,$R$864))</f>
        <v/>
      </c>
      <c r="L900" s="33">
        <f>IF($R$864="","",INDEX(전체채점!CL$3:CL$62,$R$864))</f>
        <v/>
      </c>
      <c r="M900" s="33">
        <f>IF($R$864="","",INDEX(전체채점!CM$3:CM$62,$R$864))</f>
        <v/>
      </c>
      <c r="N900" s="33">
        <f>IF($R$864="","",INDEX(전체채점!CN$3:CN$62,$R$864))</f>
        <v/>
      </c>
      <c r="O900" s="33">
        <f>IF($R$864="","",INDEX(전체채점!CO$3:CO$62,$R$864))</f>
        <v/>
      </c>
      <c r="P900" s="33">
        <f>IF($R$864="","",INDEX(전체채점!CP$3:CP$62,$R$864))</f>
        <v/>
      </c>
    </row>
    <row r="903" ht="34" customHeight="1">
      <c r="A903" s="36">
        <f>IF($R$905="","",회차설정!$B$2&amp;" 성적표")</f>
        <v/>
      </c>
    </row>
    <row r="905">
      <c r="A905" s="12" t="inlineStr">
        <is>
          <t>1. 학생정보</t>
        </is>
      </c>
      <c r="R905" s="37">
        <f>IF(답안입력!$A$25="","",23)</f>
        <v/>
      </c>
      <c r="S905" s="37">
        <f>IF($R$906="","",IFERROR(IF($R$906="언어와 매체",MATCH(1,회차설정!$G$13:$G$27,0),MATCH(1,회차설정!$F$13:$F$27,0)),""))</f>
        <v/>
      </c>
    </row>
    <row r="906">
      <c r="A906" s="13" t="inlineStr">
        <is>
          <t>성명</t>
        </is>
      </c>
      <c r="B906" s="7" t="n"/>
      <c r="C906" s="8" t="n"/>
      <c r="D906" s="13" t="inlineStr">
        <is>
          <t>선택과목</t>
        </is>
      </c>
      <c r="E906" s="7" t="n"/>
      <c r="F906" s="7" t="n"/>
      <c r="G906" s="8" t="n"/>
      <c r="H906" s="13" t="inlineStr">
        <is>
          <t>학년</t>
        </is>
      </c>
      <c r="I906" s="7" t="n"/>
      <c r="J906" s="7" t="n"/>
      <c r="K906" s="8" t="n"/>
      <c r="L906" s="13" t="inlineStr">
        <is>
          <t>시행일</t>
        </is>
      </c>
      <c r="M906" s="7" t="n"/>
      <c r="N906" s="7" t="n"/>
      <c r="O906" s="7" t="n"/>
      <c r="P906" s="8" t="n"/>
      <c r="R906" s="37">
        <f>IF($R$905="","",INDEX(전체채점!$B$3:$B$62,$R$905))</f>
        <v/>
      </c>
      <c r="S906" s="37">
        <f>IF($R$906="","",IFERROR(IF($R$906="언어와 매체",MATCH(2,회차설정!$G$13:$G$27,0),MATCH(2,회차설정!$F$13:$F$27,0)),""))</f>
        <v/>
      </c>
    </row>
    <row r="907" ht="26" customHeight="1">
      <c r="A907" s="39">
        <f>IF($R$905="","",INDEX(답안입력!$A$3:$A$62,$R$905))</f>
        <v/>
      </c>
      <c r="B907" s="7" t="n"/>
      <c r="C907" s="8" t="n"/>
      <c r="D907" s="39">
        <f>IF($R$905="","",INDEX(답안입력!$C$3:$C$62,$R$905))</f>
        <v/>
      </c>
      <c r="E907" s="7" t="n"/>
      <c r="F907" s="7" t="n"/>
      <c r="G907" s="8" t="n"/>
      <c r="H907" s="39">
        <f>IF($R$905="","",INDEX(답안입력!$B$3:$B$62,$R$905))</f>
        <v/>
      </c>
      <c r="I907" s="7" t="n"/>
      <c r="J907" s="7" t="n"/>
      <c r="K907" s="8" t="n"/>
      <c r="L907" s="40">
        <f>회차설정!$B$3</f>
        <v/>
      </c>
      <c r="M907" s="7" t="n"/>
      <c r="N907" s="7" t="n"/>
      <c r="O907" s="7" t="n"/>
      <c r="P907" s="8" t="n"/>
      <c r="R907" s="37">
        <f>IF($R$906="언어와 매체",회차설정!$B$9,회차설정!$B$8)</f>
        <v/>
      </c>
      <c r="S907" s="37">
        <f>IF($R$906="","",IFERROR(IF($R$906="언어와 매체",MATCH(3,회차설정!$G$13:$G$27,0),MATCH(3,회차설정!$F$13:$F$27,0)),""))</f>
        <v/>
      </c>
    </row>
    <row r="908">
      <c r="R908" s="37">
        <f>IF($R$906="언어와 매체",회차설정!$C$9,회차설정!$C$8)</f>
        <v/>
      </c>
      <c r="S908" s="37">
        <f>IF($R$906="","",IFERROR(IF($R$906="언어와 매체",MATCH(4,회차설정!$G$13:$G$27,0),MATCH(4,회차설정!$F$13:$F$27,0)),""))</f>
        <v/>
      </c>
    </row>
    <row r="909">
      <c r="A909" s="12" t="inlineStr">
        <is>
          <t>2. 성적</t>
        </is>
      </c>
      <c r="R909" s="37">
        <f>IF($R$906="언어와 매체",회차설정!$D$9,회차설정!$D$8)</f>
        <v/>
      </c>
      <c r="S909" s="37">
        <f>IF($R$906="","",IFERROR(IF($R$906="언어와 매체",MATCH(5,회차설정!$G$13:$G$27,0),MATCH(5,회차설정!$F$13:$F$27,0)),""))</f>
        <v/>
      </c>
    </row>
    <row r="910">
      <c r="A910" s="13" t="inlineStr">
        <is>
          <t>점수 (100점 만점)</t>
        </is>
      </c>
      <c r="B910" s="7" t="n"/>
      <c r="C910" s="7" t="n"/>
      <c r="D910" s="7" t="n"/>
      <c r="E910" s="8" t="n"/>
      <c r="F910" s="13" t="inlineStr">
        <is>
          <t>등급</t>
        </is>
      </c>
      <c r="G910" s="7" t="n"/>
      <c r="H910" s="8" t="n"/>
      <c r="I910" s="13" t="inlineStr">
        <is>
          <t>등급컷</t>
        </is>
      </c>
      <c r="J910" s="7" t="n"/>
      <c r="K910" s="7" t="n"/>
      <c r="L910" s="8" t="n"/>
      <c r="M910" s="13" t="inlineStr">
        <is>
          <t>같은 선택과목 평균</t>
        </is>
      </c>
      <c r="N910" s="7" t="n"/>
      <c r="O910" s="7" t="n"/>
      <c r="P910" s="8" t="n"/>
      <c r="R910" s="37">
        <f>IF($R$906="언어와 매체",회차설정!$E$9,회차설정!$E$8)</f>
        <v/>
      </c>
      <c r="S910" s="37">
        <f>IF($R$906="","",IFERROR(IF($R$906="언어와 매체",MATCH(6,회차설정!$G$13:$G$27,0),MATCH(6,회차설정!$F$13:$F$27,0)),""))</f>
        <v/>
      </c>
    </row>
    <row r="911" ht="34" customHeight="1">
      <c r="A911" s="41">
        <f>IF($R$905="","",INDEX(전체채점!$C$3:$C$62,$R$905))</f>
        <v/>
      </c>
      <c r="B911" s="7" t="n"/>
      <c r="C911" s="7" t="n"/>
      <c r="D911" s="7" t="n"/>
      <c r="E911" s="8" t="n"/>
      <c r="F911" s="42">
        <f>IF($R$905="","",INDEX(전체채점!$D$3:$D$62,$R$905))</f>
        <v/>
      </c>
      <c r="G911" s="7" t="n"/>
      <c r="H911" s="8" t="n"/>
      <c r="I911" s="43">
        <f>IF($R$905="","",$R$907&amp;"-"&amp;$R$908&amp;"-"&amp;$R$909&amp;"-"&amp;$R$910)</f>
        <v/>
      </c>
      <c r="J911" s="7" t="n"/>
      <c r="K911" s="7" t="n"/>
      <c r="L911" s="8" t="n"/>
      <c r="M911" s="44">
        <f>IFERROR(AVERAGEIF(전체채점!$B$3:$B$62,$R$906,전체채점!$C$3:$C$62),"")</f>
        <v/>
      </c>
      <c r="N911" s="7" t="n"/>
      <c r="O911" s="7" t="n"/>
      <c r="P911" s="8" t="n"/>
      <c r="S911" s="37">
        <f>IF($R$906="","",IFERROR(IF($R$906="언어와 매체",MATCH(7,회차설정!$G$13:$G$27,0),MATCH(7,회차설정!$F$13:$F$27,0)),""))</f>
        <v/>
      </c>
    </row>
    <row r="912">
      <c r="S912" s="37">
        <f>IF($R$906="","",IFERROR(IF($R$906="언어와 매체",MATCH(8,회차설정!$G$13:$G$27,0),MATCH(8,회차설정!$F$13:$F$27,0)),""))</f>
        <v/>
      </c>
    </row>
    <row r="913">
      <c r="A913" s="12" t="inlineStr">
        <is>
          <t>3. 영역분류별 성취도 분석</t>
        </is>
      </c>
      <c r="F913" s="45">
        <f>IF(OR($R$905="",$E927=""),"",IF($E927=INDEX(전체채점!$C$3:$C$62,$R$905),"","※ 회차설정의 영역 표를 확인하세요 — 영역 합계와 점수가 다릅니다"))</f>
        <v/>
      </c>
      <c r="S913" s="37">
        <f>IF($R$906="","",IFERROR(IF($R$906="언어와 매체",MATCH(9,회차설정!$G$13:$G$27,0),MATCH(9,회차설정!$F$13:$F$27,0)),""))</f>
        <v/>
      </c>
    </row>
    <row r="914">
      <c r="A914" s="13" t="inlineStr">
        <is>
          <t>분류</t>
        </is>
      </c>
      <c r="B914" s="13" t="inlineStr">
        <is>
          <t>영역</t>
        </is>
      </c>
      <c r="C914" s="8" t="n"/>
      <c r="D914" s="13" t="inlineStr">
        <is>
          <t>배점</t>
        </is>
      </c>
      <c r="E914" s="13" t="inlineStr">
        <is>
          <t>득점</t>
        </is>
      </c>
      <c r="F914" s="13" t="inlineStr">
        <is>
          <t>성취도(%)</t>
        </is>
      </c>
      <c r="G914" s="8" t="n"/>
      <c r="H914" s="13" t="inlineStr"/>
      <c r="I914" s="7" t="n"/>
      <c r="J914" s="7" t="n"/>
      <c r="K914" s="7" t="n"/>
      <c r="L914" s="7" t="n"/>
      <c r="M914" s="7" t="n"/>
      <c r="N914" s="7" t="n"/>
      <c r="O914" s="7" t="n"/>
      <c r="P914" s="8" t="n"/>
      <c r="S914" s="37">
        <f>IF($R$906="","",IFERROR(IF($R$906="언어와 매체",MATCH(10,회차설정!$G$13:$G$27,0),MATCH(10,회차설정!$F$13:$F$27,0)),""))</f>
        <v/>
      </c>
    </row>
    <row r="915">
      <c r="A915" s="14">
        <f>IF($S$905="","",INDEX(회차설정!$A$13:$A$27,$S$905))</f>
        <v/>
      </c>
      <c r="B915" s="14">
        <f>IF($S$905="","",INDEX(회차설정!$B$13:$B$27,$S$905))</f>
        <v/>
      </c>
      <c r="C915" s="8" t="n"/>
      <c r="D915" s="14">
        <f>IF($S$905="","",IF($R$906="언어와 매체",SUMPRODUCT((자동계산!$A$4:$A$48&gt;=INDEX(회차설정!$C$13:$C$27,$S$905))*(자동계산!$A$4:$A$48&lt;=INDEX(회차설정!$D$13:$D$27,$S$905))*자동계산!$E$4:$E$48),SUMPRODUCT((자동계산!$A$4:$A$48&gt;=INDEX(회차설정!$C$13:$C$27,$S$905))*(자동계산!$A$4:$A$48&lt;=INDEX(회차설정!$D$13:$D$27,$S$905))*자동계산!$C$4:$C$48)))</f>
        <v/>
      </c>
      <c r="E915" s="14">
        <f>IF(OR($S$905="",$R$905=""),"",SUM(OFFSET(전체채점!$AW$2,$R$905,INDEX(회차설정!$C$13:$C$27,$S$905),1,INDEX(회차설정!$D$13:$D$27,$S$905)-INDEX(회차설정!$C$13:$C$27,$S$905)+1)))</f>
        <v/>
      </c>
      <c r="F915" s="46">
        <f>IF(OR($S$905="",$D915=0,$D915="",$E915=""),"",$E915/$D915*100)</f>
        <v/>
      </c>
      <c r="G915" s="8" t="n"/>
      <c r="H915" s="47">
        <f>IF($F915="","",REPT("■",ROUND($F915/5,0)))</f>
        <v/>
      </c>
      <c r="I915" s="7" t="n"/>
      <c r="J915" s="7" t="n"/>
      <c r="K915" s="7" t="n"/>
      <c r="L915" s="7" t="n"/>
      <c r="M915" s="7" t="n"/>
      <c r="N915" s="7" t="n"/>
      <c r="O915" s="7" t="n"/>
      <c r="P915" s="8" t="n"/>
      <c r="S915" s="37">
        <f>IF($R$906="","",IFERROR(IF($R$906="언어와 매체",MATCH(11,회차설정!$G$13:$G$27,0),MATCH(11,회차설정!$F$13:$F$27,0)),""))</f>
        <v/>
      </c>
    </row>
    <row r="916">
      <c r="A916" s="14">
        <f>IF($S$906="","",INDEX(회차설정!$A$13:$A$27,$S$906))</f>
        <v/>
      </c>
      <c r="B916" s="14">
        <f>IF($S$906="","",INDEX(회차설정!$B$13:$B$27,$S$906))</f>
        <v/>
      </c>
      <c r="C916" s="8" t="n"/>
      <c r="D916" s="14">
        <f>IF($S$906="","",IF($R$906="언어와 매체",SUMPRODUCT((자동계산!$A$4:$A$48&gt;=INDEX(회차설정!$C$13:$C$27,$S$906))*(자동계산!$A$4:$A$48&lt;=INDEX(회차설정!$D$13:$D$27,$S$906))*자동계산!$E$4:$E$48),SUMPRODUCT((자동계산!$A$4:$A$48&gt;=INDEX(회차설정!$C$13:$C$27,$S$906))*(자동계산!$A$4:$A$48&lt;=INDEX(회차설정!$D$13:$D$27,$S$906))*자동계산!$C$4:$C$48)))</f>
        <v/>
      </c>
      <c r="E916" s="14">
        <f>IF(OR($S$906="",$R$905=""),"",SUM(OFFSET(전체채점!$AW$2,$R$905,INDEX(회차설정!$C$13:$C$27,$S$906),1,INDEX(회차설정!$D$13:$D$27,$S$906)-INDEX(회차설정!$C$13:$C$27,$S$906)+1)))</f>
        <v/>
      </c>
      <c r="F916" s="46">
        <f>IF(OR($S$906="",$D916=0,$D916="",$E916=""),"",$E916/$D916*100)</f>
        <v/>
      </c>
      <c r="G916" s="8" t="n"/>
      <c r="H916" s="47">
        <f>IF($F916="","",REPT("■",ROUND($F916/5,0)))</f>
        <v/>
      </c>
      <c r="I916" s="7" t="n"/>
      <c r="J916" s="7" t="n"/>
      <c r="K916" s="7" t="n"/>
      <c r="L916" s="7" t="n"/>
      <c r="M916" s="7" t="n"/>
      <c r="N916" s="7" t="n"/>
      <c r="O916" s="7" t="n"/>
      <c r="P916" s="8" t="n"/>
      <c r="S916" s="37">
        <f>IF($R$906="","",IFERROR(IF($R$906="언어와 매체",MATCH(12,회차설정!$G$13:$G$27,0),MATCH(12,회차설정!$F$13:$F$27,0)),""))</f>
        <v/>
      </c>
    </row>
    <row r="917">
      <c r="A917" s="14">
        <f>IF($S$907="","",INDEX(회차설정!$A$13:$A$27,$S$907))</f>
        <v/>
      </c>
      <c r="B917" s="14">
        <f>IF($S$907="","",INDEX(회차설정!$B$13:$B$27,$S$907))</f>
        <v/>
      </c>
      <c r="C917" s="8" t="n"/>
      <c r="D917" s="14">
        <f>IF($S$907="","",IF($R$906="언어와 매체",SUMPRODUCT((자동계산!$A$4:$A$48&gt;=INDEX(회차설정!$C$13:$C$27,$S$907))*(자동계산!$A$4:$A$48&lt;=INDEX(회차설정!$D$13:$D$27,$S$907))*자동계산!$E$4:$E$48),SUMPRODUCT((자동계산!$A$4:$A$48&gt;=INDEX(회차설정!$C$13:$C$27,$S$907))*(자동계산!$A$4:$A$48&lt;=INDEX(회차설정!$D$13:$D$27,$S$907))*자동계산!$C$4:$C$48)))</f>
        <v/>
      </c>
      <c r="E917" s="14">
        <f>IF(OR($S$907="",$R$905=""),"",SUM(OFFSET(전체채점!$AW$2,$R$905,INDEX(회차설정!$C$13:$C$27,$S$907),1,INDEX(회차설정!$D$13:$D$27,$S$907)-INDEX(회차설정!$C$13:$C$27,$S$907)+1)))</f>
        <v/>
      </c>
      <c r="F917" s="46">
        <f>IF(OR($S$907="",$D917=0,$D917="",$E917=""),"",$E917/$D917*100)</f>
        <v/>
      </c>
      <c r="G917" s="8" t="n"/>
      <c r="H917" s="47">
        <f>IF($F917="","",REPT("■",ROUND($F917/5,0)))</f>
        <v/>
      </c>
      <c r="I917" s="7" t="n"/>
      <c r="J917" s="7" t="n"/>
      <c r="K917" s="7" t="n"/>
      <c r="L917" s="7" t="n"/>
      <c r="M917" s="7" t="n"/>
      <c r="N917" s="7" t="n"/>
      <c r="O917" s="7" t="n"/>
      <c r="P917" s="8" t="n"/>
    </row>
    <row r="918">
      <c r="A918" s="14">
        <f>IF($S$908="","",INDEX(회차설정!$A$13:$A$27,$S$908))</f>
        <v/>
      </c>
      <c r="B918" s="14">
        <f>IF($S$908="","",INDEX(회차설정!$B$13:$B$27,$S$908))</f>
        <v/>
      </c>
      <c r="C918" s="8" t="n"/>
      <c r="D918" s="14">
        <f>IF($S$908="","",IF($R$906="언어와 매체",SUMPRODUCT((자동계산!$A$4:$A$48&gt;=INDEX(회차설정!$C$13:$C$27,$S$908))*(자동계산!$A$4:$A$48&lt;=INDEX(회차설정!$D$13:$D$27,$S$908))*자동계산!$E$4:$E$48),SUMPRODUCT((자동계산!$A$4:$A$48&gt;=INDEX(회차설정!$C$13:$C$27,$S$908))*(자동계산!$A$4:$A$48&lt;=INDEX(회차설정!$D$13:$D$27,$S$908))*자동계산!$C$4:$C$48)))</f>
        <v/>
      </c>
      <c r="E918" s="14">
        <f>IF(OR($S$908="",$R$905=""),"",SUM(OFFSET(전체채점!$AW$2,$R$905,INDEX(회차설정!$C$13:$C$27,$S$908),1,INDEX(회차설정!$D$13:$D$27,$S$908)-INDEX(회차설정!$C$13:$C$27,$S$908)+1)))</f>
        <v/>
      </c>
      <c r="F918" s="46">
        <f>IF(OR($S$908="",$D918=0,$D918="",$E918=""),"",$E918/$D918*100)</f>
        <v/>
      </c>
      <c r="G918" s="8" t="n"/>
      <c r="H918" s="47">
        <f>IF($F918="","",REPT("■",ROUND($F918/5,0)))</f>
        <v/>
      </c>
      <c r="I918" s="7" t="n"/>
      <c r="J918" s="7" t="n"/>
      <c r="K918" s="7" t="n"/>
      <c r="L918" s="7" t="n"/>
      <c r="M918" s="7" t="n"/>
      <c r="N918" s="7" t="n"/>
      <c r="O918" s="7" t="n"/>
      <c r="P918" s="8" t="n"/>
    </row>
    <row r="919">
      <c r="A919" s="14">
        <f>IF($S$909="","",INDEX(회차설정!$A$13:$A$27,$S$909))</f>
        <v/>
      </c>
      <c r="B919" s="14">
        <f>IF($S$909="","",INDEX(회차설정!$B$13:$B$27,$S$909))</f>
        <v/>
      </c>
      <c r="C919" s="8" t="n"/>
      <c r="D919" s="14">
        <f>IF($S$909="","",IF($R$906="언어와 매체",SUMPRODUCT((자동계산!$A$4:$A$48&gt;=INDEX(회차설정!$C$13:$C$27,$S$909))*(자동계산!$A$4:$A$48&lt;=INDEX(회차설정!$D$13:$D$27,$S$909))*자동계산!$E$4:$E$48),SUMPRODUCT((자동계산!$A$4:$A$48&gt;=INDEX(회차설정!$C$13:$C$27,$S$909))*(자동계산!$A$4:$A$48&lt;=INDEX(회차설정!$D$13:$D$27,$S$909))*자동계산!$C$4:$C$48)))</f>
        <v/>
      </c>
      <c r="E919" s="14">
        <f>IF(OR($S$909="",$R$905=""),"",SUM(OFFSET(전체채점!$AW$2,$R$905,INDEX(회차설정!$C$13:$C$27,$S$909),1,INDEX(회차설정!$D$13:$D$27,$S$909)-INDEX(회차설정!$C$13:$C$27,$S$909)+1)))</f>
        <v/>
      </c>
      <c r="F919" s="46">
        <f>IF(OR($S$909="",$D919=0,$D919="",$E919=""),"",$E919/$D919*100)</f>
        <v/>
      </c>
      <c r="G919" s="8" t="n"/>
      <c r="H919" s="47">
        <f>IF($F919="","",REPT("■",ROUND($F919/5,0)))</f>
        <v/>
      </c>
      <c r="I919" s="7" t="n"/>
      <c r="J919" s="7" t="n"/>
      <c r="K919" s="7" t="n"/>
      <c r="L919" s="7" t="n"/>
      <c r="M919" s="7" t="n"/>
      <c r="N919" s="7" t="n"/>
      <c r="O919" s="7" t="n"/>
      <c r="P919" s="8" t="n"/>
    </row>
    <row r="920">
      <c r="A920" s="14">
        <f>IF($S$910="","",INDEX(회차설정!$A$13:$A$27,$S$910))</f>
        <v/>
      </c>
      <c r="B920" s="14">
        <f>IF($S$910="","",INDEX(회차설정!$B$13:$B$27,$S$910))</f>
        <v/>
      </c>
      <c r="C920" s="8" t="n"/>
      <c r="D920" s="14">
        <f>IF($S$910="","",IF($R$906="언어와 매체",SUMPRODUCT((자동계산!$A$4:$A$48&gt;=INDEX(회차설정!$C$13:$C$27,$S$910))*(자동계산!$A$4:$A$48&lt;=INDEX(회차설정!$D$13:$D$27,$S$910))*자동계산!$E$4:$E$48),SUMPRODUCT((자동계산!$A$4:$A$48&gt;=INDEX(회차설정!$C$13:$C$27,$S$910))*(자동계산!$A$4:$A$48&lt;=INDEX(회차설정!$D$13:$D$27,$S$910))*자동계산!$C$4:$C$48)))</f>
        <v/>
      </c>
      <c r="E920" s="14">
        <f>IF(OR($S$910="",$R$905=""),"",SUM(OFFSET(전체채점!$AW$2,$R$905,INDEX(회차설정!$C$13:$C$27,$S$910),1,INDEX(회차설정!$D$13:$D$27,$S$910)-INDEX(회차설정!$C$13:$C$27,$S$910)+1)))</f>
        <v/>
      </c>
      <c r="F920" s="46">
        <f>IF(OR($S$910="",$D920=0,$D920="",$E920=""),"",$E920/$D920*100)</f>
        <v/>
      </c>
      <c r="G920" s="8" t="n"/>
      <c r="H920" s="47">
        <f>IF($F920="","",REPT("■",ROUND($F920/5,0)))</f>
        <v/>
      </c>
      <c r="I920" s="7" t="n"/>
      <c r="J920" s="7" t="n"/>
      <c r="K920" s="7" t="n"/>
      <c r="L920" s="7" t="n"/>
      <c r="M920" s="7" t="n"/>
      <c r="N920" s="7" t="n"/>
      <c r="O920" s="7" t="n"/>
      <c r="P920" s="8" t="n"/>
    </row>
    <row r="921">
      <c r="A921" s="14">
        <f>IF($S$911="","",INDEX(회차설정!$A$13:$A$27,$S$911))</f>
        <v/>
      </c>
      <c r="B921" s="14">
        <f>IF($S$911="","",INDEX(회차설정!$B$13:$B$27,$S$911))</f>
        <v/>
      </c>
      <c r="C921" s="8" t="n"/>
      <c r="D921" s="14">
        <f>IF($S$911="","",IF($R$906="언어와 매체",SUMPRODUCT((자동계산!$A$4:$A$48&gt;=INDEX(회차설정!$C$13:$C$27,$S$911))*(자동계산!$A$4:$A$48&lt;=INDEX(회차설정!$D$13:$D$27,$S$911))*자동계산!$E$4:$E$48),SUMPRODUCT((자동계산!$A$4:$A$48&gt;=INDEX(회차설정!$C$13:$C$27,$S$911))*(자동계산!$A$4:$A$48&lt;=INDEX(회차설정!$D$13:$D$27,$S$911))*자동계산!$C$4:$C$48)))</f>
        <v/>
      </c>
      <c r="E921" s="14">
        <f>IF(OR($S$911="",$R$905=""),"",SUM(OFFSET(전체채점!$AW$2,$R$905,INDEX(회차설정!$C$13:$C$27,$S$911),1,INDEX(회차설정!$D$13:$D$27,$S$911)-INDEX(회차설정!$C$13:$C$27,$S$911)+1)))</f>
        <v/>
      </c>
      <c r="F921" s="46">
        <f>IF(OR($S$911="",$D921=0,$D921="",$E921=""),"",$E921/$D921*100)</f>
        <v/>
      </c>
      <c r="G921" s="8" t="n"/>
      <c r="H921" s="47">
        <f>IF($F921="","",REPT("■",ROUND($F921/5,0)))</f>
        <v/>
      </c>
      <c r="I921" s="7" t="n"/>
      <c r="J921" s="7" t="n"/>
      <c r="K921" s="7" t="n"/>
      <c r="L921" s="7" t="n"/>
      <c r="M921" s="7" t="n"/>
      <c r="N921" s="7" t="n"/>
      <c r="O921" s="7" t="n"/>
      <c r="P921" s="8" t="n"/>
    </row>
    <row r="922">
      <c r="A922" s="14">
        <f>IF($S$912="","",INDEX(회차설정!$A$13:$A$27,$S$912))</f>
        <v/>
      </c>
      <c r="B922" s="14">
        <f>IF($S$912="","",INDEX(회차설정!$B$13:$B$27,$S$912))</f>
        <v/>
      </c>
      <c r="C922" s="8" t="n"/>
      <c r="D922" s="14">
        <f>IF($S$912="","",IF($R$906="언어와 매체",SUMPRODUCT((자동계산!$A$4:$A$48&gt;=INDEX(회차설정!$C$13:$C$27,$S$912))*(자동계산!$A$4:$A$48&lt;=INDEX(회차설정!$D$13:$D$27,$S$912))*자동계산!$E$4:$E$48),SUMPRODUCT((자동계산!$A$4:$A$48&gt;=INDEX(회차설정!$C$13:$C$27,$S$912))*(자동계산!$A$4:$A$48&lt;=INDEX(회차설정!$D$13:$D$27,$S$912))*자동계산!$C$4:$C$48)))</f>
        <v/>
      </c>
      <c r="E922" s="14">
        <f>IF(OR($S$912="",$R$905=""),"",SUM(OFFSET(전체채점!$AW$2,$R$905,INDEX(회차설정!$C$13:$C$27,$S$912),1,INDEX(회차설정!$D$13:$D$27,$S$912)-INDEX(회차설정!$C$13:$C$27,$S$912)+1)))</f>
        <v/>
      </c>
      <c r="F922" s="46">
        <f>IF(OR($S$912="",$D922=0,$D922="",$E922=""),"",$E922/$D922*100)</f>
        <v/>
      </c>
      <c r="G922" s="8" t="n"/>
      <c r="H922" s="47">
        <f>IF($F922="","",REPT("■",ROUND($F922/5,0)))</f>
        <v/>
      </c>
      <c r="I922" s="7" t="n"/>
      <c r="J922" s="7" t="n"/>
      <c r="K922" s="7" t="n"/>
      <c r="L922" s="7" t="n"/>
      <c r="M922" s="7" t="n"/>
      <c r="N922" s="7" t="n"/>
      <c r="O922" s="7" t="n"/>
      <c r="P922" s="8" t="n"/>
    </row>
    <row r="923">
      <c r="A923" s="14">
        <f>IF($S$913="","",INDEX(회차설정!$A$13:$A$27,$S$913))</f>
        <v/>
      </c>
      <c r="B923" s="14">
        <f>IF($S$913="","",INDEX(회차설정!$B$13:$B$27,$S$913))</f>
        <v/>
      </c>
      <c r="C923" s="8" t="n"/>
      <c r="D923" s="14">
        <f>IF($S$913="","",IF($R$906="언어와 매체",SUMPRODUCT((자동계산!$A$4:$A$48&gt;=INDEX(회차설정!$C$13:$C$27,$S$913))*(자동계산!$A$4:$A$48&lt;=INDEX(회차설정!$D$13:$D$27,$S$913))*자동계산!$E$4:$E$48),SUMPRODUCT((자동계산!$A$4:$A$48&gt;=INDEX(회차설정!$C$13:$C$27,$S$913))*(자동계산!$A$4:$A$48&lt;=INDEX(회차설정!$D$13:$D$27,$S$913))*자동계산!$C$4:$C$48)))</f>
        <v/>
      </c>
      <c r="E923" s="14">
        <f>IF(OR($S$913="",$R$905=""),"",SUM(OFFSET(전체채점!$AW$2,$R$905,INDEX(회차설정!$C$13:$C$27,$S$913),1,INDEX(회차설정!$D$13:$D$27,$S$913)-INDEX(회차설정!$C$13:$C$27,$S$913)+1)))</f>
        <v/>
      </c>
      <c r="F923" s="46">
        <f>IF(OR($S$913="",$D923=0,$D923="",$E923=""),"",$E923/$D923*100)</f>
        <v/>
      </c>
      <c r="G923" s="8" t="n"/>
      <c r="H923" s="47">
        <f>IF($F923="","",REPT("■",ROUND($F923/5,0)))</f>
        <v/>
      </c>
      <c r="I923" s="7" t="n"/>
      <c r="J923" s="7" t="n"/>
      <c r="K923" s="7" t="n"/>
      <c r="L923" s="7" t="n"/>
      <c r="M923" s="7" t="n"/>
      <c r="N923" s="7" t="n"/>
      <c r="O923" s="7" t="n"/>
      <c r="P923" s="8" t="n"/>
    </row>
    <row r="924">
      <c r="A924" s="14">
        <f>IF($S$914="","",INDEX(회차설정!$A$13:$A$27,$S$914))</f>
        <v/>
      </c>
      <c r="B924" s="14">
        <f>IF($S$914="","",INDEX(회차설정!$B$13:$B$27,$S$914))</f>
        <v/>
      </c>
      <c r="C924" s="8" t="n"/>
      <c r="D924" s="14">
        <f>IF($S$914="","",IF($R$906="언어와 매체",SUMPRODUCT((자동계산!$A$4:$A$48&gt;=INDEX(회차설정!$C$13:$C$27,$S$914))*(자동계산!$A$4:$A$48&lt;=INDEX(회차설정!$D$13:$D$27,$S$914))*자동계산!$E$4:$E$48),SUMPRODUCT((자동계산!$A$4:$A$48&gt;=INDEX(회차설정!$C$13:$C$27,$S$914))*(자동계산!$A$4:$A$48&lt;=INDEX(회차설정!$D$13:$D$27,$S$914))*자동계산!$C$4:$C$48)))</f>
        <v/>
      </c>
      <c r="E924" s="14">
        <f>IF(OR($S$914="",$R$905=""),"",SUM(OFFSET(전체채점!$AW$2,$R$905,INDEX(회차설정!$C$13:$C$27,$S$914),1,INDEX(회차설정!$D$13:$D$27,$S$914)-INDEX(회차설정!$C$13:$C$27,$S$914)+1)))</f>
        <v/>
      </c>
      <c r="F924" s="46">
        <f>IF(OR($S$914="",$D924=0,$D924="",$E924=""),"",$E924/$D924*100)</f>
        <v/>
      </c>
      <c r="G924" s="8" t="n"/>
      <c r="H924" s="47">
        <f>IF($F924="","",REPT("■",ROUND($F924/5,0)))</f>
        <v/>
      </c>
      <c r="I924" s="7" t="n"/>
      <c r="J924" s="7" t="n"/>
      <c r="K924" s="7" t="n"/>
      <c r="L924" s="7" t="n"/>
      <c r="M924" s="7" t="n"/>
      <c r="N924" s="7" t="n"/>
      <c r="O924" s="7" t="n"/>
      <c r="P924" s="8" t="n"/>
    </row>
    <row r="925">
      <c r="A925" s="14">
        <f>IF($S$915="","",INDEX(회차설정!$A$13:$A$27,$S$915))</f>
        <v/>
      </c>
      <c r="B925" s="14">
        <f>IF($S$915="","",INDEX(회차설정!$B$13:$B$27,$S$915))</f>
        <v/>
      </c>
      <c r="C925" s="8" t="n"/>
      <c r="D925" s="14">
        <f>IF($S$915="","",IF($R$906="언어와 매체",SUMPRODUCT((자동계산!$A$4:$A$48&gt;=INDEX(회차설정!$C$13:$C$27,$S$915))*(자동계산!$A$4:$A$48&lt;=INDEX(회차설정!$D$13:$D$27,$S$915))*자동계산!$E$4:$E$48),SUMPRODUCT((자동계산!$A$4:$A$48&gt;=INDEX(회차설정!$C$13:$C$27,$S$915))*(자동계산!$A$4:$A$48&lt;=INDEX(회차설정!$D$13:$D$27,$S$915))*자동계산!$C$4:$C$48)))</f>
        <v/>
      </c>
      <c r="E925" s="14">
        <f>IF(OR($S$915="",$R$905=""),"",SUM(OFFSET(전체채점!$AW$2,$R$905,INDEX(회차설정!$C$13:$C$27,$S$915),1,INDEX(회차설정!$D$13:$D$27,$S$915)-INDEX(회차설정!$C$13:$C$27,$S$915)+1)))</f>
        <v/>
      </c>
      <c r="F925" s="46">
        <f>IF(OR($S$915="",$D925=0,$D925="",$E925=""),"",$E925/$D925*100)</f>
        <v/>
      </c>
      <c r="G925" s="8" t="n"/>
      <c r="H925" s="47">
        <f>IF($F925="","",REPT("■",ROUND($F925/5,0)))</f>
        <v/>
      </c>
      <c r="I925" s="7" t="n"/>
      <c r="J925" s="7" t="n"/>
      <c r="K925" s="7" t="n"/>
      <c r="L925" s="7" t="n"/>
      <c r="M925" s="7" t="n"/>
      <c r="N925" s="7" t="n"/>
      <c r="O925" s="7" t="n"/>
      <c r="P925" s="8" t="n"/>
    </row>
    <row r="926">
      <c r="A926" s="14">
        <f>IF($S$916="","",INDEX(회차설정!$A$13:$A$27,$S$916))</f>
        <v/>
      </c>
      <c r="B926" s="14">
        <f>IF($S$916="","",INDEX(회차설정!$B$13:$B$27,$S$916))</f>
        <v/>
      </c>
      <c r="C926" s="8" t="n"/>
      <c r="D926" s="14">
        <f>IF($S$916="","",IF($R$906="언어와 매체",SUMPRODUCT((자동계산!$A$4:$A$48&gt;=INDEX(회차설정!$C$13:$C$27,$S$916))*(자동계산!$A$4:$A$48&lt;=INDEX(회차설정!$D$13:$D$27,$S$916))*자동계산!$E$4:$E$48),SUMPRODUCT((자동계산!$A$4:$A$48&gt;=INDEX(회차설정!$C$13:$C$27,$S$916))*(자동계산!$A$4:$A$48&lt;=INDEX(회차설정!$D$13:$D$27,$S$916))*자동계산!$C$4:$C$48)))</f>
        <v/>
      </c>
      <c r="E926" s="14">
        <f>IF(OR($S$916="",$R$905=""),"",SUM(OFFSET(전체채점!$AW$2,$R$905,INDEX(회차설정!$C$13:$C$27,$S$916),1,INDEX(회차설정!$D$13:$D$27,$S$916)-INDEX(회차설정!$C$13:$C$27,$S$916)+1)))</f>
        <v/>
      </c>
      <c r="F926" s="46">
        <f>IF(OR($S$916="",$D926=0,$D926="",$E926=""),"",$E926/$D926*100)</f>
        <v/>
      </c>
      <c r="G926" s="8" t="n"/>
      <c r="H926" s="47">
        <f>IF($F926="","",REPT("■",ROUND($F926/5,0)))</f>
        <v/>
      </c>
      <c r="I926" s="7" t="n"/>
      <c r="J926" s="7" t="n"/>
      <c r="K926" s="7" t="n"/>
      <c r="L926" s="7" t="n"/>
      <c r="M926" s="7" t="n"/>
      <c r="N926" s="7" t="n"/>
      <c r="O926" s="7" t="n"/>
      <c r="P926" s="8" t="n"/>
    </row>
    <row r="927">
      <c r="A927" s="5">
        <f>IF($R$905="","","합계")</f>
        <v/>
      </c>
      <c r="B927" s="7" t="n"/>
      <c r="C927" s="8" t="n"/>
      <c r="D927" s="5">
        <f>IF($R$905="","",SUM(D915:D926))</f>
        <v/>
      </c>
      <c r="E927" s="5">
        <f>IF($R$905="","",SUM(E915:E926))</f>
        <v/>
      </c>
      <c r="F927" s="48">
        <f>IF(OR($D927=0,$D927=""),"",$E927/$D927*100)</f>
        <v/>
      </c>
      <c r="G927" s="8" t="n"/>
      <c r="H927" s="49">
        <f>IF($F927="","",REPT("■",ROUND($F927/5,0)))</f>
        <v/>
      </c>
      <c r="I927" s="7" t="n"/>
      <c r="J927" s="7" t="n"/>
      <c r="K927" s="7" t="n"/>
      <c r="L927" s="7" t="n"/>
      <c r="M927" s="7" t="n"/>
      <c r="N927" s="7" t="n"/>
      <c r="O927" s="7" t="n"/>
      <c r="P927" s="8" t="n"/>
    </row>
    <row r="929">
      <c r="A929" s="12" t="inlineStr">
        <is>
          <t>4. 문항 채점표</t>
        </is>
      </c>
    </row>
    <row r="930">
      <c r="A930" s="50" t="inlineStr">
        <is>
          <t>문항 번호</t>
        </is>
      </c>
      <c r="B930" s="51" t="n">
        <v>1</v>
      </c>
      <c r="C930" s="51" t="n">
        <v>2</v>
      </c>
      <c r="D930" s="51" t="n">
        <v>3</v>
      </c>
      <c r="E930" s="51" t="n">
        <v>4</v>
      </c>
      <c r="F930" s="51" t="n">
        <v>5</v>
      </c>
      <c r="G930" s="51" t="n">
        <v>6</v>
      </c>
      <c r="H930" s="51" t="n">
        <v>7</v>
      </c>
      <c r="I930" s="51" t="n">
        <v>8</v>
      </c>
      <c r="J930" s="51" t="n">
        <v>9</v>
      </c>
      <c r="K930" s="51" t="n">
        <v>10</v>
      </c>
      <c r="L930" s="51" t="n">
        <v>11</v>
      </c>
      <c r="M930" s="51" t="n">
        <v>12</v>
      </c>
      <c r="N930" s="51" t="n">
        <v>13</v>
      </c>
      <c r="O930" s="51" t="n">
        <v>14</v>
      </c>
      <c r="P930" s="51" t="n">
        <v>15</v>
      </c>
    </row>
    <row r="931">
      <c r="A931" s="52" t="inlineStr">
        <is>
          <t>정답</t>
        </is>
      </c>
      <c r="B931" s="33">
        <f>IF($R$906="","",IF($R$906="언어와 매체",자동계산!$D$4,자동계산!$B$4))</f>
        <v/>
      </c>
      <c r="C931" s="33">
        <f>IF($R$906="","",IF($R$906="언어와 매체",자동계산!$D$5,자동계산!$B$5))</f>
        <v/>
      </c>
      <c r="D931" s="33">
        <f>IF($R$906="","",IF($R$906="언어와 매체",자동계산!$D$6,자동계산!$B$6))</f>
        <v/>
      </c>
      <c r="E931" s="33">
        <f>IF($R$906="","",IF($R$906="언어와 매체",자동계산!$D$7,자동계산!$B$7))</f>
        <v/>
      </c>
      <c r="F931" s="33">
        <f>IF($R$906="","",IF($R$906="언어와 매체",자동계산!$D$8,자동계산!$B$8))</f>
        <v/>
      </c>
      <c r="G931" s="33">
        <f>IF($R$906="","",IF($R$906="언어와 매체",자동계산!$D$9,자동계산!$B$9))</f>
        <v/>
      </c>
      <c r="H931" s="33">
        <f>IF($R$906="","",IF($R$906="언어와 매체",자동계산!$D$10,자동계산!$B$10))</f>
        <v/>
      </c>
      <c r="I931" s="33">
        <f>IF($R$906="","",IF($R$906="언어와 매체",자동계산!$D$11,자동계산!$B$11))</f>
        <v/>
      </c>
      <c r="J931" s="33">
        <f>IF($R$906="","",IF($R$906="언어와 매체",자동계산!$D$12,자동계산!$B$12))</f>
        <v/>
      </c>
      <c r="K931" s="33">
        <f>IF($R$906="","",IF($R$906="언어와 매체",자동계산!$D$13,자동계산!$B$13))</f>
        <v/>
      </c>
      <c r="L931" s="33">
        <f>IF($R$906="","",IF($R$906="언어와 매체",자동계산!$D$14,자동계산!$B$14))</f>
        <v/>
      </c>
      <c r="M931" s="33">
        <f>IF($R$906="","",IF($R$906="언어와 매체",자동계산!$D$15,자동계산!$B$15))</f>
        <v/>
      </c>
      <c r="N931" s="33">
        <f>IF($R$906="","",IF($R$906="언어와 매체",자동계산!$D$16,자동계산!$B$16))</f>
        <v/>
      </c>
      <c r="O931" s="33">
        <f>IF($R$906="","",IF($R$906="언어와 매체",자동계산!$D$17,자동계산!$B$17))</f>
        <v/>
      </c>
      <c r="P931" s="33">
        <f>IF($R$906="","",IF($R$906="언어와 매체",자동계산!$D$18,자동계산!$B$18))</f>
        <v/>
      </c>
    </row>
    <row r="932">
      <c r="A932" s="52" t="inlineStr">
        <is>
          <t>학생답안</t>
        </is>
      </c>
      <c r="B932" s="33">
        <f>IF($R$905="","",INDEX(전체채점!E$3:E$62,$R$905))</f>
        <v/>
      </c>
      <c r="C932" s="33">
        <f>IF($R$905="","",INDEX(전체채점!F$3:F$62,$R$905))</f>
        <v/>
      </c>
      <c r="D932" s="33">
        <f>IF($R$905="","",INDEX(전체채점!G$3:G$62,$R$905))</f>
        <v/>
      </c>
      <c r="E932" s="33">
        <f>IF($R$905="","",INDEX(전체채점!H$3:H$62,$R$905))</f>
        <v/>
      </c>
      <c r="F932" s="33">
        <f>IF($R$905="","",INDEX(전체채점!I$3:I$62,$R$905))</f>
        <v/>
      </c>
      <c r="G932" s="33">
        <f>IF($R$905="","",INDEX(전체채점!J$3:J$62,$R$905))</f>
        <v/>
      </c>
      <c r="H932" s="33">
        <f>IF($R$905="","",INDEX(전체채점!K$3:K$62,$R$905))</f>
        <v/>
      </c>
      <c r="I932" s="33">
        <f>IF($R$905="","",INDEX(전체채점!L$3:L$62,$R$905))</f>
        <v/>
      </c>
      <c r="J932" s="33">
        <f>IF($R$905="","",INDEX(전체채점!M$3:M$62,$R$905))</f>
        <v/>
      </c>
      <c r="K932" s="33">
        <f>IF($R$905="","",INDEX(전체채점!N$3:N$62,$R$905))</f>
        <v/>
      </c>
      <c r="L932" s="33">
        <f>IF($R$905="","",INDEX(전체채점!O$3:O$62,$R$905))</f>
        <v/>
      </c>
      <c r="M932" s="33">
        <f>IF($R$905="","",INDEX(전체채점!P$3:P$62,$R$905))</f>
        <v/>
      </c>
      <c r="N932" s="33">
        <f>IF($R$905="","",INDEX(전체채점!Q$3:Q$62,$R$905))</f>
        <v/>
      </c>
      <c r="O932" s="33">
        <f>IF($R$905="","",INDEX(전체채점!R$3:R$62,$R$905))</f>
        <v/>
      </c>
      <c r="P932" s="33">
        <f>IF($R$905="","",INDEX(전체채점!S$3:S$62,$R$905))</f>
        <v/>
      </c>
    </row>
    <row r="933">
      <c r="A933" s="52" t="inlineStr">
        <is>
          <t>정오</t>
        </is>
      </c>
      <c r="B933" s="33">
        <f>IF($R$905="","",INDEX(전체채점!AX$3:AX$62,$R$905))</f>
        <v/>
      </c>
      <c r="C933" s="33">
        <f>IF($R$905="","",INDEX(전체채점!AY$3:AY$62,$R$905))</f>
        <v/>
      </c>
      <c r="D933" s="33">
        <f>IF($R$905="","",INDEX(전체채점!AZ$3:AZ$62,$R$905))</f>
        <v/>
      </c>
      <c r="E933" s="33">
        <f>IF($R$905="","",INDEX(전체채점!BA$3:BA$62,$R$905))</f>
        <v/>
      </c>
      <c r="F933" s="33">
        <f>IF($R$905="","",INDEX(전체채점!BB$3:BB$62,$R$905))</f>
        <v/>
      </c>
      <c r="G933" s="33">
        <f>IF($R$905="","",INDEX(전체채점!BC$3:BC$62,$R$905))</f>
        <v/>
      </c>
      <c r="H933" s="33">
        <f>IF($R$905="","",INDEX(전체채점!BD$3:BD$62,$R$905))</f>
        <v/>
      </c>
      <c r="I933" s="33">
        <f>IF($R$905="","",INDEX(전체채점!BE$3:BE$62,$R$905))</f>
        <v/>
      </c>
      <c r="J933" s="33">
        <f>IF($R$905="","",INDEX(전체채점!BF$3:BF$62,$R$905))</f>
        <v/>
      </c>
      <c r="K933" s="33">
        <f>IF($R$905="","",INDEX(전체채점!BG$3:BG$62,$R$905))</f>
        <v/>
      </c>
      <c r="L933" s="33">
        <f>IF($R$905="","",INDEX(전체채점!BH$3:BH$62,$R$905))</f>
        <v/>
      </c>
      <c r="M933" s="33">
        <f>IF($R$905="","",INDEX(전체채점!BI$3:BI$62,$R$905))</f>
        <v/>
      </c>
      <c r="N933" s="33">
        <f>IF($R$905="","",INDEX(전체채점!BJ$3:BJ$62,$R$905))</f>
        <v/>
      </c>
      <c r="O933" s="33">
        <f>IF($R$905="","",INDEX(전체채점!BK$3:BK$62,$R$905))</f>
        <v/>
      </c>
      <c r="P933" s="33">
        <f>IF($R$905="","",INDEX(전체채점!BL$3:BL$62,$R$905))</f>
        <v/>
      </c>
    </row>
    <row r="934">
      <c r="A934" s="50" t="inlineStr">
        <is>
          <t>문항 번호</t>
        </is>
      </c>
      <c r="B934" s="51" t="n">
        <v>16</v>
      </c>
      <c r="C934" s="51" t="n">
        <v>17</v>
      </c>
      <c r="D934" s="51" t="n">
        <v>18</v>
      </c>
      <c r="E934" s="51" t="n">
        <v>19</v>
      </c>
      <c r="F934" s="51" t="n">
        <v>20</v>
      </c>
      <c r="G934" s="51" t="n">
        <v>21</v>
      </c>
      <c r="H934" s="51" t="n">
        <v>22</v>
      </c>
      <c r="I934" s="51" t="n">
        <v>23</v>
      </c>
      <c r="J934" s="51" t="n">
        <v>24</v>
      </c>
      <c r="K934" s="51" t="n">
        <v>25</v>
      </c>
      <c r="L934" s="51" t="n">
        <v>26</v>
      </c>
      <c r="M934" s="51" t="n">
        <v>27</v>
      </c>
      <c r="N934" s="51" t="n">
        <v>28</v>
      </c>
      <c r="O934" s="51" t="n">
        <v>29</v>
      </c>
      <c r="P934" s="51" t="n">
        <v>30</v>
      </c>
    </row>
    <row r="935">
      <c r="A935" s="52" t="inlineStr">
        <is>
          <t>정답</t>
        </is>
      </c>
      <c r="B935" s="33">
        <f>IF($R$906="","",IF($R$906="언어와 매체",자동계산!$D$19,자동계산!$B$19))</f>
        <v/>
      </c>
      <c r="C935" s="33">
        <f>IF($R$906="","",IF($R$906="언어와 매체",자동계산!$D$20,자동계산!$B$20))</f>
        <v/>
      </c>
      <c r="D935" s="33">
        <f>IF($R$906="","",IF($R$906="언어와 매체",자동계산!$D$21,자동계산!$B$21))</f>
        <v/>
      </c>
      <c r="E935" s="33">
        <f>IF($R$906="","",IF($R$906="언어와 매체",자동계산!$D$22,자동계산!$B$22))</f>
        <v/>
      </c>
      <c r="F935" s="33">
        <f>IF($R$906="","",IF($R$906="언어와 매체",자동계산!$D$23,자동계산!$B$23))</f>
        <v/>
      </c>
      <c r="G935" s="33">
        <f>IF($R$906="","",IF($R$906="언어와 매체",자동계산!$D$24,자동계산!$B$24))</f>
        <v/>
      </c>
      <c r="H935" s="33">
        <f>IF($R$906="","",IF($R$906="언어와 매체",자동계산!$D$25,자동계산!$B$25))</f>
        <v/>
      </c>
      <c r="I935" s="33">
        <f>IF($R$906="","",IF($R$906="언어와 매체",자동계산!$D$26,자동계산!$B$26))</f>
        <v/>
      </c>
      <c r="J935" s="33">
        <f>IF($R$906="","",IF($R$906="언어와 매체",자동계산!$D$27,자동계산!$B$27))</f>
        <v/>
      </c>
      <c r="K935" s="33">
        <f>IF($R$906="","",IF($R$906="언어와 매체",자동계산!$D$28,자동계산!$B$28))</f>
        <v/>
      </c>
      <c r="L935" s="33">
        <f>IF($R$906="","",IF($R$906="언어와 매체",자동계산!$D$29,자동계산!$B$29))</f>
        <v/>
      </c>
      <c r="M935" s="33">
        <f>IF($R$906="","",IF($R$906="언어와 매체",자동계산!$D$30,자동계산!$B$30))</f>
        <v/>
      </c>
      <c r="N935" s="33">
        <f>IF($R$906="","",IF($R$906="언어와 매체",자동계산!$D$31,자동계산!$B$31))</f>
        <v/>
      </c>
      <c r="O935" s="33">
        <f>IF($R$906="","",IF($R$906="언어와 매체",자동계산!$D$32,자동계산!$B$32))</f>
        <v/>
      </c>
      <c r="P935" s="33">
        <f>IF($R$906="","",IF($R$906="언어와 매체",자동계산!$D$33,자동계산!$B$33))</f>
        <v/>
      </c>
    </row>
    <row r="936">
      <c r="A936" s="52" t="inlineStr">
        <is>
          <t>학생답안</t>
        </is>
      </c>
      <c r="B936" s="33">
        <f>IF($R$905="","",INDEX(전체채점!T$3:T$62,$R$905))</f>
        <v/>
      </c>
      <c r="C936" s="33">
        <f>IF($R$905="","",INDEX(전체채점!U$3:U$62,$R$905))</f>
        <v/>
      </c>
      <c r="D936" s="33">
        <f>IF($R$905="","",INDEX(전체채점!V$3:V$62,$R$905))</f>
        <v/>
      </c>
      <c r="E936" s="33">
        <f>IF($R$905="","",INDEX(전체채점!W$3:W$62,$R$905))</f>
        <v/>
      </c>
      <c r="F936" s="33">
        <f>IF($R$905="","",INDEX(전체채점!X$3:X$62,$R$905))</f>
        <v/>
      </c>
      <c r="G936" s="33">
        <f>IF($R$905="","",INDEX(전체채점!Y$3:Y$62,$R$905))</f>
        <v/>
      </c>
      <c r="H936" s="33">
        <f>IF($R$905="","",INDEX(전체채점!Z$3:Z$62,$R$905))</f>
        <v/>
      </c>
      <c r="I936" s="33">
        <f>IF($R$905="","",INDEX(전체채점!AA$3:AA$62,$R$905))</f>
        <v/>
      </c>
      <c r="J936" s="33">
        <f>IF($R$905="","",INDEX(전체채점!AB$3:AB$62,$R$905))</f>
        <v/>
      </c>
      <c r="K936" s="33">
        <f>IF($R$905="","",INDEX(전체채점!AC$3:AC$62,$R$905))</f>
        <v/>
      </c>
      <c r="L936" s="33">
        <f>IF($R$905="","",INDEX(전체채점!AD$3:AD$62,$R$905))</f>
        <v/>
      </c>
      <c r="M936" s="33">
        <f>IF($R$905="","",INDEX(전체채점!AE$3:AE$62,$R$905))</f>
        <v/>
      </c>
      <c r="N936" s="33">
        <f>IF($R$905="","",INDEX(전체채점!AF$3:AF$62,$R$905))</f>
        <v/>
      </c>
      <c r="O936" s="33">
        <f>IF($R$905="","",INDEX(전체채점!AG$3:AG$62,$R$905))</f>
        <v/>
      </c>
      <c r="P936" s="33">
        <f>IF($R$905="","",INDEX(전체채점!AH$3:AH$62,$R$905))</f>
        <v/>
      </c>
    </row>
    <row r="937">
      <c r="A937" s="52" t="inlineStr">
        <is>
          <t>정오</t>
        </is>
      </c>
      <c r="B937" s="33">
        <f>IF($R$905="","",INDEX(전체채점!BM$3:BM$62,$R$905))</f>
        <v/>
      </c>
      <c r="C937" s="33">
        <f>IF($R$905="","",INDEX(전체채점!BN$3:BN$62,$R$905))</f>
        <v/>
      </c>
      <c r="D937" s="33">
        <f>IF($R$905="","",INDEX(전체채점!BO$3:BO$62,$R$905))</f>
        <v/>
      </c>
      <c r="E937" s="33">
        <f>IF($R$905="","",INDEX(전체채점!BP$3:BP$62,$R$905))</f>
        <v/>
      </c>
      <c r="F937" s="33">
        <f>IF($R$905="","",INDEX(전체채점!BQ$3:BQ$62,$R$905))</f>
        <v/>
      </c>
      <c r="G937" s="33">
        <f>IF($R$905="","",INDEX(전체채점!BR$3:BR$62,$R$905))</f>
        <v/>
      </c>
      <c r="H937" s="33">
        <f>IF($R$905="","",INDEX(전체채점!BS$3:BS$62,$R$905))</f>
        <v/>
      </c>
      <c r="I937" s="33">
        <f>IF($R$905="","",INDEX(전체채점!BT$3:BT$62,$R$905))</f>
        <v/>
      </c>
      <c r="J937" s="33">
        <f>IF($R$905="","",INDEX(전체채점!BU$3:BU$62,$R$905))</f>
        <v/>
      </c>
      <c r="K937" s="33">
        <f>IF($R$905="","",INDEX(전체채점!BV$3:BV$62,$R$905))</f>
        <v/>
      </c>
      <c r="L937" s="33">
        <f>IF($R$905="","",INDEX(전체채점!BW$3:BW$62,$R$905))</f>
        <v/>
      </c>
      <c r="M937" s="33">
        <f>IF($R$905="","",INDEX(전체채점!BX$3:BX$62,$R$905))</f>
        <v/>
      </c>
      <c r="N937" s="33">
        <f>IF($R$905="","",INDEX(전체채점!BY$3:BY$62,$R$905))</f>
        <v/>
      </c>
      <c r="O937" s="33">
        <f>IF($R$905="","",INDEX(전체채점!BZ$3:BZ$62,$R$905))</f>
        <v/>
      </c>
      <c r="P937" s="33">
        <f>IF($R$905="","",INDEX(전체채점!CA$3:CA$62,$R$905))</f>
        <v/>
      </c>
    </row>
    <row r="938">
      <c r="A938" s="50" t="inlineStr">
        <is>
          <t>문항 번호</t>
        </is>
      </c>
      <c r="B938" s="51" t="n">
        <v>31</v>
      </c>
      <c r="C938" s="51" t="n">
        <v>32</v>
      </c>
      <c r="D938" s="51" t="n">
        <v>33</v>
      </c>
      <c r="E938" s="51" t="n">
        <v>34</v>
      </c>
      <c r="F938" s="51" t="n">
        <v>35</v>
      </c>
      <c r="G938" s="51" t="n">
        <v>36</v>
      </c>
      <c r="H938" s="51" t="n">
        <v>37</v>
      </c>
      <c r="I938" s="51" t="n">
        <v>38</v>
      </c>
      <c r="J938" s="51" t="n">
        <v>39</v>
      </c>
      <c r="K938" s="51" t="n">
        <v>40</v>
      </c>
      <c r="L938" s="51" t="n">
        <v>41</v>
      </c>
      <c r="M938" s="51" t="n">
        <v>42</v>
      </c>
      <c r="N938" s="51" t="n">
        <v>43</v>
      </c>
      <c r="O938" s="51" t="n">
        <v>44</v>
      </c>
      <c r="P938" s="51" t="n">
        <v>45</v>
      </c>
    </row>
    <row r="939">
      <c r="A939" s="52" t="inlineStr">
        <is>
          <t>정답</t>
        </is>
      </c>
      <c r="B939" s="33">
        <f>IF($R$906="","",IF($R$906="언어와 매체",자동계산!$D$34,자동계산!$B$34))</f>
        <v/>
      </c>
      <c r="C939" s="33">
        <f>IF($R$906="","",IF($R$906="언어와 매체",자동계산!$D$35,자동계산!$B$35))</f>
        <v/>
      </c>
      <c r="D939" s="33">
        <f>IF($R$906="","",IF($R$906="언어와 매체",자동계산!$D$36,자동계산!$B$36))</f>
        <v/>
      </c>
      <c r="E939" s="33">
        <f>IF($R$906="","",IF($R$906="언어와 매체",자동계산!$D$37,자동계산!$B$37))</f>
        <v/>
      </c>
      <c r="F939" s="33">
        <f>IF($R$906="","",IF($R$906="언어와 매체",자동계산!$D$38,자동계산!$B$38))</f>
        <v/>
      </c>
      <c r="G939" s="33">
        <f>IF($R$906="","",IF($R$906="언어와 매체",자동계산!$D$39,자동계산!$B$39))</f>
        <v/>
      </c>
      <c r="H939" s="33">
        <f>IF($R$906="","",IF($R$906="언어와 매체",자동계산!$D$40,자동계산!$B$40))</f>
        <v/>
      </c>
      <c r="I939" s="33">
        <f>IF($R$906="","",IF($R$906="언어와 매체",자동계산!$D$41,자동계산!$B$41))</f>
        <v/>
      </c>
      <c r="J939" s="33">
        <f>IF($R$906="","",IF($R$906="언어와 매체",자동계산!$D$42,자동계산!$B$42))</f>
        <v/>
      </c>
      <c r="K939" s="33">
        <f>IF($R$906="","",IF($R$906="언어와 매체",자동계산!$D$43,자동계산!$B$43))</f>
        <v/>
      </c>
      <c r="L939" s="33">
        <f>IF($R$906="","",IF($R$906="언어와 매체",자동계산!$D$44,자동계산!$B$44))</f>
        <v/>
      </c>
      <c r="M939" s="33">
        <f>IF($R$906="","",IF($R$906="언어와 매체",자동계산!$D$45,자동계산!$B$45))</f>
        <v/>
      </c>
      <c r="N939" s="33">
        <f>IF($R$906="","",IF($R$906="언어와 매체",자동계산!$D$46,자동계산!$B$46))</f>
        <v/>
      </c>
      <c r="O939" s="33">
        <f>IF($R$906="","",IF($R$906="언어와 매체",자동계산!$D$47,자동계산!$B$47))</f>
        <v/>
      </c>
      <c r="P939" s="33">
        <f>IF($R$906="","",IF($R$906="언어와 매체",자동계산!$D$48,자동계산!$B$48))</f>
        <v/>
      </c>
    </row>
    <row r="940">
      <c r="A940" s="52" t="inlineStr">
        <is>
          <t>학생답안</t>
        </is>
      </c>
      <c r="B940" s="33">
        <f>IF($R$905="","",INDEX(전체채점!AI$3:AI$62,$R$905))</f>
        <v/>
      </c>
      <c r="C940" s="33">
        <f>IF($R$905="","",INDEX(전체채점!AJ$3:AJ$62,$R$905))</f>
        <v/>
      </c>
      <c r="D940" s="33">
        <f>IF($R$905="","",INDEX(전체채점!AK$3:AK$62,$R$905))</f>
        <v/>
      </c>
      <c r="E940" s="33">
        <f>IF($R$905="","",INDEX(전체채점!AL$3:AL$62,$R$905))</f>
        <v/>
      </c>
      <c r="F940" s="33">
        <f>IF($R$905="","",INDEX(전체채점!AM$3:AM$62,$R$905))</f>
        <v/>
      </c>
      <c r="G940" s="33">
        <f>IF($R$905="","",INDEX(전체채점!AN$3:AN$62,$R$905))</f>
        <v/>
      </c>
      <c r="H940" s="33">
        <f>IF($R$905="","",INDEX(전체채점!AO$3:AO$62,$R$905))</f>
        <v/>
      </c>
      <c r="I940" s="33">
        <f>IF($R$905="","",INDEX(전체채점!AP$3:AP$62,$R$905))</f>
        <v/>
      </c>
      <c r="J940" s="33">
        <f>IF($R$905="","",INDEX(전체채점!AQ$3:AQ$62,$R$905))</f>
        <v/>
      </c>
      <c r="K940" s="33">
        <f>IF($R$905="","",INDEX(전체채점!AR$3:AR$62,$R$905))</f>
        <v/>
      </c>
      <c r="L940" s="33">
        <f>IF($R$905="","",INDEX(전체채점!AS$3:AS$62,$R$905))</f>
        <v/>
      </c>
      <c r="M940" s="33">
        <f>IF($R$905="","",INDEX(전체채점!AT$3:AT$62,$R$905))</f>
        <v/>
      </c>
      <c r="N940" s="33">
        <f>IF($R$905="","",INDEX(전체채점!AU$3:AU$62,$R$905))</f>
        <v/>
      </c>
      <c r="O940" s="33">
        <f>IF($R$905="","",INDEX(전체채점!AV$3:AV$62,$R$905))</f>
        <v/>
      </c>
      <c r="P940" s="33">
        <f>IF($R$905="","",INDEX(전체채점!AW$3:AW$62,$R$905))</f>
        <v/>
      </c>
    </row>
    <row r="941">
      <c r="A941" s="52" t="inlineStr">
        <is>
          <t>정오</t>
        </is>
      </c>
      <c r="B941" s="33">
        <f>IF($R$905="","",INDEX(전체채점!CB$3:CB$62,$R$905))</f>
        <v/>
      </c>
      <c r="C941" s="33">
        <f>IF($R$905="","",INDEX(전체채점!CC$3:CC$62,$R$905))</f>
        <v/>
      </c>
      <c r="D941" s="33">
        <f>IF($R$905="","",INDEX(전체채점!CD$3:CD$62,$R$905))</f>
        <v/>
      </c>
      <c r="E941" s="33">
        <f>IF($R$905="","",INDEX(전체채점!CE$3:CE$62,$R$905))</f>
        <v/>
      </c>
      <c r="F941" s="33">
        <f>IF($R$905="","",INDEX(전체채점!CF$3:CF$62,$R$905))</f>
        <v/>
      </c>
      <c r="G941" s="33">
        <f>IF($R$905="","",INDEX(전체채점!CG$3:CG$62,$R$905))</f>
        <v/>
      </c>
      <c r="H941" s="33">
        <f>IF($R$905="","",INDEX(전체채점!CH$3:CH$62,$R$905))</f>
        <v/>
      </c>
      <c r="I941" s="33">
        <f>IF($R$905="","",INDEX(전체채점!CI$3:CI$62,$R$905))</f>
        <v/>
      </c>
      <c r="J941" s="33">
        <f>IF($R$905="","",INDEX(전체채점!CJ$3:CJ$62,$R$905))</f>
        <v/>
      </c>
      <c r="K941" s="33">
        <f>IF($R$905="","",INDEX(전체채점!CK$3:CK$62,$R$905))</f>
        <v/>
      </c>
      <c r="L941" s="33">
        <f>IF($R$905="","",INDEX(전체채점!CL$3:CL$62,$R$905))</f>
        <v/>
      </c>
      <c r="M941" s="33">
        <f>IF($R$905="","",INDEX(전체채점!CM$3:CM$62,$R$905))</f>
        <v/>
      </c>
      <c r="N941" s="33">
        <f>IF($R$905="","",INDEX(전체채점!CN$3:CN$62,$R$905))</f>
        <v/>
      </c>
      <c r="O941" s="33">
        <f>IF($R$905="","",INDEX(전체채점!CO$3:CO$62,$R$905))</f>
        <v/>
      </c>
      <c r="P941" s="33">
        <f>IF($R$905="","",INDEX(전체채점!CP$3:CP$62,$R$905))</f>
        <v/>
      </c>
    </row>
    <row r="944" ht="34" customHeight="1">
      <c r="A944" s="36">
        <f>IF($R$946="","",회차설정!$B$2&amp;" 성적표")</f>
        <v/>
      </c>
    </row>
    <row r="946">
      <c r="A946" s="12" t="inlineStr">
        <is>
          <t>1. 학생정보</t>
        </is>
      </c>
      <c r="R946" s="37">
        <f>IF(답안입력!$A$26="","",24)</f>
        <v/>
      </c>
      <c r="S946" s="37">
        <f>IF($R$947="","",IFERROR(IF($R$947="언어와 매체",MATCH(1,회차설정!$G$13:$G$27,0),MATCH(1,회차설정!$F$13:$F$27,0)),""))</f>
        <v/>
      </c>
    </row>
    <row r="947">
      <c r="A947" s="13" t="inlineStr">
        <is>
          <t>성명</t>
        </is>
      </c>
      <c r="B947" s="7" t="n"/>
      <c r="C947" s="8" t="n"/>
      <c r="D947" s="13" t="inlineStr">
        <is>
          <t>선택과목</t>
        </is>
      </c>
      <c r="E947" s="7" t="n"/>
      <c r="F947" s="7" t="n"/>
      <c r="G947" s="8" t="n"/>
      <c r="H947" s="13" t="inlineStr">
        <is>
          <t>학년</t>
        </is>
      </c>
      <c r="I947" s="7" t="n"/>
      <c r="J947" s="7" t="n"/>
      <c r="K947" s="8" t="n"/>
      <c r="L947" s="13" t="inlineStr">
        <is>
          <t>시행일</t>
        </is>
      </c>
      <c r="M947" s="7" t="n"/>
      <c r="N947" s="7" t="n"/>
      <c r="O947" s="7" t="n"/>
      <c r="P947" s="8" t="n"/>
      <c r="R947" s="37">
        <f>IF($R$946="","",INDEX(전체채점!$B$3:$B$62,$R$946))</f>
        <v/>
      </c>
      <c r="S947" s="37">
        <f>IF($R$947="","",IFERROR(IF($R$947="언어와 매체",MATCH(2,회차설정!$G$13:$G$27,0),MATCH(2,회차설정!$F$13:$F$27,0)),""))</f>
        <v/>
      </c>
    </row>
    <row r="948" ht="26" customHeight="1">
      <c r="A948" s="39">
        <f>IF($R$946="","",INDEX(답안입력!$A$3:$A$62,$R$946))</f>
        <v/>
      </c>
      <c r="B948" s="7" t="n"/>
      <c r="C948" s="8" t="n"/>
      <c r="D948" s="39">
        <f>IF($R$946="","",INDEX(답안입력!$C$3:$C$62,$R$946))</f>
        <v/>
      </c>
      <c r="E948" s="7" t="n"/>
      <c r="F948" s="7" t="n"/>
      <c r="G948" s="8" t="n"/>
      <c r="H948" s="39">
        <f>IF($R$946="","",INDEX(답안입력!$B$3:$B$62,$R$946))</f>
        <v/>
      </c>
      <c r="I948" s="7" t="n"/>
      <c r="J948" s="7" t="n"/>
      <c r="K948" s="8" t="n"/>
      <c r="L948" s="40">
        <f>회차설정!$B$3</f>
        <v/>
      </c>
      <c r="M948" s="7" t="n"/>
      <c r="N948" s="7" t="n"/>
      <c r="O948" s="7" t="n"/>
      <c r="P948" s="8" t="n"/>
      <c r="R948" s="37">
        <f>IF($R$947="언어와 매체",회차설정!$B$9,회차설정!$B$8)</f>
        <v/>
      </c>
      <c r="S948" s="37">
        <f>IF($R$947="","",IFERROR(IF($R$947="언어와 매체",MATCH(3,회차설정!$G$13:$G$27,0),MATCH(3,회차설정!$F$13:$F$27,0)),""))</f>
        <v/>
      </c>
    </row>
    <row r="949">
      <c r="R949" s="37">
        <f>IF($R$947="언어와 매체",회차설정!$C$9,회차설정!$C$8)</f>
        <v/>
      </c>
      <c r="S949" s="37">
        <f>IF($R$947="","",IFERROR(IF($R$947="언어와 매체",MATCH(4,회차설정!$G$13:$G$27,0),MATCH(4,회차설정!$F$13:$F$27,0)),""))</f>
        <v/>
      </c>
    </row>
    <row r="950">
      <c r="A950" s="12" t="inlineStr">
        <is>
          <t>2. 성적</t>
        </is>
      </c>
      <c r="R950" s="37">
        <f>IF($R$947="언어와 매체",회차설정!$D$9,회차설정!$D$8)</f>
        <v/>
      </c>
      <c r="S950" s="37">
        <f>IF($R$947="","",IFERROR(IF($R$947="언어와 매체",MATCH(5,회차설정!$G$13:$G$27,0),MATCH(5,회차설정!$F$13:$F$27,0)),""))</f>
        <v/>
      </c>
    </row>
    <row r="951">
      <c r="A951" s="13" t="inlineStr">
        <is>
          <t>점수 (100점 만점)</t>
        </is>
      </c>
      <c r="B951" s="7" t="n"/>
      <c r="C951" s="7" t="n"/>
      <c r="D951" s="7" t="n"/>
      <c r="E951" s="8" t="n"/>
      <c r="F951" s="13" t="inlineStr">
        <is>
          <t>등급</t>
        </is>
      </c>
      <c r="G951" s="7" t="n"/>
      <c r="H951" s="8" t="n"/>
      <c r="I951" s="13" t="inlineStr">
        <is>
          <t>등급컷</t>
        </is>
      </c>
      <c r="J951" s="7" t="n"/>
      <c r="K951" s="7" t="n"/>
      <c r="L951" s="8" t="n"/>
      <c r="M951" s="13" t="inlineStr">
        <is>
          <t>같은 선택과목 평균</t>
        </is>
      </c>
      <c r="N951" s="7" t="n"/>
      <c r="O951" s="7" t="n"/>
      <c r="P951" s="8" t="n"/>
      <c r="R951" s="37">
        <f>IF($R$947="언어와 매체",회차설정!$E$9,회차설정!$E$8)</f>
        <v/>
      </c>
      <c r="S951" s="37">
        <f>IF($R$947="","",IFERROR(IF($R$947="언어와 매체",MATCH(6,회차설정!$G$13:$G$27,0),MATCH(6,회차설정!$F$13:$F$27,0)),""))</f>
        <v/>
      </c>
    </row>
    <row r="952" ht="34" customHeight="1">
      <c r="A952" s="41">
        <f>IF($R$946="","",INDEX(전체채점!$C$3:$C$62,$R$946))</f>
        <v/>
      </c>
      <c r="B952" s="7" t="n"/>
      <c r="C952" s="7" t="n"/>
      <c r="D952" s="7" t="n"/>
      <c r="E952" s="8" t="n"/>
      <c r="F952" s="42">
        <f>IF($R$946="","",INDEX(전체채점!$D$3:$D$62,$R$946))</f>
        <v/>
      </c>
      <c r="G952" s="7" t="n"/>
      <c r="H952" s="8" t="n"/>
      <c r="I952" s="43">
        <f>IF($R$946="","",$R$948&amp;"-"&amp;$R$949&amp;"-"&amp;$R$950&amp;"-"&amp;$R$951)</f>
        <v/>
      </c>
      <c r="J952" s="7" t="n"/>
      <c r="K952" s="7" t="n"/>
      <c r="L952" s="8" t="n"/>
      <c r="M952" s="44">
        <f>IFERROR(AVERAGEIF(전체채점!$B$3:$B$62,$R$947,전체채점!$C$3:$C$62),"")</f>
        <v/>
      </c>
      <c r="N952" s="7" t="n"/>
      <c r="O952" s="7" t="n"/>
      <c r="P952" s="8" t="n"/>
      <c r="S952" s="37">
        <f>IF($R$947="","",IFERROR(IF($R$947="언어와 매체",MATCH(7,회차설정!$G$13:$G$27,0),MATCH(7,회차설정!$F$13:$F$27,0)),""))</f>
        <v/>
      </c>
    </row>
    <row r="953">
      <c r="S953" s="37">
        <f>IF($R$947="","",IFERROR(IF($R$947="언어와 매체",MATCH(8,회차설정!$G$13:$G$27,0),MATCH(8,회차설정!$F$13:$F$27,0)),""))</f>
        <v/>
      </c>
    </row>
    <row r="954">
      <c r="A954" s="12" t="inlineStr">
        <is>
          <t>3. 영역분류별 성취도 분석</t>
        </is>
      </c>
      <c r="F954" s="45">
        <f>IF(OR($R$946="",$E968=""),"",IF($E968=INDEX(전체채점!$C$3:$C$62,$R$946),"","※ 회차설정의 영역 표를 확인하세요 — 영역 합계와 점수가 다릅니다"))</f>
        <v/>
      </c>
      <c r="S954" s="37">
        <f>IF($R$947="","",IFERROR(IF($R$947="언어와 매체",MATCH(9,회차설정!$G$13:$G$27,0),MATCH(9,회차설정!$F$13:$F$27,0)),""))</f>
        <v/>
      </c>
    </row>
    <row r="955">
      <c r="A955" s="13" t="inlineStr">
        <is>
          <t>분류</t>
        </is>
      </c>
      <c r="B955" s="13" t="inlineStr">
        <is>
          <t>영역</t>
        </is>
      </c>
      <c r="C955" s="8" t="n"/>
      <c r="D955" s="13" t="inlineStr">
        <is>
          <t>배점</t>
        </is>
      </c>
      <c r="E955" s="13" t="inlineStr">
        <is>
          <t>득점</t>
        </is>
      </c>
      <c r="F955" s="13" t="inlineStr">
        <is>
          <t>성취도(%)</t>
        </is>
      </c>
      <c r="G955" s="8" t="n"/>
      <c r="H955" s="13" t="inlineStr"/>
      <c r="I955" s="7" t="n"/>
      <c r="J955" s="7" t="n"/>
      <c r="K955" s="7" t="n"/>
      <c r="L955" s="7" t="n"/>
      <c r="M955" s="7" t="n"/>
      <c r="N955" s="7" t="n"/>
      <c r="O955" s="7" t="n"/>
      <c r="P955" s="8" t="n"/>
      <c r="S955" s="37">
        <f>IF($R$947="","",IFERROR(IF($R$947="언어와 매체",MATCH(10,회차설정!$G$13:$G$27,0),MATCH(10,회차설정!$F$13:$F$27,0)),""))</f>
        <v/>
      </c>
    </row>
    <row r="956">
      <c r="A956" s="14">
        <f>IF($S$946="","",INDEX(회차설정!$A$13:$A$27,$S$946))</f>
        <v/>
      </c>
      <c r="B956" s="14">
        <f>IF($S$946="","",INDEX(회차설정!$B$13:$B$27,$S$946))</f>
        <v/>
      </c>
      <c r="C956" s="8" t="n"/>
      <c r="D956" s="14">
        <f>IF($S$946="","",IF($R$947="언어와 매체",SUMPRODUCT((자동계산!$A$4:$A$48&gt;=INDEX(회차설정!$C$13:$C$27,$S$946))*(자동계산!$A$4:$A$48&lt;=INDEX(회차설정!$D$13:$D$27,$S$946))*자동계산!$E$4:$E$48),SUMPRODUCT((자동계산!$A$4:$A$48&gt;=INDEX(회차설정!$C$13:$C$27,$S$946))*(자동계산!$A$4:$A$48&lt;=INDEX(회차설정!$D$13:$D$27,$S$946))*자동계산!$C$4:$C$48)))</f>
        <v/>
      </c>
      <c r="E956" s="14">
        <f>IF(OR($S$946="",$R$946=""),"",SUM(OFFSET(전체채점!$AW$2,$R$946,INDEX(회차설정!$C$13:$C$27,$S$946),1,INDEX(회차설정!$D$13:$D$27,$S$946)-INDEX(회차설정!$C$13:$C$27,$S$946)+1)))</f>
        <v/>
      </c>
      <c r="F956" s="46">
        <f>IF(OR($S$946="",$D956=0,$D956="",$E956=""),"",$E956/$D956*100)</f>
        <v/>
      </c>
      <c r="G956" s="8" t="n"/>
      <c r="H956" s="47">
        <f>IF($F956="","",REPT("■",ROUND($F956/5,0)))</f>
        <v/>
      </c>
      <c r="I956" s="7" t="n"/>
      <c r="J956" s="7" t="n"/>
      <c r="K956" s="7" t="n"/>
      <c r="L956" s="7" t="n"/>
      <c r="M956" s="7" t="n"/>
      <c r="N956" s="7" t="n"/>
      <c r="O956" s="7" t="n"/>
      <c r="P956" s="8" t="n"/>
      <c r="S956" s="37">
        <f>IF($R$947="","",IFERROR(IF($R$947="언어와 매체",MATCH(11,회차설정!$G$13:$G$27,0),MATCH(11,회차설정!$F$13:$F$27,0)),""))</f>
        <v/>
      </c>
    </row>
    <row r="957">
      <c r="A957" s="14">
        <f>IF($S$947="","",INDEX(회차설정!$A$13:$A$27,$S$947))</f>
        <v/>
      </c>
      <c r="B957" s="14">
        <f>IF($S$947="","",INDEX(회차설정!$B$13:$B$27,$S$947))</f>
        <v/>
      </c>
      <c r="C957" s="8" t="n"/>
      <c r="D957" s="14">
        <f>IF($S$947="","",IF($R$947="언어와 매체",SUMPRODUCT((자동계산!$A$4:$A$48&gt;=INDEX(회차설정!$C$13:$C$27,$S$947))*(자동계산!$A$4:$A$48&lt;=INDEX(회차설정!$D$13:$D$27,$S$947))*자동계산!$E$4:$E$48),SUMPRODUCT((자동계산!$A$4:$A$48&gt;=INDEX(회차설정!$C$13:$C$27,$S$947))*(자동계산!$A$4:$A$48&lt;=INDEX(회차설정!$D$13:$D$27,$S$947))*자동계산!$C$4:$C$48)))</f>
        <v/>
      </c>
      <c r="E957" s="14">
        <f>IF(OR($S$947="",$R$946=""),"",SUM(OFFSET(전체채점!$AW$2,$R$946,INDEX(회차설정!$C$13:$C$27,$S$947),1,INDEX(회차설정!$D$13:$D$27,$S$947)-INDEX(회차설정!$C$13:$C$27,$S$947)+1)))</f>
        <v/>
      </c>
      <c r="F957" s="46">
        <f>IF(OR($S$947="",$D957=0,$D957="",$E957=""),"",$E957/$D957*100)</f>
        <v/>
      </c>
      <c r="G957" s="8" t="n"/>
      <c r="H957" s="47">
        <f>IF($F957="","",REPT("■",ROUND($F957/5,0)))</f>
        <v/>
      </c>
      <c r="I957" s="7" t="n"/>
      <c r="J957" s="7" t="n"/>
      <c r="K957" s="7" t="n"/>
      <c r="L957" s="7" t="n"/>
      <c r="M957" s="7" t="n"/>
      <c r="N957" s="7" t="n"/>
      <c r="O957" s="7" t="n"/>
      <c r="P957" s="8" t="n"/>
      <c r="S957" s="37">
        <f>IF($R$947="","",IFERROR(IF($R$947="언어와 매체",MATCH(12,회차설정!$G$13:$G$27,0),MATCH(12,회차설정!$F$13:$F$27,0)),""))</f>
        <v/>
      </c>
    </row>
    <row r="958">
      <c r="A958" s="14">
        <f>IF($S$948="","",INDEX(회차설정!$A$13:$A$27,$S$948))</f>
        <v/>
      </c>
      <c r="B958" s="14">
        <f>IF($S$948="","",INDEX(회차설정!$B$13:$B$27,$S$948))</f>
        <v/>
      </c>
      <c r="C958" s="8" t="n"/>
      <c r="D958" s="14">
        <f>IF($S$948="","",IF($R$947="언어와 매체",SUMPRODUCT((자동계산!$A$4:$A$48&gt;=INDEX(회차설정!$C$13:$C$27,$S$948))*(자동계산!$A$4:$A$48&lt;=INDEX(회차설정!$D$13:$D$27,$S$948))*자동계산!$E$4:$E$48),SUMPRODUCT((자동계산!$A$4:$A$48&gt;=INDEX(회차설정!$C$13:$C$27,$S$948))*(자동계산!$A$4:$A$48&lt;=INDEX(회차설정!$D$13:$D$27,$S$948))*자동계산!$C$4:$C$48)))</f>
        <v/>
      </c>
      <c r="E958" s="14">
        <f>IF(OR($S$948="",$R$946=""),"",SUM(OFFSET(전체채점!$AW$2,$R$946,INDEX(회차설정!$C$13:$C$27,$S$948),1,INDEX(회차설정!$D$13:$D$27,$S$948)-INDEX(회차설정!$C$13:$C$27,$S$948)+1)))</f>
        <v/>
      </c>
      <c r="F958" s="46">
        <f>IF(OR($S$948="",$D958=0,$D958="",$E958=""),"",$E958/$D958*100)</f>
        <v/>
      </c>
      <c r="G958" s="8" t="n"/>
      <c r="H958" s="47">
        <f>IF($F958="","",REPT("■",ROUND($F958/5,0)))</f>
        <v/>
      </c>
      <c r="I958" s="7" t="n"/>
      <c r="J958" s="7" t="n"/>
      <c r="K958" s="7" t="n"/>
      <c r="L958" s="7" t="n"/>
      <c r="M958" s="7" t="n"/>
      <c r="N958" s="7" t="n"/>
      <c r="O958" s="7" t="n"/>
      <c r="P958" s="8" t="n"/>
    </row>
    <row r="959">
      <c r="A959" s="14">
        <f>IF($S$949="","",INDEX(회차설정!$A$13:$A$27,$S$949))</f>
        <v/>
      </c>
      <c r="B959" s="14">
        <f>IF($S$949="","",INDEX(회차설정!$B$13:$B$27,$S$949))</f>
        <v/>
      </c>
      <c r="C959" s="8" t="n"/>
      <c r="D959" s="14">
        <f>IF($S$949="","",IF($R$947="언어와 매체",SUMPRODUCT((자동계산!$A$4:$A$48&gt;=INDEX(회차설정!$C$13:$C$27,$S$949))*(자동계산!$A$4:$A$48&lt;=INDEX(회차설정!$D$13:$D$27,$S$949))*자동계산!$E$4:$E$48),SUMPRODUCT((자동계산!$A$4:$A$48&gt;=INDEX(회차설정!$C$13:$C$27,$S$949))*(자동계산!$A$4:$A$48&lt;=INDEX(회차설정!$D$13:$D$27,$S$949))*자동계산!$C$4:$C$48)))</f>
        <v/>
      </c>
      <c r="E959" s="14">
        <f>IF(OR($S$949="",$R$946=""),"",SUM(OFFSET(전체채점!$AW$2,$R$946,INDEX(회차설정!$C$13:$C$27,$S$949),1,INDEX(회차설정!$D$13:$D$27,$S$949)-INDEX(회차설정!$C$13:$C$27,$S$949)+1)))</f>
        <v/>
      </c>
      <c r="F959" s="46">
        <f>IF(OR($S$949="",$D959=0,$D959="",$E959=""),"",$E959/$D959*100)</f>
        <v/>
      </c>
      <c r="G959" s="8" t="n"/>
      <c r="H959" s="47">
        <f>IF($F959="","",REPT("■",ROUND($F959/5,0)))</f>
        <v/>
      </c>
      <c r="I959" s="7" t="n"/>
      <c r="J959" s="7" t="n"/>
      <c r="K959" s="7" t="n"/>
      <c r="L959" s="7" t="n"/>
      <c r="M959" s="7" t="n"/>
      <c r="N959" s="7" t="n"/>
      <c r="O959" s="7" t="n"/>
      <c r="P959" s="8" t="n"/>
    </row>
    <row r="960">
      <c r="A960" s="14">
        <f>IF($S$950="","",INDEX(회차설정!$A$13:$A$27,$S$950))</f>
        <v/>
      </c>
      <c r="B960" s="14">
        <f>IF($S$950="","",INDEX(회차설정!$B$13:$B$27,$S$950))</f>
        <v/>
      </c>
      <c r="C960" s="8" t="n"/>
      <c r="D960" s="14">
        <f>IF($S$950="","",IF($R$947="언어와 매체",SUMPRODUCT((자동계산!$A$4:$A$48&gt;=INDEX(회차설정!$C$13:$C$27,$S$950))*(자동계산!$A$4:$A$48&lt;=INDEX(회차설정!$D$13:$D$27,$S$950))*자동계산!$E$4:$E$48),SUMPRODUCT((자동계산!$A$4:$A$48&gt;=INDEX(회차설정!$C$13:$C$27,$S$950))*(자동계산!$A$4:$A$48&lt;=INDEX(회차설정!$D$13:$D$27,$S$950))*자동계산!$C$4:$C$48)))</f>
        <v/>
      </c>
      <c r="E960" s="14">
        <f>IF(OR($S$950="",$R$946=""),"",SUM(OFFSET(전체채점!$AW$2,$R$946,INDEX(회차설정!$C$13:$C$27,$S$950),1,INDEX(회차설정!$D$13:$D$27,$S$950)-INDEX(회차설정!$C$13:$C$27,$S$950)+1)))</f>
        <v/>
      </c>
      <c r="F960" s="46">
        <f>IF(OR($S$950="",$D960=0,$D960="",$E960=""),"",$E960/$D960*100)</f>
        <v/>
      </c>
      <c r="G960" s="8" t="n"/>
      <c r="H960" s="47">
        <f>IF($F960="","",REPT("■",ROUND($F960/5,0)))</f>
        <v/>
      </c>
      <c r="I960" s="7" t="n"/>
      <c r="J960" s="7" t="n"/>
      <c r="K960" s="7" t="n"/>
      <c r="L960" s="7" t="n"/>
      <c r="M960" s="7" t="n"/>
      <c r="N960" s="7" t="n"/>
      <c r="O960" s="7" t="n"/>
      <c r="P960" s="8" t="n"/>
    </row>
    <row r="961">
      <c r="A961" s="14">
        <f>IF($S$951="","",INDEX(회차설정!$A$13:$A$27,$S$951))</f>
        <v/>
      </c>
      <c r="B961" s="14">
        <f>IF($S$951="","",INDEX(회차설정!$B$13:$B$27,$S$951))</f>
        <v/>
      </c>
      <c r="C961" s="8" t="n"/>
      <c r="D961" s="14">
        <f>IF($S$951="","",IF($R$947="언어와 매체",SUMPRODUCT((자동계산!$A$4:$A$48&gt;=INDEX(회차설정!$C$13:$C$27,$S$951))*(자동계산!$A$4:$A$48&lt;=INDEX(회차설정!$D$13:$D$27,$S$951))*자동계산!$E$4:$E$48),SUMPRODUCT((자동계산!$A$4:$A$48&gt;=INDEX(회차설정!$C$13:$C$27,$S$951))*(자동계산!$A$4:$A$48&lt;=INDEX(회차설정!$D$13:$D$27,$S$951))*자동계산!$C$4:$C$48)))</f>
        <v/>
      </c>
      <c r="E961" s="14">
        <f>IF(OR($S$951="",$R$946=""),"",SUM(OFFSET(전체채점!$AW$2,$R$946,INDEX(회차설정!$C$13:$C$27,$S$951),1,INDEX(회차설정!$D$13:$D$27,$S$951)-INDEX(회차설정!$C$13:$C$27,$S$951)+1)))</f>
        <v/>
      </c>
      <c r="F961" s="46">
        <f>IF(OR($S$951="",$D961=0,$D961="",$E961=""),"",$E961/$D961*100)</f>
        <v/>
      </c>
      <c r="G961" s="8" t="n"/>
      <c r="H961" s="47">
        <f>IF($F961="","",REPT("■",ROUND($F961/5,0)))</f>
        <v/>
      </c>
      <c r="I961" s="7" t="n"/>
      <c r="J961" s="7" t="n"/>
      <c r="K961" s="7" t="n"/>
      <c r="L961" s="7" t="n"/>
      <c r="M961" s="7" t="n"/>
      <c r="N961" s="7" t="n"/>
      <c r="O961" s="7" t="n"/>
      <c r="P961" s="8" t="n"/>
    </row>
    <row r="962">
      <c r="A962" s="14">
        <f>IF($S$952="","",INDEX(회차설정!$A$13:$A$27,$S$952))</f>
        <v/>
      </c>
      <c r="B962" s="14">
        <f>IF($S$952="","",INDEX(회차설정!$B$13:$B$27,$S$952))</f>
        <v/>
      </c>
      <c r="C962" s="8" t="n"/>
      <c r="D962" s="14">
        <f>IF($S$952="","",IF($R$947="언어와 매체",SUMPRODUCT((자동계산!$A$4:$A$48&gt;=INDEX(회차설정!$C$13:$C$27,$S$952))*(자동계산!$A$4:$A$48&lt;=INDEX(회차설정!$D$13:$D$27,$S$952))*자동계산!$E$4:$E$48),SUMPRODUCT((자동계산!$A$4:$A$48&gt;=INDEX(회차설정!$C$13:$C$27,$S$952))*(자동계산!$A$4:$A$48&lt;=INDEX(회차설정!$D$13:$D$27,$S$952))*자동계산!$C$4:$C$48)))</f>
        <v/>
      </c>
      <c r="E962" s="14">
        <f>IF(OR($S$952="",$R$946=""),"",SUM(OFFSET(전체채점!$AW$2,$R$946,INDEX(회차설정!$C$13:$C$27,$S$952),1,INDEX(회차설정!$D$13:$D$27,$S$952)-INDEX(회차설정!$C$13:$C$27,$S$952)+1)))</f>
        <v/>
      </c>
      <c r="F962" s="46">
        <f>IF(OR($S$952="",$D962=0,$D962="",$E962=""),"",$E962/$D962*100)</f>
        <v/>
      </c>
      <c r="G962" s="8" t="n"/>
      <c r="H962" s="47">
        <f>IF($F962="","",REPT("■",ROUND($F962/5,0)))</f>
        <v/>
      </c>
      <c r="I962" s="7" t="n"/>
      <c r="J962" s="7" t="n"/>
      <c r="K962" s="7" t="n"/>
      <c r="L962" s="7" t="n"/>
      <c r="M962" s="7" t="n"/>
      <c r="N962" s="7" t="n"/>
      <c r="O962" s="7" t="n"/>
      <c r="P962" s="8" t="n"/>
    </row>
    <row r="963">
      <c r="A963" s="14">
        <f>IF($S$953="","",INDEX(회차설정!$A$13:$A$27,$S$953))</f>
        <v/>
      </c>
      <c r="B963" s="14">
        <f>IF($S$953="","",INDEX(회차설정!$B$13:$B$27,$S$953))</f>
        <v/>
      </c>
      <c r="C963" s="8" t="n"/>
      <c r="D963" s="14">
        <f>IF($S$953="","",IF($R$947="언어와 매체",SUMPRODUCT((자동계산!$A$4:$A$48&gt;=INDEX(회차설정!$C$13:$C$27,$S$953))*(자동계산!$A$4:$A$48&lt;=INDEX(회차설정!$D$13:$D$27,$S$953))*자동계산!$E$4:$E$48),SUMPRODUCT((자동계산!$A$4:$A$48&gt;=INDEX(회차설정!$C$13:$C$27,$S$953))*(자동계산!$A$4:$A$48&lt;=INDEX(회차설정!$D$13:$D$27,$S$953))*자동계산!$C$4:$C$48)))</f>
        <v/>
      </c>
      <c r="E963" s="14">
        <f>IF(OR($S$953="",$R$946=""),"",SUM(OFFSET(전체채점!$AW$2,$R$946,INDEX(회차설정!$C$13:$C$27,$S$953),1,INDEX(회차설정!$D$13:$D$27,$S$953)-INDEX(회차설정!$C$13:$C$27,$S$953)+1)))</f>
        <v/>
      </c>
      <c r="F963" s="46">
        <f>IF(OR($S$953="",$D963=0,$D963="",$E963=""),"",$E963/$D963*100)</f>
        <v/>
      </c>
      <c r="G963" s="8" t="n"/>
      <c r="H963" s="47">
        <f>IF($F963="","",REPT("■",ROUND($F963/5,0)))</f>
        <v/>
      </c>
      <c r="I963" s="7" t="n"/>
      <c r="J963" s="7" t="n"/>
      <c r="K963" s="7" t="n"/>
      <c r="L963" s="7" t="n"/>
      <c r="M963" s="7" t="n"/>
      <c r="N963" s="7" t="n"/>
      <c r="O963" s="7" t="n"/>
      <c r="P963" s="8" t="n"/>
    </row>
    <row r="964">
      <c r="A964" s="14">
        <f>IF($S$954="","",INDEX(회차설정!$A$13:$A$27,$S$954))</f>
        <v/>
      </c>
      <c r="B964" s="14">
        <f>IF($S$954="","",INDEX(회차설정!$B$13:$B$27,$S$954))</f>
        <v/>
      </c>
      <c r="C964" s="8" t="n"/>
      <c r="D964" s="14">
        <f>IF($S$954="","",IF($R$947="언어와 매체",SUMPRODUCT((자동계산!$A$4:$A$48&gt;=INDEX(회차설정!$C$13:$C$27,$S$954))*(자동계산!$A$4:$A$48&lt;=INDEX(회차설정!$D$13:$D$27,$S$954))*자동계산!$E$4:$E$48),SUMPRODUCT((자동계산!$A$4:$A$48&gt;=INDEX(회차설정!$C$13:$C$27,$S$954))*(자동계산!$A$4:$A$48&lt;=INDEX(회차설정!$D$13:$D$27,$S$954))*자동계산!$C$4:$C$48)))</f>
        <v/>
      </c>
      <c r="E964" s="14">
        <f>IF(OR($S$954="",$R$946=""),"",SUM(OFFSET(전체채점!$AW$2,$R$946,INDEX(회차설정!$C$13:$C$27,$S$954),1,INDEX(회차설정!$D$13:$D$27,$S$954)-INDEX(회차설정!$C$13:$C$27,$S$954)+1)))</f>
        <v/>
      </c>
      <c r="F964" s="46">
        <f>IF(OR($S$954="",$D964=0,$D964="",$E964=""),"",$E964/$D964*100)</f>
        <v/>
      </c>
      <c r="G964" s="8" t="n"/>
      <c r="H964" s="47">
        <f>IF($F964="","",REPT("■",ROUND($F964/5,0)))</f>
        <v/>
      </c>
      <c r="I964" s="7" t="n"/>
      <c r="J964" s="7" t="n"/>
      <c r="K964" s="7" t="n"/>
      <c r="L964" s="7" t="n"/>
      <c r="M964" s="7" t="n"/>
      <c r="N964" s="7" t="n"/>
      <c r="O964" s="7" t="n"/>
      <c r="P964" s="8" t="n"/>
    </row>
    <row r="965">
      <c r="A965" s="14">
        <f>IF($S$955="","",INDEX(회차설정!$A$13:$A$27,$S$955))</f>
        <v/>
      </c>
      <c r="B965" s="14">
        <f>IF($S$955="","",INDEX(회차설정!$B$13:$B$27,$S$955))</f>
        <v/>
      </c>
      <c r="C965" s="8" t="n"/>
      <c r="D965" s="14">
        <f>IF($S$955="","",IF($R$947="언어와 매체",SUMPRODUCT((자동계산!$A$4:$A$48&gt;=INDEX(회차설정!$C$13:$C$27,$S$955))*(자동계산!$A$4:$A$48&lt;=INDEX(회차설정!$D$13:$D$27,$S$955))*자동계산!$E$4:$E$48),SUMPRODUCT((자동계산!$A$4:$A$48&gt;=INDEX(회차설정!$C$13:$C$27,$S$955))*(자동계산!$A$4:$A$48&lt;=INDEX(회차설정!$D$13:$D$27,$S$955))*자동계산!$C$4:$C$48)))</f>
        <v/>
      </c>
      <c r="E965" s="14">
        <f>IF(OR($S$955="",$R$946=""),"",SUM(OFFSET(전체채점!$AW$2,$R$946,INDEX(회차설정!$C$13:$C$27,$S$955),1,INDEX(회차설정!$D$13:$D$27,$S$955)-INDEX(회차설정!$C$13:$C$27,$S$955)+1)))</f>
        <v/>
      </c>
      <c r="F965" s="46">
        <f>IF(OR($S$955="",$D965=0,$D965="",$E965=""),"",$E965/$D965*100)</f>
        <v/>
      </c>
      <c r="G965" s="8" t="n"/>
      <c r="H965" s="47">
        <f>IF($F965="","",REPT("■",ROUND($F965/5,0)))</f>
        <v/>
      </c>
      <c r="I965" s="7" t="n"/>
      <c r="J965" s="7" t="n"/>
      <c r="K965" s="7" t="n"/>
      <c r="L965" s="7" t="n"/>
      <c r="M965" s="7" t="n"/>
      <c r="N965" s="7" t="n"/>
      <c r="O965" s="7" t="n"/>
      <c r="P965" s="8" t="n"/>
    </row>
    <row r="966">
      <c r="A966" s="14">
        <f>IF($S$956="","",INDEX(회차설정!$A$13:$A$27,$S$956))</f>
        <v/>
      </c>
      <c r="B966" s="14">
        <f>IF($S$956="","",INDEX(회차설정!$B$13:$B$27,$S$956))</f>
        <v/>
      </c>
      <c r="C966" s="8" t="n"/>
      <c r="D966" s="14">
        <f>IF($S$956="","",IF($R$947="언어와 매체",SUMPRODUCT((자동계산!$A$4:$A$48&gt;=INDEX(회차설정!$C$13:$C$27,$S$956))*(자동계산!$A$4:$A$48&lt;=INDEX(회차설정!$D$13:$D$27,$S$956))*자동계산!$E$4:$E$48),SUMPRODUCT((자동계산!$A$4:$A$48&gt;=INDEX(회차설정!$C$13:$C$27,$S$956))*(자동계산!$A$4:$A$48&lt;=INDEX(회차설정!$D$13:$D$27,$S$956))*자동계산!$C$4:$C$48)))</f>
        <v/>
      </c>
      <c r="E966" s="14">
        <f>IF(OR($S$956="",$R$946=""),"",SUM(OFFSET(전체채점!$AW$2,$R$946,INDEX(회차설정!$C$13:$C$27,$S$956),1,INDEX(회차설정!$D$13:$D$27,$S$956)-INDEX(회차설정!$C$13:$C$27,$S$956)+1)))</f>
        <v/>
      </c>
      <c r="F966" s="46">
        <f>IF(OR($S$956="",$D966=0,$D966="",$E966=""),"",$E966/$D966*100)</f>
        <v/>
      </c>
      <c r="G966" s="8" t="n"/>
      <c r="H966" s="47">
        <f>IF($F966="","",REPT("■",ROUND($F966/5,0)))</f>
        <v/>
      </c>
      <c r="I966" s="7" t="n"/>
      <c r="J966" s="7" t="n"/>
      <c r="K966" s="7" t="n"/>
      <c r="L966" s="7" t="n"/>
      <c r="M966" s="7" t="n"/>
      <c r="N966" s="7" t="n"/>
      <c r="O966" s="7" t="n"/>
      <c r="P966" s="8" t="n"/>
    </row>
    <row r="967">
      <c r="A967" s="14">
        <f>IF($S$957="","",INDEX(회차설정!$A$13:$A$27,$S$957))</f>
        <v/>
      </c>
      <c r="B967" s="14">
        <f>IF($S$957="","",INDEX(회차설정!$B$13:$B$27,$S$957))</f>
        <v/>
      </c>
      <c r="C967" s="8" t="n"/>
      <c r="D967" s="14">
        <f>IF($S$957="","",IF($R$947="언어와 매체",SUMPRODUCT((자동계산!$A$4:$A$48&gt;=INDEX(회차설정!$C$13:$C$27,$S$957))*(자동계산!$A$4:$A$48&lt;=INDEX(회차설정!$D$13:$D$27,$S$957))*자동계산!$E$4:$E$48),SUMPRODUCT((자동계산!$A$4:$A$48&gt;=INDEX(회차설정!$C$13:$C$27,$S$957))*(자동계산!$A$4:$A$48&lt;=INDEX(회차설정!$D$13:$D$27,$S$957))*자동계산!$C$4:$C$48)))</f>
        <v/>
      </c>
      <c r="E967" s="14">
        <f>IF(OR($S$957="",$R$946=""),"",SUM(OFFSET(전체채점!$AW$2,$R$946,INDEX(회차설정!$C$13:$C$27,$S$957),1,INDEX(회차설정!$D$13:$D$27,$S$957)-INDEX(회차설정!$C$13:$C$27,$S$957)+1)))</f>
        <v/>
      </c>
      <c r="F967" s="46">
        <f>IF(OR($S$957="",$D967=0,$D967="",$E967=""),"",$E967/$D967*100)</f>
        <v/>
      </c>
      <c r="G967" s="8" t="n"/>
      <c r="H967" s="47">
        <f>IF($F967="","",REPT("■",ROUND($F967/5,0)))</f>
        <v/>
      </c>
      <c r="I967" s="7" t="n"/>
      <c r="J967" s="7" t="n"/>
      <c r="K967" s="7" t="n"/>
      <c r="L967" s="7" t="n"/>
      <c r="M967" s="7" t="n"/>
      <c r="N967" s="7" t="n"/>
      <c r="O967" s="7" t="n"/>
      <c r="P967" s="8" t="n"/>
    </row>
    <row r="968">
      <c r="A968" s="5">
        <f>IF($R$946="","","합계")</f>
        <v/>
      </c>
      <c r="B968" s="7" t="n"/>
      <c r="C968" s="8" t="n"/>
      <c r="D968" s="5">
        <f>IF($R$946="","",SUM(D956:D967))</f>
        <v/>
      </c>
      <c r="E968" s="5">
        <f>IF($R$946="","",SUM(E956:E967))</f>
        <v/>
      </c>
      <c r="F968" s="48">
        <f>IF(OR($D968=0,$D968=""),"",$E968/$D968*100)</f>
        <v/>
      </c>
      <c r="G968" s="8" t="n"/>
      <c r="H968" s="49">
        <f>IF($F968="","",REPT("■",ROUND($F968/5,0)))</f>
        <v/>
      </c>
      <c r="I968" s="7" t="n"/>
      <c r="J968" s="7" t="n"/>
      <c r="K968" s="7" t="n"/>
      <c r="L968" s="7" t="n"/>
      <c r="M968" s="7" t="n"/>
      <c r="N968" s="7" t="n"/>
      <c r="O968" s="7" t="n"/>
      <c r="P968" s="8" t="n"/>
    </row>
    <row r="970">
      <c r="A970" s="12" t="inlineStr">
        <is>
          <t>4. 문항 채점표</t>
        </is>
      </c>
    </row>
    <row r="971">
      <c r="A971" s="50" t="inlineStr">
        <is>
          <t>문항 번호</t>
        </is>
      </c>
      <c r="B971" s="51" t="n">
        <v>1</v>
      </c>
      <c r="C971" s="51" t="n">
        <v>2</v>
      </c>
      <c r="D971" s="51" t="n">
        <v>3</v>
      </c>
      <c r="E971" s="51" t="n">
        <v>4</v>
      </c>
      <c r="F971" s="51" t="n">
        <v>5</v>
      </c>
      <c r="G971" s="51" t="n">
        <v>6</v>
      </c>
      <c r="H971" s="51" t="n">
        <v>7</v>
      </c>
      <c r="I971" s="51" t="n">
        <v>8</v>
      </c>
      <c r="J971" s="51" t="n">
        <v>9</v>
      </c>
      <c r="K971" s="51" t="n">
        <v>10</v>
      </c>
      <c r="L971" s="51" t="n">
        <v>11</v>
      </c>
      <c r="M971" s="51" t="n">
        <v>12</v>
      </c>
      <c r="N971" s="51" t="n">
        <v>13</v>
      </c>
      <c r="O971" s="51" t="n">
        <v>14</v>
      </c>
      <c r="P971" s="51" t="n">
        <v>15</v>
      </c>
    </row>
    <row r="972">
      <c r="A972" s="52" t="inlineStr">
        <is>
          <t>정답</t>
        </is>
      </c>
      <c r="B972" s="33">
        <f>IF($R$947="","",IF($R$947="언어와 매체",자동계산!$D$4,자동계산!$B$4))</f>
        <v/>
      </c>
      <c r="C972" s="33">
        <f>IF($R$947="","",IF($R$947="언어와 매체",자동계산!$D$5,자동계산!$B$5))</f>
        <v/>
      </c>
      <c r="D972" s="33">
        <f>IF($R$947="","",IF($R$947="언어와 매체",자동계산!$D$6,자동계산!$B$6))</f>
        <v/>
      </c>
      <c r="E972" s="33">
        <f>IF($R$947="","",IF($R$947="언어와 매체",자동계산!$D$7,자동계산!$B$7))</f>
        <v/>
      </c>
      <c r="F972" s="33">
        <f>IF($R$947="","",IF($R$947="언어와 매체",자동계산!$D$8,자동계산!$B$8))</f>
        <v/>
      </c>
      <c r="G972" s="33">
        <f>IF($R$947="","",IF($R$947="언어와 매체",자동계산!$D$9,자동계산!$B$9))</f>
        <v/>
      </c>
      <c r="H972" s="33">
        <f>IF($R$947="","",IF($R$947="언어와 매체",자동계산!$D$10,자동계산!$B$10))</f>
        <v/>
      </c>
      <c r="I972" s="33">
        <f>IF($R$947="","",IF($R$947="언어와 매체",자동계산!$D$11,자동계산!$B$11))</f>
        <v/>
      </c>
      <c r="J972" s="33">
        <f>IF($R$947="","",IF($R$947="언어와 매체",자동계산!$D$12,자동계산!$B$12))</f>
        <v/>
      </c>
      <c r="K972" s="33">
        <f>IF($R$947="","",IF($R$947="언어와 매체",자동계산!$D$13,자동계산!$B$13))</f>
        <v/>
      </c>
      <c r="L972" s="33">
        <f>IF($R$947="","",IF($R$947="언어와 매체",자동계산!$D$14,자동계산!$B$14))</f>
        <v/>
      </c>
      <c r="M972" s="33">
        <f>IF($R$947="","",IF($R$947="언어와 매체",자동계산!$D$15,자동계산!$B$15))</f>
        <v/>
      </c>
      <c r="N972" s="33">
        <f>IF($R$947="","",IF($R$947="언어와 매체",자동계산!$D$16,자동계산!$B$16))</f>
        <v/>
      </c>
      <c r="O972" s="33">
        <f>IF($R$947="","",IF($R$947="언어와 매체",자동계산!$D$17,자동계산!$B$17))</f>
        <v/>
      </c>
      <c r="P972" s="33">
        <f>IF($R$947="","",IF($R$947="언어와 매체",자동계산!$D$18,자동계산!$B$18))</f>
        <v/>
      </c>
    </row>
    <row r="973">
      <c r="A973" s="52" t="inlineStr">
        <is>
          <t>학생답안</t>
        </is>
      </c>
      <c r="B973" s="33">
        <f>IF($R$946="","",INDEX(전체채점!E$3:E$62,$R$946))</f>
        <v/>
      </c>
      <c r="C973" s="33">
        <f>IF($R$946="","",INDEX(전체채점!F$3:F$62,$R$946))</f>
        <v/>
      </c>
      <c r="D973" s="33">
        <f>IF($R$946="","",INDEX(전체채점!G$3:G$62,$R$946))</f>
        <v/>
      </c>
      <c r="E973" s="33">
        <f>IF($R$946="","",INDEX(전체채점!H$3:H$62,$R$946))</f>
        <v/>
      </c>
      <c r="F973" s="33">
        <f>IF($R$946="","",INDEX(전체채점!I$3:I$62,$R$946))</f>
        <v/>
      </c>
      <c r="G973" s="33">
        <f>IF($R$946="","",INDEX(전체채점!J$3:J$62,$R$946))</f>
        <v/>
      </c>
      <c r="H973" s="33">
        <f>IF($R$946="","",INDEX(전체채점!K$3:K$62,$R$946))</f>
        <v/>
      </c>
      <c r="I973" s="33">
        <f>IF($R$946="","",INDEX(전체채점!L$3:L$62,$R$946))</f>
        <v/>
      </c>
      <c r="J973" s="33">
        <f>IF($R$946="","",INDEX(전체채점!M$3:M$62,$R$946))</f>
        <v/>
      </c>
      <c r="K973" s="33">
        <f>IF($R$946="","",INDEX(전체채점!N$3:N$62,$R$946))</f>
        <v/>
      </c>
      <c r="L973" s="33">
        <f>IF($R$946="","",INDEX(전체채점!O$3:O$62,$R$946))</f>
        <v/>
      </c>
      <c r="M973" s="33">
        <f>IF($R$946="","",INDEX(전체채점!P$3:P$62,$R$946))</f>
        <v/>
      </c>
      <c r="N973" s="33">
        <f>IF($R$946="","",INDEX(전체채점!Q$3:Q$62,$R$946))</f>
        <v/>
      </c>
      <c r="O973" s="33">
        <f>IF($R$946="","",INDEX(전체채점!R$3:R$62,$R$946))</f>
        <v/>
      </c>
      <c r="P973" s="33">
        <f>IF($R$946="","",INDEX(전체채점!S$3:S$62,$R$946))</f>
        <v/>
      </c>
    </row>
    <row r="974">
      <c r="A974" s="52" t="inlineStr">
        <is>
          <t>정오</t>
        </is>
      </c>
      <c r="B974" s="33">
        <f>IF($R$946="","",INDEX(전체채점!AX$3:AX$62,$R$946))</f>
        <v/>
      </c>
      <c r="C974" s="33">
        <f>IF($R$946="","",INDEX(전체채점!AY$3:AY$62,$R$946))</f>
        <v/>
      </c>
      <c r="D974" s="33">
        <f>IF($R$946="","",INDEX(전체채점!AZ$3:AZ$62,$R$946))</f>
        <v/>
      </c>
      <c r="E974" s="33">
        <f>IF($R$946="","",INDEX(전체채점!BA$3:BA$62,$R$946))</f>
        <v/>
      </c>
      <c r="F974" s="33">
        <f>IF($R$946="","",INDEX(전체채점!BB$3:BB$62,$R$946))</f>
        <v/>
      </c>
      <c r="G974" s="33">
        <f>IF($R$946="","",INDEX(전체채점!BC$3:BC$62,$R$946))</f>
        <v/>
      </c>
      <c r="H974" s="33">
        <f>IF($R$946="","",INDEX(전체채점!BD$3:BD$62,$R$946))</f>
        <v/>
      </c>
      <c r="I974" s="33">
        <f>IF($R$946="","",INDEX(전체채점!BE$3:BE$62,$R$946))</f>
        <v/>
      </c>
      <c r="J974" s="33">
        <f>IF($R$946="","",INDEX(전체채점!BF$3:BF$62,$R$946))</f>
        <v/>
      </c>
      <c r="K974" s="33">
        <f>IF($R$946="","",INDEX(전체채점!BG$3:BG$62,$R$946))</f>
        <v/>
      </c>
      <c r="L974" s="33">
        <f>IF($R$946="","",INDEX(전체채점!BH$3:BH$62,$R$946))</f>
        <v/>
      </c>
      <c r="M974" s="33">
        <f>IF($R$946="","",INDEX(전체채점!BI$3:BI$62,$R$946))</f>
        <v/>
      </c>
      <c r="N974" s="33">
        <f>IF($R$946="","",INDEX(전체채점!BJ$3:BJ$62,$R$946))</f>
        <v/>
      </c>
      <c r="O974" s="33">
        <f>IF($R$946="","",INDEX(전체채점!BK$3:BK$62,$R$946))</f>
        <v/>
      </c>
      <c r="P974" s="33">
        <f>IF($R$946="","",INDEX(전체채점!BL$3:BL$62,$R$946))</f>
        <v/>
      </c>
    </row>
    <row r="975">
      <c r="A975" s="50" t="inlineStr">
        <is>
          <t>문항 번호</t>
        </is>
      </c>
      <c r="B975" s="51" t="n">
        <v>16</v>
      </c>
      <c r="C975" s="51" t="n">
        <v>17</v>
      </c>
      <c r="D975" s="51" t="n">
        <v>18</v>
      </c>
      <c r="E975" s="51" t="n">
        <v>19</v>
      </c>
      <c r="F975" s="51" t="n">
        <v>20</v>
      </c>
      <c r="G975" s="51" t="n">
        <v>21</v>
      </c>
      <c r="H975" s="51" t="n">
        <v>22</v>
      </c>
      <c r="I975" s="51" t="n">
        <v>23</v>
      </c>
      <c r="J975" s="51" t="n">
        <v>24</v>
      </c>
      <c r="K975" s="51" t="n">
        <v>25</v>
      </c>
      <c r="L975" s="51" t="n">
        <v>26</v>
      </c>
      <c r="M975" s="51" t="n">
        <v>27</v>
      </c>
      <c r="N975" s="51" t="n">
        <v>28</v>
      </c>
      <c r="O975" s="51" t="n">
        <v>29</v>
      </c>
      <c r="P975" s="51" t="n">
        <v>30</v>
      </c>
    </row>
    <row r="976">
      <c r="A976" s="52" t="inlineStr">
        <is>
          <t>정답</t>
        </is>
      </c>
      <c r="B976" s="33">
        <f>IF($R$947="","",IF($R$947="언어와 매체",자동계산!$D$19,자동계산!$B$19))</f>
        <v/>
      </c>
      <c r="C976" s="33">
        <f>IF($R$947="","",IF($R$947="언어와 매체",자동계산!$D$20,자동계산!$B$20))</f>
        <v/>
      </c>
      <c r="D976" s="33">
        <f>IF($R$947="","",IF($R$947="언어와 매체",자동계산!$D$21,자동계산!$B$21))</f>
        <v/>
      </c>
      <c r="E976" s="33">
        <f>IF($R$947="","",IF($R$947="언어와 매체",자동계산!$D$22,자동계산!$B$22))</f>
        <v/>
      </c>
      <c r="F976" s="33">
        <f>IF($R$947="","",IF($R$947="언어와 매체",자동계산!$D$23,자동계산!$B$23))</f>
        <v/>
      </c>
      <c r="G976" s="33">
        <f>IF($R$947="","",IF($R$947="언어와 매체",자동계산!$D$24,자동계산!$B$24))</f>
        <v/>
      </c>
      <c r="H976" s="33">
        <f>IF($R$947="","",IF($R$947="언어와 매체",자동계산!$D$25,자동계산!$B$25))</f>
        <v/>
      </c>
      <c r="I976" s="33">
        <f>IF($R$947="","",IF($R$947="언어와 매체",자동계산!$D$26,자동계산!$B$26))</f>
        <v/>
      </c>
      <c r="J976" s="33">
        <f>IF($R$947="","",IF($R$947="언어와 매체",자동계산!$D$27,자동계산!$B$27))</f>
        <v/>
      </c>
      <c r="K976" s="33">
        <f>IF($R$947="","",IF($R$947="언어와 매체",자동계산!$D$28,자동계산!$B$28))</f>
        <v/>
      </c>
      <c r="L976" s="33">
        <f>IF($R$947="","",IF($R$947="언어와 매체",자동계산!$D$29,자동계산!$B$29))</f>
        <v/>
      </c>
      <c r="M976" s="33">
        <f>IF($R$947="","",IF($R$947="언어와 매체",자동계산!$D$30,자동계산!$B$30))</f>
        <v/>
      </c>
      <c r="N976" s="33">
        <f>IF($R$947="","",IF($R$947="언어와 매체",자동계산!$D$31,자동계산!$B$31))</f>
        <v/>
      </c>
      <c r="O976" s="33">
        <f>IF($R$947="","",IF($R$947="언어와 매체",자동계산!$D$32,자동계산!$B$32))</f>
        <v/>
      </c>
      <c r="P976" s="33">
        <f>IF($R$947="","",IF($R$947="언어와 매체",자동계산!$D$33,자동계산!$B$33))</f>
        <v/>
      </c>
    </row>
    <row r="977">
      <c r="A977" s="52" t="inlineStr">
        <is>
          <t>학생답안</t>
        </is>
      </c>
      <c r="B977" s="33">
        <f>IF($R$946="","",INDEX(전체채점!T$3:T$62,$R$946))</f>
        <v/>
      </c>
      <c r="C977" s="33">
        <f>IF($R$946="","",INDEX(전체채점!U$3:U$62,$R$946))</f>
        <v/>
      </c>
      <c r="D977" s="33">
        <f>IF($R$946="","",INDEX(전체채점!V$3:V$62,$R$946))</f>
        <v/>
      </c>
      <c r="E977" s="33">
        <f>IF($R$946="","",INDEX(전체채점!W$3:W$62,$R$946))</f>
        <v/>
      </c>
      <c r="F977" s="33">
        <f>IF($R$946="","",INDEX(전체채점!X$3:X$62,$R$946))</f>
        <v/>
      </c>
      <c r="G977" s="33">
        <f>IF($R$946="","",INDEX(전체채점!Y$3:Y$62,$R$946))</f>
        <v/>
      </c>
      <c r="H977" s="33">
        <f>IF($R$946="","",INDEX(전체채점!Z$3:Z$62,$R$946))</f>
        <v/>
      </c>
      <c r="I977" s="33">
        <f>IF($R$946="","",INDEX(전체채점!AA$3:AA$62,$R$946))</f>
        <v/>
      </c>
      <c r="J977" s="33">
        <f>IF($R$946="","",INDEX(전체채점!AB$3:AB$62,$R$946))</f>
        <v/>
      </c>
      <c r="K977" s="33">
        <f>IF($R$946="","",INDEX(전체채점!AC$3:AC$62,$R$946))</f>
        <v/>
      </c>
      <c r="L977" s="33">
        <f>IF($R$946="","",INDEX(전체채점!AD$3:AD$62,$R$946))</f>
        <v/>
      </c>
      <c r="M977" s="33">
        <f>IF($R$946="","",INDEX(전체채점!AE$3:AE$62,$R$946))</f>
        <v/>
      </c>
      <c r="N977" s="33">
        <f>IF($R$946="","",INDEX(전체채점!AF$3:AF$62,$R$946))</f>
        <v/>
      </c>
      <c r="O977" s="33">
        <f>IF($R$946="","",INDEX(전체채점!AG$3:AG$62,$R$946))</f>
        <v/>
      </c>
      <c r="P977" s="33">
        <f>IF($R$946="","",INDEX(전체채점!AH$3:AH$62,$R$946))</f>
        <v/>
      </c>
    </row>
    <row r="978">
      <c r="A978" s="52" t="inlineStr">
        <is>
          <t>정오</t>
        </is>
      </c>
      <c r="B978" s="33">
        <f>IF($R$946="","",INDEX(전체채점!BM$3:BM$62,$R$946))</f>
        <v/>
      </c>
      <c r="C978" s="33">
        <f>IF($R$946="","",INDEX(전체채점!BN$3:BN$62,$R$946))</f>
        <v/>
      </c>
      <c r="D978" s="33">
        <f>IF($R$946="","",INDEX(전체채점!BO$3:BO$62,$R$946))</f>
        <v/>
      </c>
      <c r="E978" s="33">
        <f>IF($R$946="","",INDEX(전체채점!BP$3:BP$62,$R$946))</f>
        <v/>
      </c>
      <c r="F978" s="33">
        <f>IF($R$946="","",INDEX(전체채점!BQ$3:BQ$62,$R$946))</f>
        <v/>
      </c>
      <c r="G978" s="33">
        <f>IF($R$946="","",INDEX(전체채점!BR$3:BR$62,$R$946))</f>
        <v/>
      </c>
      <c r="H978" s="33">
        <f>IF($R$946="","",INDEX(전체채점!BS$3:BS$62,$R$946))</f>
        <v/>
      </c>
      <c r="I978" s="33">
        <f>IF($R$946="","",INDEX(전체채점!BT$3:BT$62,$R$946))</f>
        <v/>
      </c>
      <c r="J978" s="33">
        <f>IF($R$946="","",INDEX(전체채점!BU$3:BU$62,$R$946))</f>
        <v/>
      </c>
      <c r="K978" s="33">
        <f>IF($R$946="","",INDEX(전체채점!BV$3:BV$62,$R$946))</f>
        <v/>
      </c>
      <c r="L978" s="33">
        <f>IF($R$946="","",INDEX(전체채점!BW$3:BW$62,$R$946))</f>
        <v/>
      </c>
      <c r="M978" s="33">
        <f>IF($R$946="","",INDEX(전체채점!BX$3:BX$62,$R$946))</f>
        <v/>
      </c>
      <c r="N978" s="33">
        <f>IF($R$946="","",INDEX(전체채점!BY$3:BY$62,$R$946))</f>
        <v/>
      </c>
      <c r="O978" s="33">
        <f>IF($R$946="","",INDEX(전체채점!BZ$3:BZ$62,$R$946))</f>
        <v/>
      </c>
      <c r="P978" s="33">
        <f>IF($R$946="","",INDEX(전체채점!CA$3:CA$62,$R$946))</f>
        <v/>
      </c>
    </row>
    <row r="979">
      <c r="A979" s="50" t="inlineStr">
        <is>
          <t>문항 번호</t>
        </is>
      </c>
      <c r="B979" s="51" t="n">
        <v>31</v>
      </c>
      <c r="C979" s="51" t="n">
        <v>32</v>
      </c>
      <c r="D979" s="51" t="n">
        <v>33</v>
      </c>
      <c r="E979" s="51" t="n">
        <v>34</v>
      </c>
      <c r="F979" s="51" t="n">
        <v>35</v>
      </c>
      <c r="G979" s="51" t="n">
        <v>36</v>
      </c>
      <c r="H979" s="51" t="n">
        <v>37</v>
      </c>
      <c r="I979" s="51" t="n">
        <v>38</v>
      </c>
      <c r="J979" s="51" t="n">
        <v>39</v>
      </c>
      <c r="K979" s="51" t="n">
        <v>40</v>
      </c>
      <c r="L979" s="51" t="n">
        <v>41</v>
      </c>
      <c r="M979" s="51" t="n">
        <v>42</v>
      </c>
      <c r="N979" s="51" t="n">
        <v>43</v>
      </c>
      <c r="O979" s="51" t="n">
        <v>44</v>
      </c>
      <c r="P979" s="51" t="n">
        <v>45</v>
      </c>
    </row>
    <row r="980">
      <c r="A980" s="52" t="inlineStr">
        <is>
          <t>정답</t>
        </is>
      </c>
      <c r="B980" s="33">
        <f>IF($R$947="","",IF($R$947="언어와 매체",자동계산!$D$34,자동계산!$B$34))</f>
        <v/>
      </c>
      <c r="C980" s="33">
        <f>IF($R$947="","",IF($R$947="언어와 매체",자동계산!$D$35,자동계산!$B$35))</f>
        <v/>
      </c>
      <c r="D980" s="33">
        <f>IF($R$947="","",IF($R$947="언어와 매체",자동계산!$D$36,자동계산!$B$36))</f>
        <v/>
      </c>
      <c r="E980" s="33">
        <f>IF($R$947="","",IF($R$947="언어와 매체",자동계산!$D$37,자동계산!$B$37))</f>
        <v/>
      </c>
      <c r="F980" s="33">
        <f>IF($R$947="","",IF($R$947="언어와 매체",자동계산!$D$38,자동계산!$B$38))</f>
        <v/>
      </c>
      <c r="G980" s="33">
        <f>IF($R$947="","",IF($R$947="언어와 매체",자동계산!$D$39,자동계산!$B$39))</f>
        <v/>
      </c>
      <c r="H980" s="33">
        <f>IF($R$947="","",IF($R$947="언어와 매체",자동계산!$D$40,자동계산!$B$40))</f>
        <v/>
      </c>
      <c r="I980" s="33">
        <f>IF($R$947="","",IF($R$947="언어와 매체",자동계산!$D$41,자동계산!$B$41))</f>
        <v/>
      </c>
      <c r="J980" s="33">
        <f>IF($R$947="","",IF($R$947="언어와 매체",자동계산!$D$42,자동계산!$B$42))</f>
        <v/>
      </c>
      <c r="K980" s="33">
        <f>IF($R$947="","",IF($R$947="언어와 매체",자동계산!$D$43,자동계산!$B$43))</f>
        <v/>
      </c>
      <c r="L980" s="33">
        <f>IF($R$947="","",IF($R$947="언어와 매체",자동계산!$D$44,자동계산!$B$44))</f>
        <v/>
      </c>
      <c r="M980" s="33">
        <f>IF($R$947="","",IF($R$947="언어와 매체",자동계산!$D$45,자동계산!$B$45))</f>
        <v/>
      </c>
      <c r="N980" s="33">
        <f>IF($R$947="","",IF($R$947="언어와 매체",자동계산!$D$46,자동계산!$B$46))</f>
        <v/>
      </c>
      <c r="O980" s="33">
        <f>IF($R$947="","",IF($R$947="언어와 매체",자동계산!$D$47,자동계산!$B$47))</f>
        <v/>
      </c>
      <c r="P980" s="33">
        <f>IF($R$947="","",IF($R$947="언어와 매체",자동계산!$D$48,자동계산!$B$48))</f>
        <v/>
      </c>
    </row>
    <row r="981">
      <c r="A981" s="52" t="inlineStr">
        <is>
          <t>학생답안</t>
        </is>
      </c>
      <c r="B981" s="33">
        <f>IF($R$946="","",INDEX(전체채점!AI$3:AI$62,$R$946))</f>
        <v/>
      </c>
      <c r="C981" s="33">
        <f>IF($R$946="","",INDEX(전체채점!AJ$3:AJ$62,$R$946))</f>
        <v/>
      </c>
      <c r="D981" s="33">
        <f>IF($R$946="","",INDEX(전체채점!AK$3:AK$62,$R$946))</f>
        <v/>
      </c>
      <c r="E981" s="33">
        <f>IF($R$946="","",INDEX(전체채점!AL$3:AL$62,$R$946))</f>
        <v/>
      </c>
      <c r="F981" s="33">
        <f>IF($R$946="","",INDEX(전체채점!AM$3:AM$62,$R$946))</f>
        <v/>
      </c>
      <c r="G981" s="33">
        <f>IF($R$946="","",INDEX(전체채점!AN$3:AN$62,$R$946))</f>
        <v/>
      </c>
      <c r="H981" s="33">
        <f>IF($R$946="","",INDEX(전체채점!AO$3:AO$62,$R$946))</f>
        <v/>
      </c>
      <c r="I981" s="33">
        <f>IF($R$946="","",INDEX(전체채점!AP$3:AP$62,$R$946))</f>
        <v/>
      </c>
      <c r="J981" s="33">
        <f>IF($R$946="","",INDEX(전체채점!AQ$3:AQ$62,$R$946))</f>
        <v/>
      </c>
      <c r="K981" s="33">
        <f>IF($R$946="","",INDEX(전체채점!AR$3:AR$62,$R$946))</f>
        <v/>
      </c>
      <c r="L981" s="33">
        <f>IF($R$946="","",INDEX(전체채점!AS$3:AS$62,$R$946))</f>
        <v/>
      </c>
      <c r="M981" s="33">
        <f>IF($R$946="","",INDEX(전체채점!AT$3:AT$62,$R$946))</f>
        <v/>
      </c>
      <c r="N981" s="33">
        <f>IF($R$946="","",INDEX(전체채점!AU$3:AU$62,$R$946))</f>
        <v/>
      </c>
      <c r="O981" s="33">
        <f>IF($R$946="","",INDEX(전체채점!AV$3:AV$62,$R$946))</f>
        <v/>
      </c>
      <c r="P981" s="33">
        <f>IF($R$946="","",INDEX(전체채점!AW$3:AW$62,$R$946))</f>
        <v/>
      </c>
    </row>
    <row r="982">
      <c r="A982" s="52" t="inlineStr">
        <is>
          <t>정오</t>
        </is>
      </c>
      <c r="B982" s="33">
        <f>IF($R$946="","",INDEX(전체채점!CB$3:CB$62,$R$946))</f>
        <v/>
      </c>
      <c r="C982" s="33">
        <f>IF($R$946="","",INDEX(전체채점!CC$3:CC$62,$R$946))</f>
        <v/>
      </c>
      <c r="D982" s="33">
        <f>IF($R$946="","",INDEX(전체채점!CD$3:CD$62,$R$946))</f>
        <v/>
      </c>
      <c r="E982" s="33">
        <f>IF($R$946="","",INDEX(전체채점!CE$3:CE$62,$R$946))</f>
        <v/>
      </c>
      <c r="F982" s="33">
        <f>IF($R$946="","",INDEX(전체채점!CF$3:CF$62,$R$946))</f>
        <v/>
      </c>
      <c r="G982" s="33">
        <f>IF($R$946="","",INDEX(전체채점!CG$3:CG$62,$R$946))</f>
        <v/>
      </c>
      <c r="H982" s="33">
        <f>IF($R$946="","",INDEX(전체채점!CH$3:CH$62,$R$946))</f>
        <v/>
      </c>
      <c r="I982" s="33">
        <f>IF($R$946="","",INDEX(전체채점!CI$3:CI$62,$R$946))</f>
        <v/>
      </c>
      <c r="J982" s="33">
        <f>IF($R$946="","",INDEX(전체채점!CJ$3:CJ$62,$R$946))</f>
        <v/>
      </c>
      <c r="K982" s="33">
        <f>IF($R$946="","",INDEX(전체채점!CK$3:CK$62,$R$946))</f>
        <v/>
      </c>
      <c r="L982" s="33">
        <f>IF($R$946="","",INDEX(전체채점!CL$3:CL$62,$R$946))</f>
        <v/>
      </c>
      <c r="M982" s="33">
        <f>IF($R$946="","",INDEX(전체채점!CM$3:CM$62,$R$946))</f>
        <v/>
      </c>
      <c r="N982" s="33">
        <f>IF($R$946="","",INDEX(전체채점!CN$3:CN$62,$R$946))</f>
        <v/>
      </c>
      <c r="O982" s="33">
        <f>IF($R$946="","",INDEX(전체채점!CO$3:CO$62,$R$946))</f>
        <v/>
      </c>
      <c r="P982" s="33">
        <f>IF($R$946="","",INDEX(전체채점!CP$3:CP$62,$R$946))</f>
        <v/>
      </c>
    </row>
    <row r="985" ht="34" customHeight="1">
      <c r="A985" s="36">
        <f>IF($R$987="","",회차설정!$B$2&amp;" 성적표")</f>
        <v/>
      </c>
    </row>
    <row r="987">
      <c r="A987" s="12" t="inlineStr">
        <is>
          <t>1. 학생정보</t>
        </is>
      </c>
      <c r="R987" s="37">
        <f>IF(답안입력!$A$27="","",25)</f>
        <v/>
      </c>
      <c r="S987" s="37">
        <f>IF($R$988="","",IFERROR(IF($R$988="언어와 매체",MATCH(1,회차설정!$G$13:$G$27,0),MATCH(1,회차설정!$F$13:$F$27,0)),""))</f>
        <v/>
      </c>
    </row>
    <row r="988">
      <c r="A988" s="13" t="inlineStr">
        <is>
          <t>성명</t>
        </is>
      </c>
      <c r="B988" s="7" t="n"/>
      <c r="C988" s="8" t="n"/>
      <c r="D988" s="13" t="inlineStr">
        <is>
          <t>선택과목</t>
        </is>
      </c>
      <c r="E988" s="7" t="n"/>
      <c r="F988" s="7" t="n"/>
      <c r="G988" s="8" t="n"/>
      <c r="H988" s="13" t="inlineStr">
        <is>
          <t>학년</t>
        </is>
      </c>
      <c r="I988" s="7" t="n"/>
      <c r="J988" s="7" t="n"/>
      <c r="K988" s="8" t="n"/>
      <c r="L988" s="13" t="inlineStr">
        <is>
          <t>시행일</t>
        </is>
      </c>
      <c r="M988" s="7" t="n"/>
      <c r="N988" s="7" t="n"/>
      <c r="O988" s="7" t="n"/>
      <c r="P988" s="8" t="n"/>
      <c r="R988" s="37">
        <f>IF($R$987="","",INDEX(전체채점!$B$3:$B$62,$R$987))</f>
        <v/>
      </c>
      <c r="S988" s="37">
        <f>IF($R$988="","",IFERROR(IF($R$988="언어와 매체",MATCH(2,회차설정!$G$13:$G$27,0),MATCH(2,회차설정!$F$13:$F$27,0)),""))</f>
        <v/>
      </c>
    </row>
    <row r="989" ht="26" customHeight="1">
      <c r="A989" s="39">
        <f>IF($R$987="","",INDEX(답안입력!$A$3:$A$62,$R$987))</f>
        <v/>
      </c>
      <c r="B989" s="7" t="n"/>
      <c r="C989" s="8" t="n"/>
      <c r="D989" s="39">
        <f>IF($R$987="","",INDEX(답안입력!$C$3:$C$62,$R$987))</f>
        <v/>
      </c>
      <c r="E989" s="7" t="n"/>
      <c r="F989" s="7" t="n"/>
      <c r="G989" s="8" t="n"/>
      <c r="H989" s="39">
        <f>IF($R$987="","",INDEX(답안입력!$B$3:$B$62,$R$987))</f>
        <v/>
      </c>
      <c r="I989" s="7" t="n"/>
      <c r="J989" s="7" t="n"/>
      <c r="K989" s="8" t="n"/>
      <c r="L989" s="40">
        <f>회차설정!$B$3</f>
        <v/>
      </c>
      <c r="M989" s="7" t="n"/>
      <c r="N989" s="7" t="n"/>
      <c r="O989" s="7" t="n"/>
      <c r="P989" s="8" t="n"/>
      <c r="R989" s="37">
        <f>IF($R$988="언어와 매체",회차설정!$B$9,회차설정!$B$8)</f>
        <v/>
      </c>
      <c r="S989" s="37">
        <f>IF($R$988="","",IFERROR(IF($R$988="언어와 매체",MATCH(3,회차설정!$G$13:$G$27,0),MATCH(3,회차설정!$F$13:$F$27,0)),""))</f>
        <v/>
      </c>
    </row>
    <row r="990">
      <c r="R990" s="37">
        <f>IF($R$988="언어와 매체",회차설정!$C$9,회차설정!$C$8)</f>
        <v/>
      </c>
      <c r="S990" s="37">
        <f>IF($R$988="","",IFERROR(IF($R$988="언어와 매체",MATCH(4,회차설정!$G$13:$G$27,0),MATCH(4,회차설정!$F$13:$F$27,0)),""))</f>
        <v/>
      </c>
    </row>
    <row r="991">
      <c r="A991" s="12" t="inlineStr">
        <is>
          <t>2. 성적</t>
        </is>
      </c>
      <c r="R991" s="37">
        <f>IF($R$988="언어와 매체",회차설정!$D$9,회차설정!$D$8)</f>
        <v/>
      </c>
      <c r="S991" s="37">
        <f>IF($R$988="","",IFERROR(IF($R$988="언어와 매체",MATCH(5,회차설정!$G$13:$G$27,0),MATCH(5,회차설정!$F$13:$F$27,0)),""))</f>
        <v/>
      </c>
    </row>
    <row r="992">
      <c r="A992" s="13" t="inlineStr">
        <is>
          <t>점수 (100점 만점)</t>
        </is>
      </c>
      <c r="B992" s="7" t="n"/>
      <c r="C992" s="7" t="n"/>
      <c r="D992" s="7" t="n"/>
      <c r="E992" s="8" t="n"/>
      <c r="F992" s="13" t="inlineStr">
        <is>
          <t>등급</t>
        </is>
      </c>
      <c r="G992" s="7" t="n"/>
      <c r="H992" s="8" t="n"/>
      <c r="I992" s="13" t="inlineStr">
        <is>
          <t>등급컷</t>
        </is>
      </c>
      <c r="J992" s="7" t="n"/>
      <c r="K992" s="7" t="n"/>
      <c r="L992" s="8" t="n"/>
      <c r="M992" s="13" t="inlineStr">
        <is>
          <t>같은 선택과목 평균</t>
        </is>
      </c>
      <c r="N992" s="7" t="n"/>
      <c r="O992" s="7" t="n"/>
      <c r="P992" s="8" t="n"/>
      <c r="R992" s="37">
        <f>IF($R$988="언어와 매체",회차설정!$E$9,회차설정!$E$8)</f>
        <v/>
      </c>
      <c r="S992" s="37">
        <f>IF($R$988="","",IFERROR(IF($R$988="언어와 매체",MATCH(6,회차설정!$G$13:$G$27,0),MATCH(6,회차설정!$F$13:$F$27,0)),""))</f>
        <v/>
      </c>
    </row>
    <row r="993" ht="34" customHeight="1">
      <c r="A993" s="41">
        <f>IF($R$987="","",INDEX(전체채점!$C$3:$C$62,$R$987))</f>
        <v/>
      </c>
      <c r="B993" s="7" t="n"/>
      <c r="C993" s="7" t="n"/>
      <c r="D993" s="7" t="n"/>
      <c r="E993" s="8" t="n"/>
      <c r="F993" s="42">
        <f>IF($R$987="","",INDEX(전체채점!$D$3:$D$62,$R$987))</f>
        <v/>
      </c>
      <c r="G993" s="7" t="n"/>
      <c r="H993" s="8" t="n"/>
      <c r="I993" s="43">
        <f>IF($R$987="","",$R$989&amp;"-"&amp;$R$990&amp;"-"&amp;$R$991&amp;"-"&amp;$R$992)</f>
        <v/>
      </c>
      <c r="J993" s="7" t="n"/>
      <c r="K993" s="7" t="n"/>
      <c r="L993" s="8" t="n"/>
      <c r="M993" s="44">
        <f>IFERROR(AVERAGEIF(전체채점!$B$3:$B$62,$R$988,전체채점!$C$3:$C$62),"")</f>
        <v/>
      </c>
      <c r="N993" s="7" t="n"/>
      <c r="O993" s="7" t="n"/>
      <c r="P993" s="8" t="n"/>
      <c r="S993" s="37">
        <f>IF($R$988="","",IFERROR(IF($R$988="언어와 매체",MATCH(7,회차설정!$G$13:$G$27,0),MATCH(7,회차설정!$F$13:$F$27,0)),""))</f>
        <v/>
      </c>
    </row>
    <row r="994">
      <c r="S994" s="37">
        <f>IF($R$988="","",IFERROR(IF($R$988="언어와 매체",MATCH(8,회차설정!$G$13:$G$27,0),MATCH(8,회차설정!$F$13:$F$27,0)),""))</f>
        <v/>
      </c>
    </row>
    <row r="995">
      <c r="A995" s="12" t="inlineStr">
        <is>
          <t>3. 영역분류별 성취도 분석</t>
        </is>
      </c>
      <c r="F995" s="45">
        <f>IF(OR($R$987="",$E1009=""),"",IF($E1009=INDEX(전체채점!$C$3:$C$62,$R$987),"","※ 회차설정의 영역 표를 확인하세요 — 영역 합계와 점수가 다릅니다"))</f>
        <v/>
      </c>
      <c r="S995" s="37">
        <f>IF($R$988="","",IFERROR(IF($R$988="언어와 매체",MATCH(9,회차설정!$G$13:$G$27,0),MATCH(9,회차설정!$F$13:$F$27,0)),""))</f>
        <v/>
      </c>
    </row>
    <row r="996">
      <c r="A996" s="13" t="inlineStr">
        <is>
          <t>분류</t>
        </is>
      </c>
      <c r="B996" s="13" t="inlineStr">
        <is>
          <t>영역</t>
        </is>
      </c>
      <c r="C996" s="8" t="n"/>
      <c r="D996" s="13" t="inlineStr">
        <is>
          <t>배점</t>
        </is>
      </c>
      <c r="E996" s="13" t="inlineStr">
        <is>
          <t>득점</t>
        </is>
      </c>
      <c r="F996" s="13" t="inlineStr">
        <is>
          <t>성취도(%)</t>
        </is>
      </c>
      <c r="G996" s="8" t="n"/>
      <c r="H996" s="13" t="inlineStr"/>
      <c r="I996" s="7" t="n"/>
      <c r="J996" s="7" t="n"/>
      <c r="K996" s="7" t="n"/>
      <c r="L996" s="7" t="n"/>
      <c r="M996" s="7" t="n"/>
      <c r="N996" s="7" t="n"/>
      <c r="O996" s="7" t="n"/>
      <c r="P996" s="8" t="n"/>
      <c r="S996" s="37">
        <f>IF($R$988="","",IFERROR(IF($R$988="언어와 매체",MATCH(10,회차설정!$G$13:$G$27,0),MATCH(10,회차설정!$F$13:$F$27,0)),""))</f>
        <v/>
      </c>
    </row>
    <row r="997">
      <c r="A997" s="14">
        <f>IF($S$987="","",INDEX(회차설정!$A$13:$A$27,$S$987))</f>
        <v/>
      </c>
      <c r="B997" s="14">
        <f>IF($S$987="","",INDEX(회차설정!$B$13:$B$27,$S$987))</f>
        <v/>
      </c>
      <c r="C997" s="8" t="n"/>
      <c r="D997" s="14">
        <f>IF($S$987="","",IF($R$988="언어와 매체",SUMPRODUCT((자동계산!$A$4:$A$48&gt;=INDEX(회차설정!$C$13:$C$27,$S$987))*(자동계산!$A$4:$A$48&lt;=INDEX(회차설정!$D$13:$D$27,$S$987))*자동계산!$E$4:$E$48),SUMPRODUCT((자동계산!$A$4:$A$48&gt;=INDEX(회차설정!$C$13:$C$27,$S$987))*(자동계산!$A$4:$A$48&lt;=INDEX(회차설정!$D$13:$D$27,$S$987))*자동계산!$C$4:$C$48)))</f>
        <v/>
      </c>
      <c r="E997" s="14">
        <f>IF(OR($S$987="",$R$987=""),"",SUM(OFFSET(전체채점!$AW$2,$R$987,INDEX(회차설정!$C$13:$C$27,$S$987),1,INDEX(회차설정!$D$13:$D$27,$S$987)-INDEX(회차설정!$C$13:$C$27,$S$987)+1)))</f>
        <v/>
      </c>
      <c r="F997" s="46">
        <f>IF(OR($S$987="",$D997=0,$D997="",$E997=""),"",$E997/$D997*100)</f>
        <v/>
      </c>
      <c r="G997" s="8" t="n"/>
      <c r="H997" s="47">
        <f>IF($F997="","",REPT("■",ROUND($F997/5,0)))</f>
        <v/>
      </c>
      <c r="I997" s="7" t="n"/>
      <c r="J997" s="7" t="n"/>
      <c r="K997" s="7" t="n"/>
      <c r="L997" s="7" t="n"/>
      <c r="M997" s="7" t="n"/>
      <c r="N997" s="7" t="n"/>
      <c r="O997" s="7" t="n"/>
      <c r="P997" s="8" t="n"/>
      <c r="S997" s="37">
        <f>IF($R$988="","",IFERROR(IF($R$988="언어와 매체",MATCH(11,회차설정!$G$13:$G$27,0),MATCH(11,회차설정!$F$13:$F$27,0)),""))</f>
        <v/>
      </c>
    </row>
    <row r="998">
      <c r="A998" s="14">
        <f>IF($S$988="","",INDEX(회차설정!$A$13:$A$27,$S$988))</f>
        <v/>
      </c>
      <c r="B998" s="14">
        <f>IF($S$988="","",INDEX(회차설정!$B$13:$B$27,$S$988))</f>
        <v/>
      </c>
      <c r="C998" s="8" t="n"/>
      <c r="D998" s="14">
        <f>IF($S$988="","",IF($R$988="언어와 매체",SUMPRODUCT((자동계산!$A$4:$A$48&gt;=INDEX(회차설정!$C$13:$C$27,$S$988))*(자동계산!$A$4:$A$48&lt;=INDEX(회차설정!$D$13:$D$27,$S$988))*자동계산!$E$4:$E$48),SUMPRODUCT((자동계산!$A$4:$A$48&gt;=INDEX(회차설정!$C$13:$C$27,$S$988))*(자동계산!$A$4:$A$48&lt;=INDEX(회차설정!$D$13:$D$27,$S$988))*자동계산!$C$4:$C$48)))</f>
        <v/>
      </c>
      <c r="E998" s="14">
        <f>IF(OR($S$988="",$R$987=""),"",SUM(OFFSET(전체채점!$AW$2,$R$987,INDEX(회차설정!$C$13:$C$27,$S$988),1,INDEX(회차설정!$D$13:$D$27,$S$988)-INDEX(회차설정!$C$13:$C$27,$S$988)+1)))</f>
        <v/>
      </c>
      <c r="F998" s="46">
        <f>IF(OR($S$988="",$D998=0,$D998="",$E998=""),"",$E998/$D998*100)</f>
        <v/>
      </c>
      <c r="G998" s="8" t="n"/>
      <c r="H998" s="47">
        <f>IF($F998="","",REPT("■",ROUND($F998/5,0)))</f>
        <v/>
      </c>
      <c r="I998" s="7" t="n"/>
      <c r="J998" s="7" t="n"/>
      <c r="K998" s="7" t="n"/>
      <c r="L998" s="7" t="n"/>
      <c r="M998" s="7" t="n"/>
      <c r="N998" s="7" t="n"/>
      <c r="O998" s="7" t="n"/>
      <c r="P998" s="8" t="n"/>
      <c r="S998" s="37">
        <f>IF($R$988="","",IFERROR(IF($R$988="언어와 매체",MATCH(12,회차설정!$G$13:$G$27,0),MATCH(12,회차설정!$F$13:$F$27,0)),""))</f>
        <v/>
      </c>
    </row>
    <row r="999">
      <c r="A999" s="14">
        <f>IF($S$989="","",INDEX(회차설정!$A$13:$A$27,$S$989))</f>
        <v/>
      </c>
      <c r="B999" s="14">
        <f>IF($S$989="","",INDEX(회차설정!$B$13:$B$27,$S$989))</f>
        <v/>
      </c>
      <c r="C999" s="8" t="n"/>
      <c r="D999" s="14">
        <f>IF($S$989="","",IF($R$988="언어와 매체",SUMPRODUCT((자동계산!$A$4:$A$48&gt;=INDEX(회차설정!$C$13:$C$27,$S$989))*(자동계산!$A$4:$A$48&lt;=INDEX(회차설정!$D$13:$D$27,$S$989))*자동계산!$E$4:$E$48),SUMPRODUCT((자동계산!$A$4:$A$48&gt;=INDEX(회차설정!$C$13:$C$27,$S$989))*(자동계산!$A$4:$A$48&lt;=INDEX(회차설정!$D$13:$D$27,$S$989))*자동계산!$C$4:$C$48)))</f>
        <v/>
      </c>
      <c r="E999" s="14">
        <f>IF(OR($S$989="",$R$987=""),"",SUM(OFFSET(전체채점!$AW$2,$R$987,INDEX(회차설정!$C$13:$C$27,$S$989),1,INDEX(회차설정!$D$13:$D$27,$S$989)-INDEX(회차설정!$C$13:$C$27,$S$989)+1)))</f>
        <v/>
      </c>
      <c r="F999" s="46">
        <f>IF(OR($S$989="",$D999=0,$D999="",$E999=""),"",$E999/$D999*100)</f>
        <v/>
      </c>
      <c r="G999" s="8" t="n"/>
      <c r="H999" s="47">
        <f>IF($F999="","",REPT("■",ROUND($F999/5,0)))</f>
        <v/>
      </c>
      <c r="I999" s="7" t="n"/>
      <c r="J999" s="7" t="n"/>
      <c r="K999" s="7" t="n"/>
      <c r="L999" s="7" t="n"/>
      <c r="M999" s="7" t="n"/>
      <c r="N999" s="7" t="n"/>
      <c r="O999" s="7" t="n"/>
      <c r="P999" s="8" t="n"/>
    </row>
    <row r="1000">
      <c r="A1000" s="14">
        <f>IF($S$990="","",INDEX(회차설정!$A$13:$A$27,$S$990))</f>
        <v/>
      </c>
      <c r="B1000" s="14">
        <f>IF($S$990="","",INDEX(회차설정!$B$13:$B$27,$S$990))</f>
        <v/>
      </c>
      <c r="C1000" s="8" t="n"/>
      <c r="D1000" s="14">
        <f>IF($S$990="","",IF($R$988="언어와 매체",SUMPRODUCT((자동계산!$A$4:$A$48&gt;=INDEX(회차설정!$C$13:$C$27,$S$990))*(자동계산!$A$4:$A$48&lt;=INDEX(회차설정!$D$13:$D$27,$S$990))*자동계산!$E$4:$E$48),SUMPRODUCT((자동계산!$A$4:$A$48&gt;=INDEX(회차설정!$C$13:$C$27,$S$990))*(자동계산!$A$4:$A$48&lt;=INDEX(회차설정!$D$13:$D$27,$S$990))*자동계산!$C$4:$C$48)))</f>
        <v/>
      </c>
      <c r="E1000" s="14">
        <f>IF(OR($S$990="",$R$987=""),"",SUM(OFFSET(전체채점!$AW$2,$R$987,INDEX(회차설정!$C$13:$C$27,$S$990),1,INDEX(회차설정!$D$13:$D$27,$S$990)-INDEX(회차설정!$C$13:$C$27,$S$990)+1)))</f>
        <v/>
      </c>
      <c r="F1000" s="46">
        <f>IF(OR($S$990="",$D1000=0,$D1000="",$E1000=""),"",$E1000/$D1000*100)</f>
        <v/>
      </c>
      <c r="G1000" s="8" t="n"/>
      <c r="H1000" s="47">
        <f>IF($F1000="","",REPT("■",ROUND($F1000/5,0)))</f>
        <v/>
      </c>
      <c r="I1000" s="7" t="n"/>
      <c r="J1000" s="7" t="n"/>
      <c r="K1000" s="7" t="n"/>
      <c r="L1000" s="7" t="n"/>
      <c r="M1000" s="7" t="n"/>
      <c r="N1000" s="7" t="n"/>
      <c r="O1000" s="7" t="n"/>
      <c r="P1000" s="8" t="n"/>
    </row>
    <row r="1001">
      <c r="A1001" s="14">
        <f>IF($S$991="","",INDEX(회차설정!$A$13:$A$27,$S$991))</f>
        <v/>
      </c>
      <c r="B1001" s="14">
        <f>IF($S$991="","",INDEX(회차설정!$B$13:$B$27,$S$991))</f>
        <v/>
      </c>
      <c r="C1001" s="8" t="n"/>
      <c r="D1001" s="14">
        <f>IF($S$991="","",IF($R$988="언어와 매체",SUMPRODUCT((자동계산!$A$4:$A$48&gt;=INDEX(회차설정!$C$13:$C$27,$S$991))*(자동계산!$A$4:$A$48&lt;=INDEX(회차설정!$D$13:$D$27,$S$991))*자동계산!$E$4:$E$48),SUMPRODUCT((자동계산!$A$4:$A$48&gt;=INDEX(회차설정!$C$13:$C$27,$S$991))*(자동계산!$A$4:$A$48&lt;=INDEX(회차설정!$D$13:$D$27,$S$991))*자동계산!$C$4:$C$48)))</f>
        <v/>
      </c>
      <c r="E1001" s="14">
        <f>IF(OR($S$991="",$R$987=""),"",SUM(OFFSET(전체채점!$AW$2,$R$987,INDEX(회차설정!$C$13:$C$27,$S$991),1,INDEX(회차설정!$D$13:$D$27,$S$991)-INDEX(회차설정!$C$13:$C$27,$S$991)+1)))</f>
        <v/>
      </c>
      <c r="F1001" s="46">
        <f>IF(OR($S$991="",$D1001=0,$D1001="",$E1001=""),"",$E1001/$D1001*100)</f>
        <v/>
      </c>
      <c r="G1001" s="8" t="n"/>
      <c r="H1001" s="47">
        <f>IF($F1001="","",REPT("■",ROUND($F1001/5,0)))</f>
        <v/>
      </c>
      <c r="I1001" s="7" t="n"/>
      <c r="J1001" s="7" t="n"/>
      <c r="K1001" s="7" t="n"/>
      <c r="L1001" s="7" t="n"/>
      <c r="M1001" s="7" t="n"/>
      <c r="N1001" s="7" t="n"/>
      <c r="O1001" s="7" t="n"/>
      <c r="P1001" s="8" t="n"/>
    </row>
    <row r="1002">
      <c r="A1002" s="14">
        <f>IF($S$992="","",INDEX(회차설정!$A$13:$A$27,$S$992))</f>
        <v/>
      </c>
      <c r="B1002" s="14">
        <f>IF($S$992="","",INDEX(회차설정!$B$13:$B$27,$S$992))</f>
        <v/>
      </c>
      <c r="C1002" s="8" t="n"/>
      <c r="D1002" s="14">
        <f>IF($S$992="","",IF($R$988="언어와 매체",SUMPRODUCT((자동계산!$A$4:$A$48&gt;=INDEX(회차설정!$C$13:$C$27,$S$992))*(자동계산!$A$4:$A$48&lt;=INDEX(회차설정!$D$13:$D$27,$S$992))*자동계산!$E$4:$E$48),SUMPRODUCT((자동계산!$A$4:$A$48&gt;=INDEX(회차설정!$C$13:$C$27,$S$992))*(자동계산!$A$4:$A$48&lt;=INDEX(회차설정!$D$13:$D$27,$S$992))*자동계산!$C$4:$C$48)))</f>
        <v/>
      </c>
      <c r="E1002" s="14">
        <f>IF(OR($S$992="",$R$987=""),"",SUM(OFFSET(전체채점!$AW$2,$R$987,INDEX(회차설정!$C$13:$C$27,$S$992),1,INDEX(회차설정!$D$13:$D$27,$S$992)-INDEX(회차설정!$C$13:$C$27,$S$992)+1)))</f>
        <v/>
      </c>
      <c r="F1002" s="46">
        <f>IF(OR($S$992="",$D1002=0,$D1002="",$E1002=""),"",$E1002/$D1002*100)</f>
        <v/>
      </c>
      <c r="G1002" s="8" t="n"/>
      <c r="H1002" s="47">
        <f>IF($F1002="","",REPT("■",ROUND($F1002/5,0)))</f>
        <v/>
      </c>
      <c r="I1002" s="7" t="n"/>
      <c r="J1002" s="7" t="n"/>
      <c r="K1002" s="7" t="n"/>
      <c r="L1002" s="7" t="n"/>
      <c r="M1002" s="7" t="n"/>
      <c r="N1002" s="7" t="n"/>
      <c r="O1002" s="7" t="n"/>
      <c r="P1002" s="8" t="n"/>
    </row>
    <row r="1003">
      <c r="A1003" s="14">
        <f>IF($S$993="","",INDEX(회차설정!$A$13:$A$27,$S$993))</f>
        <v/>
      </c>
      <c r="B1003" s="14">
        <f>IF($S$993="","",INDEX(회차설정!$B$13:$B$27,$S$993))</f>
        <v/>
      </c>
      <c r="C1003" s="8" t="n"/>
      <c r="D1003" s="14">
        <f>IF($S$993="","",IF($R$988="언어와 매체",SUMPRODUCT((자동계산!$A$4:$A$48&gt;=INDEX(회차설정!$C$13:$C$27,$S$993))*(자동계산!$A$4:$A$48&lt;=INDEX(회차설정!$D$13:$D$27,$S$993))*자동계산!$E$4:$E$48),SUMPRODUCT((자동계산!$A$4:$A$48&gt;=INDEX(회차설정!$C$13:$C$27,$S$993))*(자동계산!$A$4:$A$48&lt;=INDEX(회차설정!$D$13:$D$27,$S$993))*자동계산!$C$4:$C$48)))</f>
        <v/>
      </c>
      <c r="E1003" s="14">
        <f>IF(OR($S$993="",$R$987=""),"",SUM(OFFSET(전체채점!$AW$2,$R$987,INDEX(회차설정!$C$13:$C$27,$S$993),1,INDEX(회차설정!$D$13:$D$27,$S$993)-INDEX(회차설정!$C$13:$C$27,$S$993)+1)))</f>
        <v/>
      </c>
      <c r="F1003" s="46">
        <f>IF(OR($S$993="",$D1003=0,$D1003="",$E1003=""),"",$E1003/$D1003*100)</f>
        <v/>
      </c>
      <c r="G1003" s="8" t="n"/>
      <c r="H1003" s="47">
        <f>IF($F1003="","",REPT("■",ROUND($F1003/5,0)))</f>
        <v/>
      </c>
      <c r="I1003" s="7" t="n"/>
      <c r="J1003" s="7" t="n"/>
      <c r="K1003" s="7" t="n"/>
      <c r="L1003" s="7" t="n"/>
      <c r="M1003" s="7" t="n"/>
      <c r="N1003" s="7" t="n"/>
      <c r="O1003" s="7" t="n"/>
      <c r="P1003" s="8" t="n"/>
    </row>
    <row r="1004">
      <c r="A1004" s="14">
        <f>IF($S$994="","",INDEX(회차설정!$A$13:$A$27,$S$994))</f>
        <v/>
      </c>
      <c r="B1004" s="14">
        <f>IF($S$994="","",INDEX(회차설정!$B$13:$B$27,$S$994))</f>
        <v/>
      </c>
      <c r="C1004" s="8" t="n"/>
      <c r="D1004" s="14">
        <f>IF($S$994="","",IF($R$988="언어와 매체",SUMPRODUCT((자동계산!$A$4:$A$48&gt;=INDEX(회차설정!$C$13:$C$27,$S$994))*(자동계산!$A$4:$A$48&lt;=INDEX(회차설정!$D$13:$D$27,$S$994))*자동계산!$E$4:$E$48),SUMPRODUCT((자동계산!$A$4:$A$48&gt;=INDEX(회차설정!$C$13:$C$27,$S$994))*(자동계산!$A$4:$A$48&lt;=INDEX(회차설정!$D$13:$D$27,$S$994))*자동계산!$C$4:$C$48)))</f>
        <v/>
      </c>
      <c r="E1004" s="14">
        <f>IF(OR($S$994="",$R$987=""),"",SUM(OFFSET(전체채점!$AW$2,$R$987,INDEX(회차설정!$C$13:$C$27,$S$994),1,INDEX(회차설정!$D$13:$D$27,$S$994)-INDEX(회차설정!$C$13:$C$27,$S$994)+1)))</f>
        <v/>
      </c>
      <c r="F1004" s="46">
        <f>IF(OR($S$994="",$D1004=0,$D1004="",$E1004=""),"",$E1004/$D1004*100)</f>
        <v/>
      </c>
      <c r="G1004" s="8" t="n"/>
      <c r="H1004" s="47">
        <f>IF($F1004="","",REPT("■",ROUND($F1004/5,0)))</f>
        <v/>
      </c>
      <c r="I1004" s="7" t="n"/>
      <c r="J1004" s="7" t="n"/>
      <c r="K1004" s="7" t="n"/>
      <c r="L1004" s="7" t="n"/>
      <c r="M1004" s="7" t="n"/>
      <c r="N1004" s="7" t="n"/>
      <c r="O1004" s="7" t="n"/>
      <c r="P1004" s="8" t="n"/>
    </row>
    <row r="1005">
      <c r="A1005" s="14">
        <f>IF($S$995="","",INDEX(회차설정!$A$13:$A$27,$S$995))</f>
        <v/>
      </c>
      <c r="B1005" s="14">
        <f>IF($S$995="","",INDEX(회차설정!$B$13:$B$27,$S$995))</f>
        <v/>
      </c>
      <c r="C1005" s="8" t="n"/>
      <c r="D1005" s="14">
        <f>IF($S$995="","",IF($R$988="언어와 매체",SUMPRODUCT((자동계산!$A$4:$A$48&gt;=INDEX(회차설정!$C$13:$C$27,$S$995))*(자동계산!$A$4:$A$48&lt;=INDEX(회차설정!$D$13:$D$27,$S$995))*자동계산!$E$4:$E$48),SUMPRODUCT((자동계산!$A$4:$A$48&gt;=INDEX(회차설정!$C$13:$C$27,$S$995))*(자동계산!$A$4:$A$48&lt;=INDEX(회차설정!$D$13:$D$27,$S$995))*자동계산!$C$4:$C$48)))</f>
        <v/>
      </c>
      <c r="E1005" s="14">
        <f>IF(OR($S$995="",$R$987=""),"",SUM(OFFSET(전체채점!$AW$2,$R$987,INDEX(회차설정!$C$13:$C$27,$S$995),1,INDEX(회차설정!$D$13:$D$27,$S$995)-INDEX(회차설정!$C$13:$C$27,$S$995)+1)))</f>
        <v/>
      </c>
      <c r="F1005" s="46">
        <f>IF(OR($S$995="",$D1005=0,$D1005="",$E1005=""),"",$E1005/$D1005*100)</f>
        <v/>
      </c>
      <c r="G1005" s="8" t="n"/>
      <c r="H1005" s="47">
        <f>IF($F1005="","",REPT("■",ROUND($F1005/5,0)))</f>
        <v/>
      </c>
      <c r="I1005" s="7" t="n"/>
      <c r="J1005" s="7" t="n"/>
      <c r="K1005" s="7" t="n"/>
      <c r="L1005" s="7" t="n"/>
      <c r="M1005" s="7" t="n"/>
      <c r="N1005" s="7" t="n"/>
      <c r="O1005" s="7" t="n"/>
      <c r="P1005" s="8" t="n"/>
    </row>
    <row r="1006">
      <c r="A1006" s="14">
        <f>IF($S$996="","",INDEX(회차설정!$A$13:$A$27,$S$996))</f>
        <v/>
      </c>
      <c r="B1006" s="14">
        <f>IF($S$996="","",INDEX(회차설정!$B$13:$B$27,$S$996))</f>
        <v/>
      </c>
      <c r="C1006" s="8" t="n"/>
      <c r="D1006" s="14">
        <f>IF($S$996="","",IF($R$988="언어와 매체",SUMPRODUCT((자동계산!$A$4:$A$48&gt;=INDEX(회차설정!$C$13:$C$27,$S$996))*(자동계산!$A$4:$A$48&lt;=INDEX(회차설정!$D$13:$D$27,$S$996))*자동계산!$E$4:$E$48),SUMPRODUCT((자동계산!$A$4:$A$48&gt;=INDEX(회차설정!$C$13:$C$27,$S$996))*(자동계산!$A$4:$A$48&lt;=INDEX(회차설정!$D$13:$D$27,$S$996))*자동계산!$C$4:$C$48)))</f>
        <v/>
      </c>
      <c r="E1006" s="14">
        <f>IF(OR($S$996="",$R$987=""),"",SUM(OFFSET(전체채점!$AW$2,$R$987,INDEX(회차설정!$C$13:$C$27,$S$996),1,INDEX(회차설정!$D$13:$D$27,$S$996)-INDEX(회차설정!$C$13:$C$27,$S$996)+1)))</f>
        <v/>
      </c>
      <c r="F1006" s="46">
        <f>IF(OR($S$996="",$D1006=0,$D1006="",$E1006=""),"",$E1006/$D1006*100)</f>
        <v/>
      </c>
      <c r="G1006" s="8" t="n"/>
      <c r="H1006" s="47">
        <f>IF($F1006="","",REPT("■",ROUND($F1006/5,0)))</f>
        <v/>
      </c>
      <c r="I1006" s="7" t="n"/>
      <c r="J1006" s="7" t="n"/>
      <c r="K1006" s="7" t="n"/>
      <c r="L1006" s="7" t="n"/>
      <c r="M1006" s="7" t="n"/>
      <c r="N1006" s="7" t="n"/>
      <c r="O1006" s="7" t="n"/>
      <c r="P1006" s="8" t="n"/>
    </row>
    <row r="1007">
      <c r="A1007" s="14">
        <f>IF($S$997="","",INDEX(회차설정!$A$13:$A$27,$S$997))</f>
        <v/>
      </c>
      <c r="B1007" s="14">
        <f>IF($S$997="","",INDEX(회차설정!$B$13:$B$27,$S$997))</f>
        <v/>
      </c>
      <c r="C1007" s="8" t="n"/>
      <c r="D1007" s="14">
        <f>IF($S$997="","",IF($R$988="언어와 매체",SUMPRODUCT((자동계산!$A$4:$A$48&gt;=INDEX(회차설정!$C$13:$C$27,$S$997))*(자동계산!$A$4:$A$48&lt;=INDEX(회차설정!$D$13:$D$27,$S$997))*자동계산!$E$4:$E$48),SUMPRODUCT((자동계산!$A$4:$A$48&gt;=INDEX(회차설정!$C$13:$C$27,$S$997))*(자동계산!$A$4:$A$48&lt;=INDEX(회차설정!$D$13:$D$27,$S$997))*자동계산!$C$4:$C$48)))</f>
        <v/>
      </c>
      <c r="E1007" s="14">
        <f>IF(OR($S$997="",$R$987=""),"",SUM(OFFSET(전체채점!$AW$2,$R$987,INDEX(회차설정!$C$13:$C$27,$S$997),1,INDEX(회차설정!$D$13:$D$27,$S$997)-INDEX(회차설정!$C$13:$C$27,$S$997)+1)))</f>
        <v/>
      </c>
      <c r="F1007" s="46">
        <f>IF(OR($S$997="",$D1007=0,$D1007="",$E1007=""),"",$E1007/$D1007*100)</f>
        <v/>
      </c>
      <c r="G1007" s="8" t="n"/>
      <c r="H1007" s="47">
        <f>IF($F1007="","",REPT("■",ROUND($F1007/5,0)))</f>
        <v/>
      </c>
      <c r="I1007" s="7" t="n"/>
      <c r="J1007" s="7" t="n"/>
      <c r="K1007" s="7" t="n"/>
      <c r="L1007" s="7" t="n"/>
      <c r="M1007" s="7" t="n"/>
      <c r="N1007" s="7" t="n"/>
      <c r="O1007" s="7" t="n"/>
      <c r="P1007" s="8" t="n"/>
    </row>
    <row r="1008">
      <c r="A1008" s="14">
        <f>IF($S$998="","",INDEX(회차설정!$A$13:$A$27,$S$998))</f>
        <v/>
      </c>
      <c r="B1008" s="14">
        <f>IF($S$998="","",INDEX(회차설정!$B$13:$B$27,$S$998))</f>
        <v/>
      </c>
      <c r="C1008" s="8" t="n"/>
      <c r="D1008" s="14">
        <f>IF($S$998="","",IF($R$988="언어와 매체",SUMPRODUCT((자동계산!$A$4:$A$48&gt;=INDEX(회차설정!$C$13:$C$27,$S$998))*(자동계산!$A$4:$A$48&lt;=INDEX(회차설정!$D$13:$D$27,$S$998))*자동계산!$E$4:$E$48),SUMPRODUCT((자동계산!$A$4:$A$48&gt;=INDEX(회차설정!$C$13:$C$27,$S$998))*(자동계산!$A$4:$A$48&lt;=INDEX(회차설정!$D$13:$D$27,$S$998))*자동계산!$C$4:$C$48)))</f>
        <v/>
      </c>
      <c r="E1008" s="14">
        <f>IF(OR($S$998="",$R$987=""),"",SUM(OFFSET(전체채점!$AW$2,$R$987,INDEX(회차설정!$C$13:$C$27,$S$998),1,INDEX(회차설정!$D$13:$D$27,$S$998)-INDEX(회차설정!$C$13:$C$27,$S$998)+1)))</f>
        <v/>
      </c>
      <c r="F1008" s="46">
        <f>IF(OR($S$998="",$D1008=0,$D1008="",$E1008=""),"",$E1008/$D1008*100)</f>
        <v/>
      </c>
      <c r="G1008" s="8" t="n"/>
      <c r="H1008" s="47">
        <f>IF($F1008="","",REPT("■",ROUND($F1008/5,0)))</f>
        <v/>
      </c>
      <c r="I1008" s="7" t="n"/>
      <c r="J1008" s="7" t="n"/>
      <c r="K1008" s="7" t="n"/>
      <c r="L1008" s="7" t="n"/>
      <c r="M1008" s="7" t="n"/>
      <c r="N1008" s="7" t="n"/>
      <c r="O1008" s="7" t="n"/>
      <c r="P1008" s="8" t="n"/>
    </row>
    <row r="1009">
      <c r="A1009" s="5">
        <f>IF($R$987="","","합계")</f>
        <v/>
      </c>
      <c r="B1009" s="7" t="n"/>
      <c r="C1009" s="8" t="n"/>
      <c r="D1009" s="5">
        <f>IF($R$987="","",SUM(D997:D1008))</f>
        <v/>
      </c>
      <c r="E1009" s="5">
        <f>IF($R$987="","",SUM(E997:E1008))</f>
        <v/>
      </c>
      <c r="F1009" s="48">
        <f>IF(OR($D1009=0,$D1009=""),"",$E1009/$D1009*100)</f>
        <v/>
      </c>
      <c r="G1009" s="8" t="n"/>
      <c r="H1009" s="49">
        <f>IF($F1009="","",REPT("■",ROUND($F1009/5,0)))</f>
        <v/>
      </c>
      <c r="I1009" s="7" t="n"/>
      <c r="J1009" s="7" t="n"/>
      <c r="K1009" s="7" t="n"/>
      <c r="L1009" s="7" t="n"/>
      <c r="M1009" s="7" t="n"/>
      <c r="N1009" s="7" t="n"/>
      <c r="O1009" s="7" t="n"/>
      <c r="P1009" s="8" t="n"/>
    </row>
    <row r="1011">
      <c r="A1011" s="12" t="inlineStr">
        <is>
          <t>4. 문항 채점표</t>
        </is>
      </c>
    </row>
    <row r="1012">
      <c r="A1012" s="50" t="inlineStr">
        <is>
          <t>문항 번호</t>
        </is>
      </c>
      <c r="B1012" s="51" t="n">
        <v>1</v>
      </c>
      <c r="C1012" s="51" t="n">
        <v>2</v>
      </c>
      <c r="D1012" s="51" t="n">
        <v>3</v>
      </c>
      <c r="E1012" s="51" t="n">
        <v>4</v>
      </c>
      <c r="F1012" s="51" t="n">
        <v>5</v>
      </c>
      <c r="G1012" s="51" t="n">
        <v>6</v>
      </c>
      <c r="H1012" s="51" t="n">
        <v>7</v>
      </c>
      <c r="I1012" s="51" t="n">
        <v>8</v>
      </c>
      <c r="J1012" s="51" t="n">
        <v>9</v>
      </c>
      <c r="K1012" s="51" t="n">
        <v>10</v>
      </c>
      <c r="L1012" s="51" t="n">
        <v>11</v>
      </c>
      <c r="M1012" s="51" t="n">
        <v>12</v>
      </c>
      <c r="N1012" s="51" t="n">
        <v>13</v>
      </c>
      <c r="O1012" s="51" t="n">
        <v>14</v>
      </c>
      <c r="P1012" s="51" t="n">
        <v>15</v>
      </c>
    </row>
    <row r="1013">
      <c r="A1013" s="52" t="inlineStr">
        <is>
          <t>정답</t>
        </is>
      </c>
      <c r="B1013" s="33">
        <f>IF($R$988="","",IF($R$988="언어와 매체",자동계산!$D$4,자동계산!$B$4))</f>
        <v/>
      </c>
      <c r="C1013" s="33">
        <f>IF($R$988="","",IF($R$988="언어와 매체",자동계산!$D$5,자동계산!$B$5))</f>
        <v/>
      </c>
      <c r="D1013" s="33">
        <f>IF($R$988="","",IF($R$988="언어와 매체",자동계산!$D$6,자동계산!$B$6))</f>
        <v/>
      </c>
      <c r="E1013" s="33">
        <f>IF($R$988="","",IF($R$988="언어와 매체",자동계산!$D$7,자동계산!$B$7))</f>
        <v/>
      </c>
      <c r="F1013" s="33">
        <f>IF($R$988="","",IF($R$988="언어와 매체",자동계산!$D$8,자동계산!$B$8))</f>
        <v/>
      </c>
      <c r="G1013" s="33">
        <f>IF($R$988="","",IF($R$988="언어와 매체",자동계산!$D$9,자동계산!$B$9))</f>
        <v/>
      </c>
      <c r="H1013" s="33">
        <f>IF($R$988="","",IF($R$988="언어와 매체",자동계산!$D$10,자동계산!$B$10))</f>
        <v/>
      </c>
      <c r="I1013" s="33">
        <f>IF($R$988="","",IF($R$988="언어와 매체",자동계산!$D$11,자동계산!$B$11))</f>
        <v/>
      </c>
      <c r="J1013" s="33">
        <f>IF($R$988="","",IF($R$988="언어와 매체",자동계산!$D$12,자동계산!$B$12))</f>
        <v/>
      </c>
      <c r="K1013" s="33">
        <f>IF($R$988="","",IF($R$988="언어와 매체",자동계산!$D$13,자동계산!$B$13))</f>
        <v/>
      </c>
      <c r="L1013" s="33">
        <f>IF($R$988="","",IF($R$988="언어와 매체",자동계산!$D$14,자동계산!$B$14))</f>
        <v/>
      </c>
      <c r="M1013" s="33">
        <f>IF($R$988="","",IF($R$988="언어와 매체",자동계산!$D$15,자동계산!$B$15))</f>
        <v/>
      </c>
      <c r="N1013" s="33">
        <f>IF($R$988="","",IF($R$988="언어와 매체",자동계산!$D$16,자동계산!$B$16))</f>
        <v/>
      </c>
      <c r="O1013" s="33">
        <f>IF($R$988="","",IF($R$988="언어와 매체",자동계산!$D$17,자동계산!$B$17))</f>
        <v/>
      </c>
      <c r="P1013" s="33">
        <f>IF($R$988="","",IF($R$988="언어와 매체",자동계산!$D$18,자동계산!$B$18))</f>
        <v/>
      </c>
    </row>
    <row r="1014">
      <c r="A1014" s="52" t="inlineStr">
        <is>
          <t>학생답안</t>
        </is>
      </c>
      <c r="B1014" s="33">
        <f>IF($R$987="","",INDEX(전체채점!E$3:E$62,$R$987))</f>
        <v/>
      </c>
      <c r="C1014" s="33">
        <f>IF($R$987="","",INDEX(전체채점!F$3:F$62,$R$987))</f>
        <v/>
      </c>
      <c r="D1014" s="33">
        <f>IF($R$987="","",INDEX(전체채점!G$3:G$62,$R$987))</f>
        <v/>
      </c>
      <c r="E1014" s="33">
        <f>IF($R$987="","",INDEX(전체채점!H$3:H$62,$R$987))</f>
        <v/>
      </c>
      <c r="F1014" s="33">
        <f>IF($R$987="","",INDEX(전체채점!I$3:I$62,$R$987))</f>
        <v/>
      </c>
      <c r="G1014" s="33">
        <f>IF($R$987="","",INDEX(전체채점!J$3:J$62,$R$987))</f>
        <v/>
      </c>
      <c r="H1014" s="33">
        <f>IF($R$987="","",INDEX(전체채점!K$3:K$62,$R$987))</f>
        <v/>
      </c>
      <c r="I1014" s="33">
        <f>IF($R$987="","",INDEX(전체채점!L$3:L$62,$R$987))</f>
        <v/>
      </c>
      <c r="J1014" s="33">
        <f>IF($R$987="","",INDEX(전체채점!M$3:M$62,$R$987))</f>
        <v/>
      </c>
      <c r="K1014" s="33">
        <f>IF($R$987="","",INDEX(전체채점!N$3:N$62,$R$987))</f>
        <v/>
      </c>
      <c r="L1014" s="33">
        <f>IF($R$987="","",INDEX(전체채점!O$3:O$62,$R$987))</f>
        <v/>
      </c>
      <c r="M1014" s="33">
        <f>IF($R$987="","",INDEX(전체채점!P$3:P$62,$R$987))</f>
        <v/>
      </c>
      <c r="N1014" s="33">
        <f>IF($R$987="","",INDEX(전체채점!Q$3:Q$62,$R$987))</f>
        <v/>
      </c>
      <c r="O1014" s="33">
        <f>IF($R$987="","",INDEX(전체채점!R$3:R$62,$R$987))</f>
        <v/>
      </c>
      <c r="P1014" s="33">
        <f>IF($R$987="","",INDEX(전체채점!S$3:S$62,$R$987))</f>
        <v/>
      </c>
    </row>
    <row r="1015">
      <c r="A1015" s="52" t="inlineStr">
        <is>
          <t>정오</t>
        </is>
      </c>
      <c r="B1015" s="33">
        <f>IF($R$987="","",INDEX(전체채점!AX$3:AX$62,$R$987))</f>
        <v/>
      </c>
      <c r="C1015" s="33">
        <f>IF($R$987="","",INDEX(전체채점!AY$3:AY$62,$R$987))</f>
        <v/>
      </c>
      <c r="D1015" s="33">
        <f>IF($R$987="","",INDEX(전체채점!AZ$3:AZ$62,$R$987))</f>
        <v/>
      </c>
      <c r="E1015" s="33">
        <f>IF($R$987="","",INDEX(전체채점!BA$3:BA$62,$R$987))</f>
        <v/>
      </c>
      <c r="F1015" s="33">
        <f>IF($R$987="","",INDEX(전체채점!BB$3:BB$62,$R$987))</f>
        <v/>
      </c>
      <c r="G1015" s="33">
        <f>IF($R$987="","",INDEX(전체채점!BC$3:BC$62,$R$987))</f>
        <v/>
      </c>
      <c r="H1015" s="33">
        <f>IF($R$987="","",INDEX(전체채점!BD$3:BD$62,$R$987))</f>
        <v/>
      </c>
      <c r="I1015" s="33">
        <f>IF($R$987="","",INDEX(전체채점!BE$3:BE$62,$R$987))</f>
        <v/>
      </c>
      <c r="J1015" s="33">
        <f>IF($R$987="","",INDEX(전체채점!BF$3:BF$62,$R$987))</f>
        <v/>
      </c>
      <c r="K1015" s="33">
        <f>IF($R$987="","",INDEX(전체채점!BG$3:BG$62,$R$987))</f>
        <v/>
      </c>
      <c r="L1015" s="33">
        <f>IF($R$987="","",INDEX(전체채점!BH$3:BH$62,$R$987))</f>
        <v/>
      </c>
      <c r="M1015" s="33">
        <f>IF($R$987="","",INDEX(전체채점!BI$3:BI$62,$R$987))</f>
        <v/>
      </c>
      <c r="N1015" s="33">
        <f>IF($R$987="","",INDEX(전체채점!BJ$3:BJ$62,$R$987))</f>
        <v/>
      </c>
      <c r="O1015" s="33">
        <f>IF($R$987="","",INDEX(전체채점!BK$3:BK$62,$R$987))</f>
        <v/>
      </c>
      <c r="P1015" s="33">
        <f>IF($R$987="","",INDEX(전체채점!BL$3:BL$62,$R$987))</f>
        <v/>
      </c>
    </row>
    <row r="1016">
      <c r="A1016" s="50" t="inlineStr">
        <is>
          <t>문항 번호</t>
        </is>
      </c>
      <c r="B1016" s="51" t="n">
        <v>16</v>
      </c>
      <c r="C1016" s="51" t="n">
        <v>17</v>
      </c>
      <c r="D1016" s="51" t="n">
        <v>18</v>
      </c>
      <c r="E1016" s="51" t="n">
        <v>19</v>
      </c>
      <c r="F1016" s="51" t="n">
        <v>20</v>
      </c>
      <c r="G1016" s="51" t="n">
        <v>21</v>
      </c>
      <c r="H1016" s="51" t="n">
        <v>22</v>
      </c>
      <c r="I1016" s="51" t="n">
        <v>23</v>
      </c>
      <c r="J1016" s="51" t="n">
        <v>24</v>
      </c>
      <c r="K1016" s="51" t="n">
        <v>25</v>
      </c>
      <c r="L1016" s="51" t="n">
        <v>26</v>
      </c>
      <c r="M1016" s="51" t="n">
        <v>27</v>
      </c>
      <c r="N1016" s="51" t="n">
        <v>28</v>
      </c>
      <c r="O1016" s="51" t="n">
        <v>29</v>
      </c>
      <c r="P1016" s="51" t="n">
        <v>30</v>
      </c>
    </row>
    <row r="1017">
      <c r="A1017" s="52" t="inlineStr">
        <is>
          <t>정답</t>
        </is>
      </c>
      <c r="B1017" s="33">
        <f>IF($R$988="","",IF($R$988="언어와 매체",자동계산!$D$19,자동계산!$B$19))</f>
        <v/>
      </c>
      <c r="C1017" s="33">
        <f>IF($R$988="","",IF($R$988="언어와 매체",자동계산!$D$20,자동계산!$B$20))</f>
        <v/>
      </c>
      <c r="D1017" s="33">
        <f>IF($R$988="","",IF($R$988="언어와 매체",자동계산!$D$21,자동계산!$B$21))</f>
        <v/>
      </c>
      <c r="E1017" s="33">
        <f>IF($R$988="","",IF($R$988="언어와 매체",자동계산!$D$22,자동계산!$B$22))</f>
        <v/>
      </c>
      <c r="F1017" s="33">
        <f>IF($R$988="","",IF($R$988="언어와 매체",자동계산!$D$23,자동계산!$B$23))</f>
        <v/>
      </c>
      <c r="G1017" s="33">
        <f>IF($R$988="","",IF($R$988="언어와 매체",자동계산!$D$24,자동계산!$B$24))</f>
        <v/>
      </c>
      <c r="H1017" s="33">
        <f>IF($R$988="","",IF($R$988="언어와 매체",자동계산!$D$25,자동계산!$B$25))</f>
        <v/>
      </c>
      <c r="I1017" s="33">
        <f>IF($R$988="","",IF($R$988="언어와 매체",자동계산!$D$26,자동계산!$B$26))</f>
        <v/>
      </c>
      <c r="J1017" s="33">
        <f>IF($R$988="","",IF($R$988="언어와 매체",자동계산!$D$27,자동계산!$B$27))</f>
        <v/>
      </c>
      <c r="K1017" s="33">
        <f>IF($R$988="","",IF($R$988="언어와 매체",자동계산!$D$28,자동계산!$B$28))</f>
        <v/>
      </c>
      <c r="L1017" s="33">
        <f>IF($R$988="","",IF($R$988="언어와 매체",자동계산!$D$29,자동계산!$B$29))</f>
        <v/>
      </c>
      <c r="M1017" s="33">
        <f>IF($R$988="","",IF($R$988="언어와 매체",자동계산!$D$30,자동계산!$B$30))</f>
        <v/>
      </c>
      <c r="N1017" s="33">
        <f>IF($R$988="","",IF($R$988="언어와 매체",자동계산!$D$31,자동계산!$B$31))</f>
        <v/>
      </c>
      <c r="O1017" s="33">
        <f>IF($R$988="","",IF($R$988="언어와 매체",자동계산!$D$32,자동계산!$B$32))</f>
        <v/>
      </c>
      <c r="P1017" s="33">
        <f>IF($R$988="","",IF($R$988="언어와 매체",자동계산!$D$33,자동계산!$B$33))</f>
        <v/>
      </c>
    </row>
    <row r="1018">
      <c r="A1018" s="52" t="inlineStr">
        <is>
          <t>학생답안</t>
        </is>
      </c>
      <c r="B1018" s="33">
        <f>IF($R$987="","",INDEX(전체채점!T$3:T$62,$R$987))</f>
        <v/>
      </c>
      <c r="C1018" s="33">
        <f>IF($R$987="","",INDEX(전체채점!U$3:U$62,$R$987))</f>
        <v/>
      </c>
      <c r="D1018" s="33">
        <f>IF($R$987="","",INDEX(전체채점!V$3:V$62,$R$987))</f>
        <v/>
      </c>
      <c r="E1018" s="33">
        <f>IF($R$987="","",INDEX(전체채점!W$3:W$62,$R$987))</f>
        <v/>
      </c>
      <c r="F1018" s="33">
        <f>IF($R$987="","",INDEX(전체채점!X$3:X$62,$R$987))</f>
        <v/>
      </c>
      <c r="G1018" s="33">
        <f>IF($R$987="","",INDEX(전체채점!Y$3:Y$62,$R$987))</f>
        <v/>
      </c>
      <c r="H1018" s="33">
        <f>IF($R$987="","",INDEX(전체채점!Z$3:Z$62,$R$987))</f>
        <v/>
      </c>
      <c r="I1018" s="33">
        <f>IF($R$987="","",INDEX(전체채점!AA$3:AA$62,$R$987))</f>
        <v/>
      </c>
      <c r="J1018" s="33">
        <f>IF($R$987="","",INDEX(전체채점!AB$3:AB$62,$R$987))</f>
        <v/>
      </c>
      <c r="K1018" s="33">
        <f>IF($R$987="","",INDEX(전체채점!AC$3:AC$62,$R$987))</f>
        <v/>
      </c>
      <c r="L1018" s="33">
        <f>IF($R$987="","",INDEX(전체채점!AD$3:AD$62,$R$987))</f>
        <v/>
      </c>
      <c r="M1018" s="33">
        <f>IF($R$987="","",INDEX(전체채점!AE$3:AE$62,$R$987))</f>
        <v/>
      </c>
      <c r="N1018" s="33">
        <f>IF($R$987="","",INDEX(전체채점!AF$3:AF$62,$R$987))</f>
        <v/>
      </c>
      <c r="O1018" s="33">
        <f>IF($R$987="","",INDEX(전체채점!AG$3:AG$62,$R$987))</f>
        <v/>
      </c>
      <c r="P1018" s="33">
        <f>IF($R$987="","",INDEX(전체채점!AH$3:AH$62,$R$987))</f>
        <v/>
      </c>
    </row>
    <row r="1019">
      <c r="A1019" s="52" t="inlineStr">
        <is>
          <t>정오</t>
        </is>
      </c>
      <c r="B1019" s="33">
        <f>IF($R$987="","",INDEX(전체채점!BM$3:BM$62,$R$987))</f>
        <v/>
      </c>
      <c r="C1019" s="33">
        <f>IF($R$987="","",INDEX(전체채점!BN$3:BN$62,$R$987))</f>
        <v/>
      </c>
      <c r="D1019" s="33">
        <f>IF($R$987="","",INDEX(전체채점!BO$3:BO$62,$R$987))</f>
        <v/>
      </c>
      <c r="E1019" s="33">
        <f>IF($R$987="","",INDEX(전체채점!BP$3:BP$62,$R$987))</f>
        <v/>
      </c>
      <c r="F1019" s="33">
        <f>IF($R$987="","",INDEX(전체채점!BQ$3:BQ$62,$R$987))</f>
        <v/>
      </c>
      <c r="G1019" s="33">
        <f>IF($R$987="","",INDEX(전체채점!BR$3:BR$62,$R$987))</f>
        <v/>
      </c>
      <c r="H1019" s="33">
        <f>IF($R$987="","",INDEX(전체채점!BS$3:BS$62,$R$987))</f>
        <v/>
      </c>
      <c r="I1019" s="33">
        <f>IF($R$987="","",INDEX(전체채점!BT$3:BT$62,$R$987))</f>
        <v/>
      </c>
      <c r="J1019" s="33">
        <f>IF($R$987="","",INDEX(전체채점!BU$3:BU$62,$R$987))</f>
        <v/>
      </c>
      <c r="K1019" s="33">
        <f>IF($R$987="","",INDEX(전체채점!BV$3:BV$62,$R$987))</f>
        <v/>
      </c>
      <c r="L1019" s="33">
        <f>IF($R$987="","",INDEX(전체채점!BW$3:BW$62,$R$987))</f>
        <v/>
      </c>
      <c r="M1019" s="33">
        <f>IF($R$987="","",INDEX(전체채점!BX$3:BX$62,$R$987))</f>
        <v/>
      </c>
      <c r="N1019" s="33">
        <f>IF($R$987="","",INDEX(전체채점!BY$3:BY$62,$R$987))</f>
        <v/>
      </c>
      <c r="O1019" s="33">
        <f>IF($R$987="","",INDEX(전체채점!BZ$3:BZ$62,$R$987))</f>
        <v/>
      </c>
      <c r="P1019" s="33">
        <f>IF($R$987="","",INDEX(전체채점!CA$3:CA$62,$R$987))</f>
        <v/>
      </c>
    </row>
    <row r="1020">
      <c r="A1020" s="50" t="inlineStr">
        <is>
          <t>문항 번호</t>
        </is>
      </c>
      <c r="B1020" s="51" t="n">
        <v>31</v>
      </c>
      <c r="C1020" s="51" t="n">
        <v>32</v>
      </c>
      <c r="D1020" s="51" t="n">
        <v>33</v>
      </c>
      <c r="E1020" s="51" t="n">
        <v>34</v>
      </c>
      <c r="F1020" s="51" t="n">
        <v>35</v>
      </c>
      <c r="G1020" s="51" t="n">
        <v>36</v>
      </c>
      <c r="H1020" s="51" t="n">
        <v>37</v>
      </c>
      <c r="I1020" s="51" t="n">
        <v>38</v>
      </c>
      <c r="J1020" s="51" t="n">
        <v>39</v>
      </c>
      <c r="K1020" s="51" t="n">
        <v>40</v>
      </c>
      <c r="L1020" s="51" t="n">
        <v>41</v>
      </c>
      <c r="M1020" s="51" t="n">
        <v>42</v>
      </c>
      <c r="N1020" s="51" t="n">
        <v>43</v>
      </c>
      <c r="O1020" s="51" t="n">
        <v>44</v>
      </c>
      <c r="P1020" s="51" t="n">
        <v>45</v>
      </c>
    </row>
    <row r="1021">
      <c r="A1021" s="52" t="inlineStr">
        <is>
          <t>정답</t>
        </is>
      </c>
      <c r="B1021" s="33">
        <f>IF($R$988="","",IF($R$988="언어와 매체",자동계산!$D$34,자동계산!$B$34))</f>
        <v/>
      </c>
      <c r="C1021" s="33">
        <f>IF($R$988="","",IF($R$988="언어와 매체",자동계산!$D$35,자동계산!$B$35))</f>
        <v/>
      </c>
      <c r="D1021" s="33">
        <f>IF($R$988="","",IF($R$988="언어와 매체",자동계산!$D$36,자동계산!$B$36))</f>
        <v/>
      </c>
      <c r="E1021" s="33">
        <f>IF($R$988="","",IF($R$988="언어와 매체",자동계산!$D$37,자동계산!$B$37))</f>
        <v/>
      </c>
      <c r="F1021" s="33">
        <f>IF($R$988="","",IF($R$988="언어와 매체",자동계산!$D$38,자동계산!$B$38))</f>
        <v/>
      </c>
      <c r="G1021" s="33">
        <f>IF($R$988="","",IF($R$988="언어와 매체",자동계산!$D$39,자동계산!$B$39))</f>
        <v/>
      </c>
      <c r="H1021" s="33">
        <f>IF($R$988="","",IF($R$988="언어와 매체",자동계산!$D$40,자동계산!$B$40))</f>
        <v/>
      </c>
      <c r="I1021" s="33">
        <f>IF($R$988="","",IF($R$988="언어와 매체",자동계산!$D$41,자동계산!$B$41))</f>
        <v/>
      </c>
      <c r="J1021" s="33">
        <f>IF($R$988="","",IF($R$988="언어와 매체",자동계산!$D$42,자동계산!$B$42))</f>
        <v/>
      </c>
      <c r="K1021" s="33">
        <f>IF($R$988="","",IF($R$988="언어와 매체",자동계산!$D$43,자동계산!$B$43))</f>
        <v/>
      </c>
      <c r="L1021" s="33">
        <f>IF($R$988="","",IF($R$988="언어와 매체",자동계산!$D$44,자동계산!$B$44))</f>
        <v/>
      </c>
      <c r="M1021" s="33">
        <f>IF($R$988="","",IF($R$988="언어와 매체",자동계산!$D$45,자동계산!$B$45))</f>
        <v/>
      </c>
      <c r="N1021" s="33">
        <f>IF($R$988="","",IF($R$988="언어와 매체",자동계산!$D$46,자동계산!$B$46))</f>
        <v/>
      </c>
      <c r="O1021" s="33">
        <f>IF($R$988="","",IF($R$988="언어와 매체",자동계산!$D$47,자동계산!$B$47))</f>
        <v/>
      </c>
      <c r="P1021" s="33">
        <f>IF($R$988="","",IF($R$988="언어와 매체",자동계산!$D$48,자동계산!$B$48))</f>
        <v/>
      </c>
    </row>
    <row r="1022">
      <c r="A1022" s="52" t="inlineStr">
        <is>
          <t>학생답안</t>
        </is>
      </c>
      <c r="B1022" s="33">
        <f>IF($R$987="","",INDEX(전체채점!AI$3:AI$62,$R$987))</f>
        <v/>
      </c>
      <c r="C1022" s="33">
        <f>IF($R$987="","",INDEX(전체채점!AJ$3:AJ$62,$R$987))</f>
        <v/>
      </c>
      <c r="D1022" s="33">
        <f>IF($R$987="","",INDEX(전체채점!AK$3:AK$62,$R$987))</f>
        <v/>
      </c>
      <c r="E1022" s="33">
        <f>IF($R$987="","",INDEX(전체채점!AL$3:AL$62,$R$987))</f>
        <v/>
      </c>
      <c r="F1022" s="33">
        <f>IF($R$987="","",INDEX(전체채점!AM$3:AM$62,$R$987))</f>
        <v/>
      </c>
      <c r="G1022" s="33">
        <f>IF($R$987="","",INDEX(전체채점!AN$3:AN$62,$R$987))</f>
        <v/>
      </c>
      <c r="H1022" s="33">
        <f>IF($R$987="","",INDEX(전체채점!AO$3:AO$62,$R$987))</f>
        <v/>
      </c>
      <c r="I1022" s="33">
        <f>IF($R$987="","",INDEX(전체채점!AP$3:AP$62,$R$987))</f>
        <v/>
      </c>
      <c r="J1022" s="33">
        <f>IF($R$987="","",INDEX(전체채점!AQ$3:AQ$62,$R$987))</f>
        <v/>
      </c>
      <c r="K1022" s="33">
        <f>IF($R$987="","",INDEX(전체채점!AR$3:AR$62,$R$987))</f>
        <v/>
      </c>
      <c r="L1022" s="33">
        <f>IF($R$987="","",INDEX(전체채점!AS$3:AS$62,$R$987))</f>
        <v/>
      </c>
      <c r="M1022" s="33">
        <f>IF($R$987="","",INDEX(전체채점!AT$3:AT$62,$R$987))</f>
        <v/>
      </c>
      <c r="N1022" s="33">
        <f>IF($R$987="","",INDEX(전체채점!AU$3:AU$62,$R$987))</f>
        <v/>
      </c>
      <c r="O1022" s="33">
        <f>IF($R$987="","",INDEX(전체채점!AV$3:AV$62,$R$987))</f>
        <v/>
      </c>
      <c r="P1022" s="33">
        <f>IF($R$987="","",INDEX(전체채점!AW$3:AW$62,$R$987))</f>
        <v/>
      </c>
    </row>
    <row r="1023">
      <c r="A1023" s="52" t="inlineStr">
        <is>
          <t>정오</t>
        </is>
      </c>
      <c r="B1023" s="33">
        <f>IF($R$987="","",INDEX(전체채점!CB$3:CB$62,$R$987))</f>
        <v/>
      </c>
      <c r="C1023" s="33">
        <f>IF($R$987="","",INDEX(전체채점!CC$3:CC$62,$R$987))</f>
        <v/>
      </c>
      <c r="D1023" s="33">
        <f>IF($R$987="","",INDEX(전체채점!CD$3:CD$62,$R$987))</f>
        <v/>
      </c>
      <c r="E1023" s="33">
        <f>IF($R$987="","",INDEX(전체채점!CE$3:CE$62,$R$987))</f>
        <v/>
      </c>
      <c r="F1023" s="33">
        <f>IF($R$987="","",INDEX(전체채점!CF$3:CF$62,$R$987))</f>
        <v/>
      </c>
      <c r="G1023" s="33">
        <f>IF($R$987="","",INDEX(전체채점!CG$3:CG$62,$R$987))</f>
        <v/>
      </c>
      <c r="H1023" s="33">
        <f>IF($R$987="","",INDEX(전체채점!CH$3:CH$62,$R$987))</f>
        <v/>
      </c>
      <c r="I1023" s="33">
        <f>IF($R$987="","",INDEX(전체채점!CI$3:CI$62,$R$987))</f>
        <v/>
      </c>
      <c r="J1023" s="33">
        <f>IF($R$987="","",INDEX(전체채점!CJ$3:CJ$62,$R$987))</f>
        <v/>
      </c>
      <c r="K1023" s="33">
        <f>IF($R$987="","",INDEX(전체채점!CK$3:CK$62,$R$987))</f>
        <v/>
      </c>
      <c r="L1023" s="33">
        <f>IF($R$987="","",INDEX(전체채점!CL$3:CL$62,$R$987))</f>
        <v/>
      </c>
      <c r="M1023" s="33">
        <f>IF($R$987="","",INDEX(전체채점!CM$3:CM$62,$R$987))</f>
        <v/>
      </c>
      <c r="N1023" s="33">
        <f>IF($R$987="","",INDEX(전체채점!CN$3:CN$62,$R$987))</f>
        <v/>
      </c>
      <c r="O1023" s="33">
        <f>IF($R$987="","",INDEX(전체채점!CO$3:CO$62,$R$987))</f>
        <v/>
      </c>
      <c r="P1023" s="33">
        <f>IF($R$987="","",INDEX(전체채점!CP$3:CP$62,$R$987))</f>
        <v/>
      </c>
    </row>
    <row r="1026" ht="34" customHeight="1">
      <c r="A1026" s="36">
        <f>IF($R$1028="","",회차설정!$B$2&amp;" 성적표")</f>
        <v/>
      </c>
    </row>
    <row r="1028">
      <c r="A1028" s="12" t="inlineStr">
        <is>
          <t>1. 학생정보</t>
        </is>
      </c>
      <c r="R1028" s="37">
        <f>IF(답안입력!$A$28="","",26)</f>
        <v/>
      </c>
      <c r="S1028" s="37">
        <f>IF($R$1029="","",IFERROR(IF($R$1029="언어와 매체",MATCH(1,회차설정!$G$13:$G$27,0),MATCH(1,회차설정!$F$13:$F$27,0)),""))</f>
        <v/>
      </c>
    </row>
    <row r="1029">
      <c r="A1029" s="13" t="inlineStr">
        <is>
          <t>성명</t>
        </is>
      </c>
      <c r="B1029" s="7" t="n"/>
      <c r="C1029" s="8" t="n"/>
      <c r="D1029" s="13" t="inlineStr">
        <is>
          <t>선택과목</t>
        </is>
      </c>
      <c r="E1029" s="7" t="n"/>
      <c r="F1029" s="7" t="n"/>
      <c r="G1029" s="8" t="n"/>
      <c r="H1029" s="13" t="inlineStr">
        <is>
          <t>학년</t>
        </is>
      </c>
      <c r="I1029" s="7" t="n"/>
      <c r="J1029" s="7" t="n"/>
      <c r="K1029" s="8" t="n"/>
      <c r="L1029" s="13" t="inlineStr">
        <is>
          <t>시행일</t>
        </is>
      </c>
      <c r="M1029" s="7" t="n"/>
      <c r="N1029" s="7" t="n"/>
      <c r="O1029" s="7" t="n"/>
      <c r="P1029" s="8" t="n"/>
      <c r="R1029" s="37">
        <f>IF($R$1028="","",INDEX(전체채점!$B$3:$B$62,$R$1028))</f>
        <v/>
      </c>
      <c r="S1029" s="37">
        <f>IF($R$1029="","",IFERROR(IF($R$1029="언어와 매체",MATCH(2,회차설정!$G$13:$G$27,0),MATCH(2,회차설정!$F$13:$F$27,0)),""))</f>
        <v/>
      </c>
    </row>
    <row r="1030" ht="26" customHeight="1">
      <c r="A1030" s="39">
        <f>IF($R$1028="","",INDEX(답안입력!$A$3:$A$62,$R$1028))</f>
        <v/>
      </c>
      <c r="B1030" s="7" t="n"/>
      <c r="C1030" s="8" t="n"/>
      <c r="D1030" s="39">
        <f>IF($R$1028="","",INDEX(답안입력!$C$3:$C$62,$R$1028))</f>
        <v/>
      </c>
      <c r="E1030" s="7" t="n"/>
      <c r="F1030" s="7" t="n"/>
      <c r="G1030" s="8" t="n"/>
      <c r="H1030" s="39">
        <f>IF($R$1028="","",INDEX(답안입력!$B$3:$B$62,$R$1028))</f>
        <v/>
      </c>
      <c r="I1030" s="7" t="n"/>
      <c r="J1030" s="7" t="n"/>
      <c r="K1030" s="8" t="n"/>
      <c r="L1030" s="40">
        <f>회차설정!$B$3</f>
        <v/>
      </c>
      <c r="M1030" s="7" t="n"/>
      <c r="N1030" s="7" t="n"/>
      <c r="O1030" s="7" t="n"/>
      <c r="P1030" s="8" t="n"/>
      <c r="R1030" s="37">
        <f>IF($R$1029="언어와 매체",회차설정!$B$9,회차설정!$B$8)</f>
        <v/>
      </c>
      <c r="S1030" s="37">
        <f>IF($R$1029="","",IFERROR(IF($R$1029="언어와 매체",MATCH(3,회차설정!$G$13:$G$27,0),MATCH(3,회차설정!$F$13:$F$27,0)),""))</f>
        <v/>
      </c>
    </row>
    <row r="1031">
      <c r="R1031" s="37">
        <f>IF($R$1029="언어와 매체",회차설정!$C$9,회차설정!$C$8)</f>
        <v/>
      </c>
      <c r="S1031" s="37">
        <f>IF($R$1029="","",IFERROR(IF($R$1029="언어와 매체",MATCH(4,회차설정!$G$13:$G$27,0),MATCH(4,회차설정!$F$13:$F$27,0)),""))</f>
        <v/>
      </c>
    </row>
    <row r="1032">
      <c r="A1032" s="12" t="inlineStr">
        <is>
          <t>2. 성적</t>
        </is>
      </c>
      <c r="R1032" s="37">
        <f>IF($R$1029="언어와 매체",회차설정!$D$9,회차설정!$D$8)</f>
        <v/>
      </c>
      <c r="S1032" s="37">
        <f>IF($R$1029="","",IFERROR(IF($R$1029="언어와 매체",MATCH(5,회차설정!$G$13:$G$27,0),MATCH(5,회차설정!$F$13:$F$27,0)),""))</f>
        <v/>
      </c>
    </row>
    <row r="1033">
      <c r="A1033" s="13" t="inlineStr">
        <is>
          <t>점수 (100점 만점)</t>
        </is>
      </c>
      <c r="B1033" s="7" t="n"/>
      <c r="C1033" s="7" t="n"/>
      <c r="D1033" s="7" t="n"/>
      <c r="E1033" s="8" t="n"/>
      <c r="F1033" s="13" t="inlineStr">
        <is>
          <t>등급</t>
        </is>
      </c>
      <c r="G1033" s="7" t="n"/>
      <c r="H1033" s="8" t="n"/>
      <c r="I1033" s="13" t="inlineStr">
        <is>
          <t>등급컷</t>
        </is>
      </c>
      <c r="J1033" s="7" t="n"/>
      <c r="K1033" s="7" t="n"/>
      <c r="L1033" s="8" t="n"/>
      <c r="M1033" s="13" t="inlineStr">
        <is>
          <t>같은 선택과목 평균</t>
        </is>
      </c>
      <c r="N1033" s="7" t="n"/>
      <c r="O1033" s="7" t="n"/>
      <c r="P1033" s="8" t="n"/>
      <c r="R1033" s="37">
        <f>IF($R$1029="언어와 매체",회차설정!$E$9,회차설정!$E$8)</f>
        <v/>
      </c>
      <c r="S1033" s="37">
        <f>IF($R$1029="","",IFERROR(IF($R$1029="언어와 매체",MATCH(6,회차설정!$G$13:$G$27,0),MATCH(6,회차설정!$F$13:$F$27,0)),""))</f>
        <v/>
      </c>
    </row>
    <row r="1034" ht="34" customHeight="1">
      <c r="A1034" s="41">
        <f>IF($R$1028="","",INDEX(전체채점!$C$3:$C$62,$R$1028))</f>
        <v/>
      </c>
      <c r="B1034" s="7" t="n"/>
      <c r="C1034" s="7" t="n"/>
      <c r="D1034" s="7" t="n"/>
      <c r="E1034" s="8" t="n"/>
      <c r="F1034" s="42">
        <f>IF($R$1028="","",INDEX(전체채점!$D$3:$D$62,$R$1028))</f>
        <v/>
      </c>
      <c r="G1034" s="7" t="n"/>
      <c r="H1034" s="8" t="n"/>
      <c r="I1034" s="43">
        <f>IF($R$1028="","",$R$1030&amp;"-"&amp;$R$1031&amp;"-"&amp;$R$1032&amp;"-"&amp;$R$1033)</f>
        <v/>
      </c>
      <c r="J1034" s="7" t="n"/>
      <c r="K1034" s="7" t="n"/>
      <c r="L1034" s="8" t="n"/>
      <c r="M1034" s="44">
        <f>IFERROR(AVERAGEIF(전체채점!$B$3:$B$62,$R$1029,전체채점!$C$3:$C$62),"")</f>
        <v/>
      </c>
      <c r="N1034" s="7" t="n"/>
      <c r="O1034" s="7" t="n"/>
      <c r="P1034" s="8" t="n"/>
      <c r="S1034" s="37">
        <f>IF($R$1029="","",IFERROR(IF($R$1029="언어와 매체",MATCH(7,회차설정!$G$13:$G$27,0),MATCH(7,회차설정!$F$13:$F$27,0)),""))</f>
        <v/>
      </c>
    </row>
    <row r="1035">
      <c r="S1035" s="37">
        <f>IF($R$1029="","",IFERROR(IF($R$1029="언어와 매체",MATCH(8,회차설정!$G$13:$G$27,0),MATCH(8,회차설정!$F$13:$F$27,0)),""))</f>
        <v/>
      </c>
    </row>
    <row r="1036">
      <c r="A1036" s="12" t="inlineStr">
        <is>
          <t>3. 영역분류별 성취도 분석</t>
        </is>
      </c>
      <c r="F1036" s="45">
        <f>IF(OR($R$1028="",$E1050=""),"",IF($E1050=INDEX(전체채점!$C$3:$C$62,$R$1028),"","※ 회차설정의 영역 표를 확인하세요 — 영역 합계와 점수가 다릅니다"))</f>
        <v/>
      </c>
      <c r="S1036" s="37">
        <f>IF($R$1029="","",IFERROR(IF($R$1029="언어와 매체",MATCH(9,회차설정!$G$13:$G$27,0),MATCH(9,회차설정!$F$13:$F$27,0)),""))</f>
        <v/>
      </c>
    </row>
    <row r="1037">
      <c r="A1037" s="13" t="inlineStr">
        <is>
          <t>분류</t>
        </is>
      </c>
      <c r="B1037" s="13" t="inlineStr">
        <is>
          <t>영역</t>
        </is>
      </c>
      <c r="C1037" s="8" t="n"/>
      <c r="D1037" s="13" t="inlineStr">
        <is>
          <t>배점</t>
        </is>
      </c>
      <c r="E1037" s="13" t="inlineStr">
        <is>
          <t>득점</t>
        </is>
      </c>
      <c r="F1037" s="13" t="inlineStr">
        <is>
          <t>성취도(%)</t>
        </is>
      </c>
      <c r="G1037" s="8" t="n"/>
      <c r="H1037" s="13" t="inlineStr"/>
      <c r="I1037" s="7" t="n"/>
      <c r="J1037" s="7" t="n"/>
      <c r="K1037" s="7" t="n"/>
      <c r="L1037" s="7" t="n"/>
      <c r="M1037" s="7" t="n"/>
      <c r="N1037" s="7" t="n"/>
      <c r="O1037" s="7" t="n"/>
      <c r="P1037" s="8" t="n"/>
      <c r="S1037" s="37">
        <f>IF($R$1029="","",IFERROR(IF($R$1029="언어와 매체",MATCH(10,회차설정!$G$13:$G$27,0),MATCH(10,회차설정!$F$13:$F$27,0)),""))</f>
        <v/>
      </c>
    </row>
    <row r="1038">
      <c r="A1038" s="14">
        <f>IF($S$1028="","",INDEX(회차설정!$A$13:$A$27,$S$1028))</f>
        <v/>
      </c>
      <c r="B1038" s="14">
        <f>IF($S$1028="","",INDEX(회차설정!$B$13:$B$27,$S$1028))</f>
        <v/>
      </c>
      <c r="C1038" s="8" t="n"/>
      <c r="D1038" s="14">
        <f>IF($S$1028="","",IF($R$1029="언어와 매체",SUMPRODUCT((자동계산!$A$4:$A$48&gt;=INDEX(회차설정!$C$13:$C$27,$S$1028))*(자동계산!$A$4:$A$48&lt;=INDEX(회차설정!$D$13:$D$27,$S$1028))*자동계산!$E$4:$E$48),SUMPRODUCT((자동계산!$A$4:$A$48&gt;=INDEX(회차설정!$C$13:$C$27,$S$1028))*(자동계산!$A$4:$A$48&lt;=INDEX(회차설정!$D$13:$D$27,$S$1028))*자동계산!$C$4:$C$48)))</f>
        <v/>
      </c>
      <c r="E1038" s="14">
        <f>IF(OR($S$1028="",$R$1028=""),"",SUM(OFFSET(전체채점!$AW$2,$R$1028,INDEX(회차설정!$C$13:$C$27,$S$1028),1,INDEX(회차설정!$D$13:$D$27,$S$1028)-INDEX(회차설정!$C$13:$C$27,$S$1028)+1)))</f>
        <v/>
      </c>
      <c r="F1038" s="46">
        <f>IF(OR($S$1028="",$D1038=0,$D1038="",$E1038=""),"",$E1038/$D1038*100)</f>
        <v/>
      </c>
      <c r="G1038" s="8" t="n"/>
      <c r="H1038" s="47">
        <f>IF($F1038="","",REPT("■",ROUND($F1038/5,0)))</f>
        <v/>
      </c>
      <c r="I1038" s="7" t="n"/>
      <c r="J1038" s="7" t="n"/>
      <c r="K1038" s="7" t="n"/>
      <c r="L1038" s="7" t="n"/>
      <c r="M1038" s="7" t="n"/>
      <c r="N1038" s="7" t="n"/>
      <c r="O1038" s="7" t="n"/>
      <c r="P1038" s="8" t="n"/>
      <c r="S1038" s="37">
        <f>IF($R$1029="","",IFERROR(IF($R$1029="언어와 매체",MATCH(11,회차설정!$G$13:$G$27,0),MATCH(11,회차설정!$F$13:$F$27,0)),""))</f>
        <v/>
      </c>
    </row>
    <row r="1039">
      <c r="A1039" s="14">
        <f>IF($S$1029="","",INDEX(회차설정!$A$13:$A$27,$S$1029))</f>
        <v/>
      </c>
      <c r="B1039" s="14">
        <f>IF($S$1029="","",INDEX(회차설정!$B$13:$B$27,$S$1029))</f>
        <v/>
      </c>
      <c r="C1039" s="8" t="n"/>
      <c r="D1039" s="14">
        <f>IF($S$1029="","",IF($R$1029="언어와 매체",SUMPRODUCT((자동계산!$A$4:$A$48&gt;=INDEX(회차설정!$C$13:$C$27,$S$1029))*(자동계산!$A$4:$A$48&lt;=INDEX(회차설정!$D$13:$D$27,$S$1029))*자동계산!$E$4:$E$48),SUMPRODUCT((자동계산!$A$4:$A$48&gt;=INDEX(회차설정!$C$13:$C$27,$S$1029))*(자동계산!$A$4:$A$48&lt;=INDEX(회차설정!$D$13:$D$27,$S$1029))*자동계산!$C$4:$C$48)))</f>
        <v/>
      </c>
      <c r="E1039" s="14">
        <f>IF(OR($S$1029="",$R$1028=""),"",SUM(OFFSET(전체채점!$AW$2,$R$1028,INDEX(회차설정!$C$13:$C$27,$S$1029),1,INDEX(회차설정!$D$13:$D$27,$S$1029)-INDEX(회차설정!$C$13:$C$27,$S$1029)+1)))</f>
        <v/>
      </c>
      <c r="F1039" s="46">
        <f>IF(OR($S$1029="",$D1039=0,$D1039="",$E1039=""),"",$E1039/$D1039*100)</f>
        <v/>
      </c>
      <c r="G1039" s="8" t="n"/>
      <c r="H1039" s="47">
        <f>IF($F1039="","",REPT("■",ROUND($F1039/5,0)))</f>
        <v/>
      </c>
      <c r="I1039" s="7" t="n"/>
      <c r="J1039" s="7" t="n"/>
      <c r="K1039" s="7" t="n"/>
      <c r="L1039" s="7" t="n"/>
      <c r="M1039" s="7" t="n"/>
      <c r="N1039" s="7" t="n"/>
      <c r="O1039" s="7" t="n"/>
      <c r="P1039" s="8" t="n"/>
      <c r="S1039" s="37">
        <f>IF($R$1029="","",IFERROR(IF($R$1029="언어와 매체",MATCH(12,회차설정!$G$13:$G$27,0),MATCH(12,회차설정!$F$13:$F$27,0)),""))</f>
        <v/>
      </c>
    </row>
    <row r="1040">
      <c r="A1040" s="14">
        <f>IF($S$1030="","",INDEX(회차설정!$A$13:$A$27,$S$1030))</f>
        <v/>
      </c>
      <c r="B1040" s="14">
        <f>IF($S$1030="","",INDEX(회차설정!$B$13:$B$27,$S$1030))</f>
        <v/>
      </c>
      <c r="C1040" s="8" t="n"/>
      <c r="D1040" s="14">
        <f>IF($S$1030="","",IF($R$1029="언어와 매체",SUMPRODUCT((자동계산!$A$4:$A$48&gt;=INDEX(회차설정!$C$13:$C$27,$S$1030))*(자동계산!$A$4:$A$48&lt;=INDEX(회차설정!$D$13:$D$27,$S$1030))*자동계산!$E$4:$E$48),SUMPRODUCT((자동계산!$A$4:$A$48&gt;=INDEX(회차설정!$C$13:$C$27,$S$1030))*(자동계산!$A$4:$A$48&lt;=INDEX(회차설정!$D$13:$D$27,$S$1030))*자동계산!$C$4:$C$48)))</f>
        <v/>
      </c>
      <c r="E1040" s="14">
        <f>IF(OR($S$1030="",$R$1028=""),"",SUM(OFFSET(전체채점!$AW$2,$R$1028,INDEX(회차설정!$C$13:$C$27,$S$1030),1,INDEX(회차설정!$D$13:$D$27,$S$1030)-INDEX(회차설정!$C$13:$C$27,$S$1030)+1)))</f>
        <v/>
      </c>
      <c r="F1040" s="46">
        <f>IF(OR($S$1030="",$D1040=0,$D1040="",$E1040=""),"",$E1040/$D1040*100)</f>
        <v/>
      </c>
      <c r="G1040" s="8" t="n"/>
      <c r="H1040" s="47">
        <f>IF($F1040="","",REPT("■",ROUND($F1040/5,0)))</f>
        <v/>
      </c>
      <c r="I1040" s="7" t="n"/>
      <c r="J1040" s="7" t="n"/>
      <c r="K1040" s="7" t="n"/>
      <c r="L1040" s="7" t="n"/>
      <c r="M1040" s="7" t="n"/>
      <c r="N1040" s="7" t="n"/>
      <c r="O1040" s="7" t="n"/>
      <c r="P1040" s="8" t="n"/>
    </row>
    <row r="1041">
      <c r="A1041" s="14">
        <f>IF($S$1031="","",INDEX(회차설정!$A$13:$A$27,$S$1031))</f>
        <v/>
      </c>
      <c r="B1041" s="14">
        <f>IF($S$1031="","",INDEX(회차설정!$B$13:$B$27,$S$1031))</f>
        <v/>
      </c>
      <c r="C1041" s="8" t="n"/>
      <c r="D1041" s="14">
        <f>IF($S$1031="","",IF($R$1029="언어와 매체",SUMPRODUCT((자동계산!$A$4:$A$48&gt;=INDEX(회차설정!$C$13:$C$27,$S$1031))*(자동계산!$A$4:$A$48&lt;=INDEX(회차설정!$D$13:$D$27,$S$1031))*자동계산!$E$4:$E$48),SUMPRODUCT((자동계산!$A$4:$A$48&gt;=INDEX(회차설정!$C$13:$C$27,$S$1031))*(자동계산!$A$4:$A$48&lt;=INDEX(회차설정!$D$13:$D$27,$S$1031))*자동계산!$C$4:$C$48)))</f>
        <v/>
      </c>
      <c r="E1041" s="14">
        <f>IF(OR($S$1031="",$R$1028=""),"",SUM(OFFSET(전체채점!$AW$2,$R$1028,INDEX(회차설정!$C$13:$C$27,$S$1031),1,INDEX(회차설정!$D$13:$D$27,$S$1031)-INDEX(회차설정!$C$13:$C$27,$S$1031)+1)))</f>
        <v/>
      </c>
      <c r="F1041" s="46">
        <f>IF(OR($S$1031="",$D1041=0,$D1041="",$E1041=""),"",$E1041/$D1041*100)</f>
        <v/>
      </c>
      <c r="G1041" s="8" t="n"/>
      <c r="H1041" s="47">
        <f>IF($F1041="","",REPT("■",ROUND($F1041/5,0)))</f>
        <v/>
      </c>
      <c r="I1041" s="7" t="n"/>
      <c r="J1041" s="7" t="n"/>
      <c r="K1041" s="7" t="n"/>
      <c r="L1041" s="7" t="n"/>
      <c r="M1041" s="7" t="n"/>
      <c r="N1041" s="7" t="n"/>
      <c r="O1041" s="7" t="n"/>
      <c r="P1041" s="8" t="n"/>
    </row>
    <row r="1042">
      <c r="A1042" s="14">
        <f>IF($S$1032="","",INDEX(회차설정!$A$13:$A$27,$S$1032))</f>
        <v/>
      </c>
      <c r="B1042" s="14">
        <f>IF($S$1032="","",INDEX(회차설정!$B$13:$B$27,$S$1032))</f>
        <v/>
      </c>
      <c r="C1042" s="8" t="n"/>
      <c r="D1042" s="14">
        <f>IF($S$1032="","",IF($R$1029="언어와 매체",SUMPRODUCT((자동계산!$A$4:$A$48&gt;=INDEX(회차설정!$C$13:$C$27,$S$1032))*(자동계산!$A$4:$A$48&lt;=INDEX(회차설정!$D$13:$D$27,$S$1032))*자동계산!$E$4:$E$48),SUMPRODUCT((자동계산!$A$4:$A$48&gt;=INDEX(회차설정!$C$13:$C$27,$S$1032))*(자동계산!$A$4:$A$48&lt;=INDEX(회차설정!$D$13:$D$27,$S$1032))*자동계산!$C$4:$C$48)))</f>
        <v/>
      </c>
      <c r="E1042" s="14">
        <f>IF(OR($S$1032="",$R$1028=""),"",SUM(OFFSET(전체채점!$AW$2,$R$1028,INDEX(회차설정!$C$13:$C$27,$S$1032),1,INDEX(회차설정!$D$13:$D$27,$S$1032)-INDEX(회차설정!$C$13:$C$27,$S$1032)+1)))</f>
        <v/>
      </c>
      <c r="F1042" s="46">
        <f>IF(OR($S$1032="",$D1042=0,$D1042="",$E1042=""),"",$E1042/$D1042*100)</f>
        <v/>
      </c>
      <c r="G1042" s="8" t="n"/>
      <c r="H1042" s="47">
        <f>IF($F1042="","",REPT("■",ROUND($F1042/5,0)))</f>
        <v/>
      </c>
      <c r="I1042" s="7" t="n"/>
      <c r="J1042" s="7" t="n"/>
      <c r="K1042" s="7" t="n"/>
      <c r="L1042" s="7" t="n"/>
      <c r="M1042" s="7" t="n"/>
      <c r="N1042" s="7" t="n"/>
      <c r="O1042" s="7" t="n"/>
      <c r="P1042" s="8" t="n"/>
    </row>
    <row r="1043">
      <c r="A1043" s="14">
        <f>IF($S$1033="","",INDEX(회차설정!$A$13:$A$27,$S$1033))</f>
        <v/>
      </c>
      <c r="B1043" s="14">
        <f>IF($S$1033="","",INDEX(회차설정!$B$13:$B$27,$S$1033))</f>
        <v/>
      </c>
      <c r="C1043" s="8" t="n"/>
      <c r="D1043" s="14">
        <f>IF($S$1033="","",IF($R$1029="언어와 매체",SUMPRODUCT((자동계산!$A$4:$A$48&gt;=INDEX(회차설정!$C$13:$C$27,$S$1033))*(자동계산!$A$4:$A$48&lt;=INDEX(회차설정!$D$13:$D$27,$S$1033))*자동계산!$E$4:$E$48),SUMPRODUCT((자동계산!$A$4:$A$48&gt;=INDEX(회차설정!$C$13:$C$27,$S$1033))*(자동계산!$A$4:$A$48&lt;=INDEX(회차설정!$D$13:$D$27,$S$1033))*자동계산!$C$4:$C$48)))</f>
        <v/>
      </c>
      <c r="E1043" s="14">
        <f>IF(OR($S$1033="",$R$1028=""),"",SUM(OFFSET(전체채점!$AW$2,$R$1028,INDEX(회차설정!$C$13:$C$27,$S$1033),1,INDEX(회차설정!$D$13:$D$27,$S$1033)-INDEX(회차설정!$C$13:$C$27,$S$1033)+1)))</f>
        <v/>
      </c>
      <c r="F1043" s="46">
        <f>IF(OR($S$1033="",$D1043=0,$D1043="",$E1043=""),"",$E1043/$D1043*100)</f>
        <v/>
      </c>
      <c r="G1043" s="8" t="n"/>
      <c r="H1043" s="47">
        <f>IF($F1043="","",REPT("■",ROUND($F1043/5,0)))</f>
        <v/>
      </c>
      <c r="I1043" s="7" t="n"/>
      <c r="J1043" s="7" t="n"/>
      <c r="K1043" s="7" t="n"/>
      <c r="L1043" s="7" t="n"/>
      <c r="M1043" s="7" t="n"/>
      <c r="N1043" s="7" t="n"/>
      <c r="O1043" s="7" t="n"/>
      <c r="P1043" s="8" t="n"/>
    </row>
    <row r="1044">
      <c r="A1044" s="14">
        <f>IF($S$1034="","",INDEX(회차설정!$A$13:$A$27,$S$1034))</f>
        <v/>
      </c>
      <c r="B1044" s="14">
        <f>IF($S$1034="","",INDEX(회차설정!$B$13:$B$27,$S$1034))</f>
        <v/>
      </c>
      <c r="C1044" s="8" t="n"/>
      <c r="D1044" s="14">
        <f>IF($S$1034="","",IF($R$1029="언어와 매체",SUMPRODUCT((자동계산!$A$4:$A$48&gt;=INDEX(회차설정!$C$13:$C$27,$S$1034))*(자동계산!$A$4:$A$48&lt;=INDEX(회차설정!$D$13:$D$27,$S$1034))*자동계산!$E$4:$E$48),SUMPRODUCT((자동계산!$A$4:$A$48&gt;=INDEX(회차설정!$C$13:$C$27,$S$1034))*(자동계산!$A$4:$A$48&lt;=INDEX(회차설정!$D$13:$D$27,$S$1034))*자동계산!$C$4:$C$48)))</f>
        <v/>
      </c>
      <c r="E1044" s="14">
        <f>IF(OR($S$1034="",$R$1028=""),"",SUM(OFFSET(전체채점!$AW$2,$R$1028,INDEX(회차설정!$C$13:$C$27,$S$1034),1,INDEX(회차설정!$D$13:$D$27,$S$1034)-INDEX(회차설정!$C$13:$C$27,$S$1034)+1)))</f>
        <v/>
      </c>
      <c r="F1044" s="46">
        <f>IF(OR($S$1034="",$D1044=0,$D1044="",$E1044=""),"",$E1044/$D1044*100)</f>
        <v/>
      </c>
      <c r="G1044" s="8" t="n"/>
      <c r="H1044" s="47">
        <f>IF($F1044="","",REPT("■",ROUND($F1044/5,0)))</f>
        <v/>
      </c>
      <c r="I1044" s="7" t="n"/>
      <c r="J1044" s="7" t="n"/>
      <c r="K1044" s="7" t="n"/>
      <c r="L1044" s="7" t="n"/>
      <c r="M1044" s="7" t="n"/>
      <c r="N1044" s="7" t="n"/>
      <c r="O1044" s="7" t="n"/>
      <c r="P1044" s="8" t="n"/>
    </row>
    <row r="1045">
      <c r="A1045" s="14">
        <f>IF($S$1035="","",INDEX(회차설정!$A$13:$A$27,$S$1035))</f>
        <v/>
      </c>
      <c r="B1045" s="14">
        <f>IF($S$1035="","",INDEX(회차설정!$B$13:$B$27,$S$1035))</f>
        <v/>
      </c>
      <c r="C1045" s="8" t="n"/>
      <c r="D1045" s="14">
        <f>IF($S$1035="","",IF($R$1029="언어와 매체",SUMPRODUCT((자동계산!$A$4:$A$48&gt;=INDEX(회차설정!$C$13:$C$27,$S$1035))*(자동계산!$A$4:$A$48&lt;=INDEX(회차설정!$D$13:$D$27,$S$1035))*자동계산!$E$4:$E$48),SUMPRODUCT((자동계산!$A$4:$A$48&gt;=INDEX(회차설정!$C$13:$C$27,$S$1035))*(자동계산!$A$4:$A$48&lt;=INDEX(회차설정!$D$13:$D$27,$S$1035))*자동계산!$C$4:$C$48)))</f>
        <v/>
      </c>
      <c r="E1045" s="14">
        <f>IF(OR($S$1035="",$R$1028=""),"",SUM(OFFSET(전체채점!$AW$2,$R$1028,INDEX(회차설정!$C$13:$C$27,$S$1035),1,INDEX(회차설정!$D$13:$D$27,$S$1035)-INDEX(회차설정!$C$13:$C$27,$S$1035)+1)))</f>
        <v/>
      </c>
      <c r="F1045" s="46">
        <f>IF(OR($S$1035="",$D1045=0,$D1045="",$E1045=""),"",$E1045/$D1045*100)</f>
        <v/>
      </c>
      <c r="G1045" s="8" t="n"/>
      <c r="H1045" s="47">
        <f>IF($F1045="","",REPT("■",ROUND($F1045/5,0)))</f>
        <v/>
      </c>
      <c r="I1045" s="7" t="n"/>
      <c r="J1045" s="7" t="n"/>
      <c r="K1045" s="7" t="n"/>
      <c r="L1045" s="7" t="n"/>
      <c r="M1045" s="7" t="n"/>
      <c r="N1045" s="7" t="n"/>
      <c r="O1045" s="7" t="n"/>
      <c r="P1045" s="8" t="n"/>
    </row>
    <row r="1046">
      <c r="A1046" s="14">
        <f>IF($S$1036="","",INDEX(회차설정!$A$13:$A$27,$S$1036))</f>
        <v/>
      </c>
      <c r="B1046" s="14">
        <f>IF($S$1036="","",INDEX(회차설정!$B$13:$B$27,$S$1036))</f>
        <v/>
      </c>
      <c r="C1046" s="8" t="n"/>
      <c r="D1046" s="14">
        <f>IF($S$1036="","",IF($R$1029="언어와 매체",SUMPRODUCT((자동계산!$A$4:$A$48&gt;=INDEX(회차설정!$C$13:$C$27,$S$1036))*(자동계산!$A$4:$A$48&lt;=INDEX(회차설정!$D$13:$D$27,$S$1036))*자동계산!$E$4:$E$48),SUMPRODUCT((자동계산!$A$4:$A$48&gt;=INDEX(회차설정!$C$13:$C$27,$S$1036))*(자동계산!$A$4:$A$48&lt;=INDEX(회차설정!$D$13:$D$27,$S$1036))*자동계산!$C$4:$C$48)))</f>
        <v/>
      </c>
      <c r="E1046" s="14">
        <f>IF(OR($S$1036="",$R$1028=""),"",SUM(OFFSET(전체채점!$AW$2,$R$1028,INDEX(회차설정!$C$13:$C$27,$S$1036),1,INDEX(회차설정!$D$13:$D$27,$S$1036)-INDEX(회차설정!$C$13:$C$27,$S$1036)+1)))</f>
        <v/>
      </c>
      <c r="F1046" s="46">
        <f>IF(OR($S$1036="",$D1046=0,$D1046="",$E1046=""),"",$E1046/$D1046*100)</f>
        <v/>
      </c>
      <c r="G1046" s="8" t="n"/>
      <c r="H1046" s="47">
        <f>IF($F1046="","",REPT("■",ROUND($F1046/5,0)))</f>
        <v/>
      </c>
      <c r="I1046" s="7" t="n"/>
      <c r="J1046" s="7" t="n"/>
      <c r="K1046" s="7" t="n"/>
      <c r="L1046" s="7" t="n"/>
      <c r="M1046" s="7" t="n"/>
      <c r="N1046" s="7" t="n"/>
      <c r="O1046" s="7" t="n"/>
      <c r="P1046" s="8" t="n"/>
    </row>
    <row r="1047">
      <c r="A1047" s="14">
        <f>IF($S$1037="","",INDEX(회차설정!$A$13:$A$27,$S$1037))</f>
        <v/>
      </c>
      <c r="B1047" s="14">
        <f>IF($S$1037="","",INDEX(회차설정!$B$13:$B$27,$S$1037))</f>
        <v/>
      </c>
      <c r="C1047" s="8" t="n"/>
      <c r="D1047" s="14">
        <f>IF($S$1037="","",IF($R$1029="언어와 매체",SUMPRODUCT((자동계산!$A$4:$A$48&gt;=INDEX(회차설정!$C$13:$C$27,$S$1037))*(자동계산!$A$4:$A$48&lt;=INDEX(회차설정!$D$13:$D$27,$S$1037))*자동계산!$E$4:$E$48),SUMPRODUCT((자동계산!$A$4:$A$48&gt;=INDEX(회차설정!$C$13:$C$27,$S$1037))*(자동계산!$A$4:$A$48&lt;=INDEX(회차설정!$D$13:$D$27,$S$1037))*자동계산!$C$4:$C$48)))</f>
        <v/>
      </c>
      <c r="E1047" s="14">
        <f>IF(OR($S$1037="",$R$1028=""),"",SUM(OFFSET(전체채점!$AW$2,$R$1028,INDEX(회차설정!$C$13:$C$27,$S$1037),1,INDEX(회차설정!$D$13:$D$27,$S$1037)-INDEX(회차설정!$C$13:$C$27,$S$1037)+1)))</f>
        <v/>
      </c>
      <c r="F1047" s="46">
        <f>IF(OR($S$1037="",$D1047=0,$D1047="",$E1047=""),"",$E1047/$D1047*100)</f>
        <v/>
      </c>
      <c r="G1047" s="8" t="n"/>
      <c r="H1047" s="47">
        <f>IF($F1047="","",REPT("■",ROUND($F1047/5,0)))</f>
        <v/>
      </c>
      <c r="I1047" s="7" t="n"/>
      <c r="J1047" s="7" t="n"/>
      <c r="K1047" s="7" t="n"/>
      <c r="L1047" s="7" t="n"/>
      <c r="M1047" s="7" t="n"/>
      <c r="N1047" s="7" t="n"/>
      <c r="O1047" s="7" t="n"/>
      <c r="P1047" s="8" t="n"/>
    </row>
    <row r="1048">
      <c r="A1048" s="14">
        <f>IF($S$1038="","",INDEX(회차설정!$A$13:$A$27,$S$1038))</f>
        <v/>
      </c>
      <c r="B1048" s="14">
        <f>IF($S$1038="","",INDEX(회차설정!$B$13:$B$27,$S$1038))</f>
        <v/>
      </c>
      <c r="C1048" s="8" t="n"/>
      <c r="D1048" s="14">
        <f>IF($S$1038="","",IF($R$1029="언어와 매체",SUMPRODUCT((자동계산!$A$4:$A$48&gt;=INDEX(회차설정!$C$13:$C$27,$S$1038))*(자동계산!$A$4:$A$48&lt;=INDEX(회차설정!$D$13:$D$27,$S$1038))*자동계산!$E$4:$E$48),SUMPRODUCT((자동계산!$A$4:$A$48&gt;=INDEX(회차설정!$C$13:$C$27,$S$1038))*(자동계산!$A$4:$A$48&lt;=INDEX(회차설정!$D$13:$D$27,$S$1038))*자동계산!$C$4:$C$48)))</f>
        <v/>
      </c>
      <c r="E1048" s="14">
        <f>IF(OR($S$1038="",$R$1028=""),"",SUM(OFFSET(전체채점!$AW$2,$R$1028,INDEX(회차설정!$C$13:$C$27,$S$1038),1,INDEX(회차설정!$D$13:$D$27,$S$1038)-INDEX(회차설정!$C$13:$C$27,$S$1038)+1)))</f>
        <v/>
      </c>
      <c r="F1048" s="46">
        <f>IF(OR($S$1038="",$D1048=0,$D1048="",$E1048=""),"",$E1048/$D1048*100)</f>
        <v/>
      </c>
      <c r="G1048" s="8" t="n"/>
      <c r="H1048" s="47">
        <f>IF($F1048="","",REPT("■",ROUND($F1048/5,0)))</f>
        <v/>
      </c>
      <c r="I1048" s="7" t="n"/>
      <c r="J1048" s="7" t="n"/>
      <c r="K1048" s="7" t="n"/>
      <c r="L1048" s="7" t="n"/>
      <c r="M1048" s="7" t="n"/>
      <c r="N1048" s="7" t="n"/>
      <c r="O1048" s="7" t="n"/>
      <c r="P1048" s="8" t="n"/>
    </row>
    <row r="1049">
      <c r="A1049" s="14">
        <f>IF($S$1039="","",INDEX(회차설정!$A$13:$A$27,$S$1039))</f>
        <v/>
      </c>
      <c r="B1049" s="14">
        <f>IF($S$1039="","",INDEX(회차설정!$B$13:$B$27,$S$1039))</f>
        <v/>
      </c>
      <c r="C1049" s="8" t="n"/>
      <c r="D1049" s="14">
        <f>IF($S$1039="","",IF($R$1029="언어와 매체",SUMPRODUCT((자동계산!$A$4:$A$48&gt;=INDEX(회차설정!$C$13:$C$27,$S$1039))*(자동계산!$A$4:$A$48&lt;=INDEX(회차설정!$D$13:$D$27,$S$1039))*자동계산!$E$4:$E$48),SUMPRODUCT((자동계산!$A$4:$A$48&gt;=INDEX(회차설정!$C$13:$C$27,$S$1039))*(자동계산!$A$4:$A$48&lt;=INDEX(회차설정!$D$13:$D$27,$S$1039))*자동계산!$C$4:$C$48)))</f>
        <v/>
      </c>
      <c r="E1049" s="14">
        <f>IF(OR($S$1039="",$R$1028=""),"",SUM(OFFSET(전체채점!$AW$2,$R$1028,INDEX(회차설정!$C$13:$C$27,$S$1039),1,INDEX(회차설정!$D$13:$D$27,$S$1039)-INDEX(회차설정!$C$13:$C$27,$S$1039)+1)))</f>
        <v/>
      </c>
      <c r="F1049" s="46">
        <f>IF(OR($S$1039="",$D1049=0,$D1049="",$E1049=""),"",$E1049/$D1049*100)</f>
        <v/>
      </c>
      <c r="G1049" s="8" t="n"/>
      <c r="H1049" s="47">
        <f>IF($F1049="","",REPT("■",ROUND($F1049/5,0)))</f>
        <v/>
      </c>
      <c r="I1049" s="7" t="n"/>
      <c r="J1049" s="7" t="n"/>
      <c r="K1049" s="7" t="n"/>
      <c r="L1049" s="7" t="n"/>
      <c r="M1049" s="7" t="n"/>
      <c r="N1049" s="7" t="n"/>
      <c r="O1049" s="7" t="n"/>
      <c r="P1049" s="8" t="n"/>
    </row>
    <row r="1050">
      <c r="A1050" s="5">
        <f>IF($R$1028="","","합계")</f>
        <v/>
      </c>
      <c r="B1050" s="7" t="n"/>
      <c r="C1050" s="8" t="n"/>
      <c r="D1050" s="5">
        <f>IF($R$1028="","",SUM(D1038:D1049))</f>
        <v/>
      </c>
      <c r="E1050" s="5">
        <f>IF($R$1028="","",SUM(E1038:E1049))</f>
        <v/>
      </c>
      <c r="F1050" s="48">
        <f>IF(OR($D1050=0,$D1050=""),"",$E1050/$D1050*100)</f>
        <v/>
      </c>
      <c r="G1050" s="8" t="n"/>
      <c r="H1050" s="49">
        <f>IF($F1050="","",REPT("■",ROUND($F1050/5,0)))</f>
        <v/>
      </c>
      <c r="I1050" s="7" t="n"/>
      <c r="J1050" s="7" t="n"/>
      <c r="K1050" s="7" t="n"/>
      <c r="L1050" s="7" t="n"/>
      <c r="M1050" s="7" t="n"/>
      <c r="N1050" s="7" t="n"/>
      <c r="O1050" s="7" t="n"/>
      <c r="P1050" s="8" t="n"/>
    </row>
    <row r="1052">
      <c r="A1052" s="12" t="inlineStr">
        <is>
          <t>4. 문항 채점표</t>
        </is>
      </c>
    </row>
    <row r="1053">
      <c r="A1053" s="50" t="inlineStr">
        <is>
          <t>문항 번호</t>
        </is>
      </c>
      <c r="B1053" s="51" t="n">
        <v>1</v>
      </c>
      <c r="C1053" s="51" t="n">
        <v>2</v>
      </c>
      <c r="D1053" s="51" t="n">
        <v>3</v>
      </c>
      <c r="E1053" s="51" t="n">
        <v>4</v>
      </c>
      <c r="F1053" s="51" t="n">
        <v>5</v>
      </c>
      <c r="G1053" s="51" t="n">
        <v>6</v>
      </c>
      <c r="H1053" s="51" t="n">
        <v>7</v>
      </c>
      <c r="I1053" s="51" t="n">
        <v>8</v>
      </c>
      <c r="J1053" s="51" t="n">
        <v>9</v>
      </c>
      <c r="K1053" s="51" t="n">
        <v>10</v>
      </c>
      <c r="L1053" s="51" t="n">
        <v>11</v>
      </c>
      <c r="M1053" s="51" t="n">
        <v>12</v>
      </c>
      <c r="N1053" s="51" t="n">
        <v>13</v>
      </c>
      <c r="O1053" s="51" t="n">
        <v>14</v>
      </c>
      <c r="P1053" s="51" t="n">
        <v>15</v>
      </c>
    </row>
    <row r="1054">
      <c r="A1054" s="52" t="inlineStr">
        <is>
          <t>정답</t>
        </is>
      </c>
      <c r="B1054" s="33">
        <f>IF($R$1029="","",IF($R$1029="언어와 매체",자동계산!$D$4,자동계산!$B$4))</f>
        <v/>
      </c>
      <c r="C1054" s="33">
        <f>IF($R$1029="","",IF($R$1029="언어와 매체",자동계산!$D$5,자동계산!$B$5))</f>
        <v/>
      </c>
      <c r="D1054" s="33">
        <f>IF($R$1029="","",IF($R$1029="언어와 매체",자동계산!$D$6,자동계산!$B$6))</f>
        <v/>
      </c>
      <c r="E1054" s="33">
        <f>IF($R$1029="","",IF($R$1029="언어와 매체",자동계산!$D$7,자동계산!$B$7))</f>
        <v/>
      </c>
      <c r="F1054" s="33">
        <f>IF($R$1029="","",IF($R$1029="언어와 매체",자동계산!$D$8,자동계산!$B$8))</f>
        <v/>
      </c>
      <c r="G1054" s="33">
        <f>IF($R$1029="","",IF($R$1029="언어와 매체",자동계산!$D$9,자동계산!$B$9))</f>
        <v/>
      </c>
      <c r="H1054" s="33">
        <f>IF($R$1029="","",IF($R$1029="언어와 매체",자동계산!$D$10,자동계산!$B$10))</f>
        <v/>
      </c>
      <c r="I1054" s="33">
        <f>IF($R$1029="","",IF($R$1029="언어와 매체",자동계산!$D$11,자동계산!$B$11))</f>
        <v/>
      </c>
      <c r="J1054" s="33">
        <f>IF($R$1029="","",IF($R$1029="언어와 매체",자동계산!$D$12,자동계산!$B$12))</f>
        <v/>
      </c>
      <c r="K1054" s="33">
        <f>IF($R$1029="","",IF($R$1029="언어와 매체",자동계산!$D$13,자동계산!$B$13))</f>
        <v/>
      </c>
      <c r="L1054" s="33">
        <f>IF($R$1029="","",IF($R$1029="언어와 매체",자동계산!$D$14,자동계산!$B$14))</f>
        <v/>
      </c>
      <c r="M1054" s="33">
        <f>IF($R$1029="","",IF($R$1029="언어와 매체",자동계산!$D$15,자동계산!$B$15))</f>
        <v/>
      </c>
      <c r="N1054" s="33">
        <f>IF($R$1029="","",IF($R$1029="언어와 매체",자동계산!$D$16,자동계산!$B$16))</f>
        <v/>
      </c>
      <c r="O1054" s="33">
        <f>IF($R$1029="","",IF($R$1029="언어와 매체",자동계산!$D$17,자동계산!$B$17))</f>
        <v/>
      </c>
      <c r="P1054" s="33">
        <f>IF($R$1029="","",IF($R$1029="언어와 매체",자동계산!$D$18,자동계산!$B$18))</f>
        <v/>
      </c>
    </row>
    <row r="1055">
      <c r="A1055" s="52" t="inlineStr">
        <is>
          <t>학생답안</t>
        </is>
      </c>
      <c r="B1055" s="33">
        <f>IF($R$1028="","",INDEX(전체채점!E$3:E$62,$R$1028))</f>
        <v/>
      </c>
      <c r="C1055" s="33">
        <f>IF($R$1028="","",INDEX(전체채점!F$3:F$62,$R$1028))</f>
        <v/>
      </c>
      <c r="D1055" s="33">
        <f>IF($R$1028="","",INDEX(전체채점!G$3:G$62,$R$1028))</f>
        <v/>
      </c>
      <c r="E1055" s="33">
        <f>IF($R$1028="","",INDEX(전체채점!H$3:H$62,$R$1028))</f>
        <v/>
      </c>
      <c r="F1055" s="33">
        <f>IF($R$1028="","",INDEX(전체채점!I$3:I$62,$R$1028))</f>
        <v/>
      </c>
      <c r="G1055" s="33">
        <f>IF($R$1028="","",INDEX(전체채점!J$3:J$62,$R$1028))</f>
        <v/>
      </c>
      <c r="H1055" s="33">
        <f>IF($R$1028="","",INDEX(전체채점!K$3:K$62,$R$1028))</f>
        <v/>
      </c>
      <c r="I1055" s="33">
        <f>IF($R$1028="","",INDEX(전체채점!L$3:L$62,$R$1028))</f>
        <v/>
      </c>
      <c r="J1055" s="33">
        <f>IF($R$1028="","",INDEX(전체채점!M$3:M$62,$R$1028))</f>
        <v/>
      </c>
      <c r="K1055" s="33">
        <f>IF($R$1028="","",INDEX(전체채점!N$3:N$62,$R$1028))</f>
        <v/>
      </c>
      <c r="L1055" s="33">
        <f>IF($R$1028="","",INDEX(전체채점!O$3:O$62,$R$1028))</f>
        <v/>
      </c>
      <c r="M1055" s="33">
        <f>IF($R$1028="","",INDEX(전체채점!P$3:P$62,$R$1028))</f>
        <v/>
      </c>
      <c r="N1055" s="33">
        <f>IF($R$1028="","",INDEX(전체채점!Q$3:Q$62,$R$1028))</f>
        <v/>
      </c>
      <c r="O1055" s="33">
        <f>IF($R$1028="","",INDEX(전체채점!R$3:R$62,$R$1028))</f>
        <v/>
      </c>
      <c r="P1055" s="33">
        <f>IF($R$1028="","",INDEX(전체채점!S$3:S$62,$R$1028))</f>
        <v/>
      </c>
    </row>
    <row r="1056">
      <c r="A1056" s="52" t="inlineStr">
        <is>
          <t>정오</t>
        </is>
      </c>
      <c r="B1056" s="33">
        <f>IF($R$1028="","",INDEX(전체채점!AX$3:AX$62,$R$1028))</f>
        <v/>
      </c>
      <c r="C1056" s="33">
        <f>IF($R$1028="","",INDEX(전체채점!AY$3:AY$62,$R$1028))</f>
        <v/>
      </c>
      <c r="D1056" s="33">
        <f>IF($R$1028="","",INDEX(전체채점!AZ$3:AZ$62,$R$1028))</f>
        <v/>
      </c>
      <c r="E1056" s="33">
        <f>IF($R$1028="","",INDEX(전체채점!BA$3:BA$62,$R$1028))</f>
        <v/>
      </c>
      <c r="F1056" s="33">
        <f>IF($R$1028="","",INDEX(전체채점!BB$3:BB$62,$R$1028))</f>
        <v/>
      </c>
      <c r="G1056" s="33">
        <f>IF($R$1028="","",INDEX(전체채점!BC$3:BC$62,$R$1028))</f>
        <v/>
      </c>
      <c r="H1056" s="33">
        <f>IF($R$1028="","",INDEX(전체채점!BD$3:BD$62,$R$1028))</f>
        <v/>
      </c>
      <c r="I1056" s="33">
        <f>IF($R$1028="","",INDEX(전체채점!BE$3:BE$62,$R$1028))</f>
        <v/>
      </c>
      <c r="J1056" s="33">
        <f>IF($R$1028="","",INDEX(전체채점!BF$3:BF$62,$R$1028))</f>
        <v/>
      </c>
      <c r="K1056" s="33">
        <f>IF($R$1028="","",INDEX(전체채점!BG$3:BG$62,$R$1028))</f>
        <v/>
      </c>
      <c r="L1056" s="33">
        <f>IF($R$1028="","",INDEX(전체채점!BH$3:BH$62,$R$1028))</f>
        <v/>
      </c>
      <c r="M1056" s="33">
        <f>IF($R$1028="","",INDEX(전체채점!BI$3:BI$62,$R$1028))</f>
        <v/>
      </c>
      <c r="N1056" s="33">
        <f>IF($R$1028="","",INDEX(전체채점!BJ$3:BJ$62,$R$1028))</f>
        <v/>
      </c>
      <c r="O1056" s="33">
        <f>IF($R$1028="","",INDEX(전체채점!BK$3:BK$62,$R$1028))</f>
        <v/>
      </c>
      <c r="P1056" s="33">
        <f>IF($R$1028="","",INDEX(전체채점!BL$3:BL$62,$R$1028))</f>
        <v/>
      </c>
    </row>
    <row r="1057">
      <c r="A1057" s="50" t="inlineStr">
        <is>
          <t>문항 번호</t>
        </is>
      </c>
      <c r="B1057" s="51" t="n">
        <v>16</v>
      </c>
      <c r="C1057" s="51" t="n">
        <v>17</v>
      </c>
      <c r="D1057" s="51" t="n">
        <v>18</v>
      </c>
      <c r="E1057" s="51" t="n">
        <v>19</v>
      </c>
      <c r="F1057" s="51" t="n">
        <v>20</v>
      </c>
      <c r="G1057" s="51" t="n">
        <v>21</v>
      </c>
      <c r="H1057" s="51" t="n">
        <v>22</v>
      </c>
      <c r="I1057" s="51" t="n">
        <v>23</v>
      </c>
      <c r="J1057" s="51" t="n">
        <v>24</v>
      </c>
      <c r="K1057" s="51" t="n">
        <v>25</v>
      </c>
      <c r="L1057" s="51" t="n">
        <v>26</v>
      </c>
      <c r="M1057" s="51" t="n">
        <v>27</v>
      </c>
      <c r="N1057" s="51" t="n">
        <v>28</v>
      </c>
      <c r="O1057" s="51" t="n">
        <v>29</v>
      </c>
      <c r="P1057" s="51" t="n">
        <v>30</v>
      </c>
    </row>
    <row r="1058">
      <c r="A1058" s="52" t="inlineStr">
        <is>
          <t>정답</t>
        </is>
      </c>
      <c r="B1058" s="33">
        <f>IF($R$1029="","",IF($R$1029="언어와 매체",자동계산!$D$19,자동계산!$B$19))</f>
        <v/>
      </c>
      <c r="C1058" s="33">
        <f>IF($R$1029="","",IF($R$1029="언어와 매체",자동계산!$D$20,자동계산!$B$20))</f>
        <v/>
      </c>
      <c r="D1058" s="33">
        <f>IF($R$1029="","",IF($R$1029="언어와 매체",자동계산!$D$21,자동계산!$B$21))</f>
        <v/>
      </c>
      <c r="E1058" s="33">
        <f>IF($R$1029="","",IF($R$1029="언어와 매체",자동계산!$D$22,자동계산!$B$22))</f>
        <v/>
      </c>
      <c r="F1058" s="33">
        <f>IF($R$1029="","",IF($R$1029="언어와 매체",자동계산!$D$23,자동계산!$B$23))</f>
        <v/>
      </c>
      <c r="G1058" s="33">
        <f>IF($R$1029="","",IF($R$1029="언어와 매체",자동계산!$D$24,자동계산!$B$24))</f>
        <v/>
      </c>
      <c r="H1058" s="33">
        <f>IF($R$1029="","",IF($R$1029="언어와 매체",자동계산!$D$25,자동계산!$B$25))</f>
        <v/>
      </c>
      <c r="I1058" s="33">
        <f>IF($R$1029="","",IF($R$1029="언어와 매체",자동계산!$D$26,자동계산!$B$26))</f>
        <v/>
      </c>
      <c r="J1058" s="33">
        <f>IF($R$1029="","",IF($R$1029="언어와 매체",자동계산!$D$27,자동계산!$B$27))</f>
        <v/>
      </c>
      <c r="K1058" s="33">
        <f>IF($R$1029="","",IF($R$1029="언어와 매체",자동계산!$D$28,자동계산!$B$28))</f>
        <v/>
      </c>
      <c r="L1058" s="33">
        <f>IF($R$1029="","",IF($R$1029="언어와 매체",자동계산!$D$29,자동계산!$B$29))</f>
        <v/>
      </c>
      <c r="M1058" s="33">
        <f>IF($R$1029="","",IF($R$1029="언어와 매체",자동계산!$D$30,자동계산!$B$30))</f>
        <v/>
      </c>
      <c r="N1058" s="33">
        <f>IF($R$1029="","",IF($R$1029="언어와 매체",자동계산!$D$31,자동계산!$B$31))</f>
        <v/>
      </c>
      <c r="O1058" s="33">
        <f>IF($R$1029="","",IF($R$1029="언어와 매체",자동계산!$D$32,자동계산!$B$32))</f>
        <v/>
      </c>
      <c r="P1058" s="33">
        <f>IF($R$1029="","",IF($R$1029="언어와 매체",자동계산!$D$33,자동계산!$B$33))</f>
        <v/>
      </c>
    </row>
    <row r="1059">
      <c r="A1059" s="52" t="inlineStr">
        <is>
          <t>학생답안</t>
        </is>
      </c>
      <c r="B1059" s="33">
        <f>IF($R$1028="","",INDEX(전체채점!T$3:T$62,$R$1028))</f>
        <v/>
      </c>
      <c r="C1059" s="33">
        <f>IF($R$1028="","",INDEX(전체채점!U$3:U$62,$R$1028))</f>
        <v/>
      </c>
      <c r="D1059" s="33">
        <f>IF($R$1028="","",INDEX(전체채점!V$3:V$62,$R$1028))</f>
        <v/>
      </c>
      <c r="E1059" s="33">
        <f>IF($R$1028="","",INDEX(전체채점!W$3:W$62,$R$1028))</f>
        <v/>
      </c>
      <c r="F1059" s="33">
        <f>IF($R$1028="","",INDEX(전체채점!X$3:X$62,$R$1028))</f>
        <v/>
      </c>
      <c r="G1059" s="33">
        <f>IF($R$1028="","",INDEX(전체채점!Y$3:Y$62,$R$1028))</f>
        <v/>
      </c>
      <c r="H1059" s="33">
        <f>IF($R$1028="","",INDEX(전체채점!Z$3:Z$62,$R$1028))</f>
        <v/>
      </c>
      <c r="I1059" s="33">
        <f>IF($R$1028="","",INDEX(전체채점!AA$3:AA$62,$R$1028))</f>
        <v/>
      </c>
      <c r="J1059" s="33">
        <f>IF($R$1028="","",INDEX(전체채점!AB$3:AB$62,$R$1028))</f>
        <v/>
      </c>
      <c r="K1059" s="33">
        <f>IF($R$1028="","",INDEX(전체채점!AC$3:AC$62,$R$1028))</f>
        <v/>
      </c>
      <c r="L1059" s="33">
        <f>IF($R$1028="","",INDEX(전체채점!AD$3:AD$62,$R$1028))</f>
        <v/>
      </c>
      <c r="M1059" s="33">
        <f>IF($R$1028="","",INDEX(전체채점!AE$3:AE$62,$R$1028))</f>
        <v/>
      </c>
      <c r="N1059" s="33">
        <f>IF($R$1028="","",INDEX(전체채점!AF$3:AF$62,$R$1028))</f>
        <v/>
      </c>
      <c r="O1059" s="33">
        <f>IF($R$1028="","",INDEX(전체채점!AG$3:AG$62,$R$1028))</f>
        <v/>
      </c>
      <c r="P1059" s="33">
        <f>IF($R$1028="","",INDEX(전체채점!AH$3:AH$62,$R$1028))</f>
        <v/>
      </c>
    </row>
    <row r="1060">
      <c r="A1060" s="52" t="inlineStr">
        <is>
          <t>정오</t>
        </is>
      </c>
      <c r="B1060" s="33">
        <f>IF($R$1028="","",INDEX(전체채점!BM$3:BM$62,$R$1028))</f>
        <v/>
      </c>
      <c r="C1060" s="33">
        <f>IF($R$1028="","",INDEX(전체채점!BN$3:BN$62,$R$1028))</f>
        <v/>
      </c>
      <c r="D1060" s="33">
        <f>IF($R$1028="","",INDEX(전체채점!BO$3:BO$62,$R$1028))</f>
        <v/>
      </c>
      <c r="E1060" s="33">
        <f>IF($R$1028="","",INDEX(전체채점!BP$3:BP$62,$R$1028))</f>
        <v/>
      </c>
      <c r="F1060" s="33">
        <f>IF($R$1028="","",INDEX(전체채점!BQ$3:BQ$62,$R$1028))</f>
        <v/>
      </c>
      <c r="G1060" s="33">
        <f>IF($R$1028="","",INDEX(전체채점!BR$3:BR$62,$R$1028))</f>
        <v/>
      </c>
      <c r="H1060" s="33">
        <f>IF($R$1028="","",INDEX(전체채점!BS$3:BS$62,$R$1028))</f>
        <v/>
      </c>
      <c r="I1060" s="33">
        <f>IF($R$1028="","",INDEX(전체채점!BT$3:BT$62,$R$1028))</f>
        <v/>
      </c>
      <c r="J1060" s="33">
        <f>IF($R$1028="","",INDEX(전체채점!BU$3:BU$62,$R$1028))</f>
        <v/>
      </c>
      <c r="K1060" s="33">
        <f>IF($R$1028="","",INDEX(전체채점!BV$3:BV$62,$R$1028))</f>
        <v/>
      </c>
      <c r="L1060" s="33">
        <f>IF($R$1028="","",INDEX(전체채점!BW$3:BW$62,$R$1028))</f>
        <v/>
      </c>
      <c r="M1060" s="33">
        <f>IF($R$1028="","",INDEX(전체채점!BX$3:BX$62,$R$1028))</f>
        <v/>
      </c>
      <c r="N1060" s="33">
        <f>IF($R$1028="","",INDEX(전체채점!BY$3:BY$62,$R$1028))</f>
        <v/>
      </c>
      <c r="O1060" s="33">
        <f>IF($R$1028="","",INDEX(전체채점!BZ$3:BZ$62,$R$1028))</f>
        <v/>
      </c>
      <c r="P1060" s="33">
        <f>IF($R$1028="","",INDEX(전체채점!CA$3:CA$62,$R$1028))</f>
        <v/>
      </c>
    </row>
    <row r="1061">
      <c r="A1061" s="50" t="inlineStr">
        <is>
          <t>문항 번호</t>
        </is>
      </c>
      <c r="B1061" s="51" t="n">
        <v>31</v>
      </c>
      <c r="C1061" s="51" t="n">
        <v>32</v>
      </c>
      <c r="D1061" s="51" t="n">
        <v>33</v>
      </c>
      <c r="E1061" s="51" t="n">
        <v>34</v>
      </c>
      <c r="F1061" s="51" t="n">
        <v>35</v>
      </c>
      <c r="G1061" s="51" t="n">
        <v>36</v>
      </c>
      <c r="H1061" s="51" t="n">
        <v>37</v>
      </c>
      <c r="I1061" s="51" t="n">
        <v>38</v>
      </c>
      <c r="J1061" s="51" t="n">
        <v>39</v>
      </c>
      <c r="K1061" s="51" t="n">
        <v>40</v>
      </c>
      <c r="L1061" s="51" t="n">
        <v>41</v>
      </c>
      <c r="M1061" s="51" t="n">
        <v>42</v>
      </c>
      <c r="N1061" s="51" t="n">
        <v>43</v>
      </c>
      <c r="O1061" s="51" t="n">
        <v>44</v>
      </c>
      <c r="P1061" s="51" t="n">
        <v>45</v>
      </c>
    </row>
    <row r="1062">
      <c r="A1062" s="52" t="inlineStr">
        <is>
          <t>정답</t>
        </is>
      </c>
      <c r="B1062" s="33">
        <f>IF($R$1029="","",IF($R$1029="언어와 매체",자동계산!$D$34,자동계산!$B$34))</f>
        <v/>
      </c>
      <c r="C1062" s="33">
        <f>IF($R$1029="","",IF($R$1029="언어와 매체",자동계산!$D$35,자동계산!$B$35))</f>
        <v/>
      </c>
      <c r="D1062" s="33">
        <f>IF($R$1029="","",IF($R$1029="언어와 매체",자동계산!$D$36,자동계산!$B$36))</f>
        <v/>
      </c>
      <c r="E1062" s="33">
        <f>IF($R$1029="","",IF($R$1029="언어와 매체",자동계산!$D$37,자동계산!$B$37))</f>
        <v/>
      </c>
      <c r="F1062" s="33">
        <f>IF($R$1029="","",IF($R$1029="언어와 매체",자동계산!$D$38,자동계산!$B$38))</f>
        <v/>
      </c>
      <c r="G1062" s="33">
        <f>IF($R$1029="","",IF($R$1029="언어와 매체",자동계산!$D$39,자동계산!$B$39))</f>
        <v/>
      </c>
      <c r="H1062" s="33">
        <f>IF($R$1029="","",IF($R$1029="언어와 매체",자동계산!$D$40,자동계산!$B$40))</f>
        <v/>
      </c>
      <c r="I1062" s="33">
        <f>IF($R$1029="","",IF($R$1029="언어와 매체",자동계산!$D$41,자동계산!$B$41))</f>
        <v/>
      </c>
      <c r="J1062" s="33">
        <f>IF($R$1029="","",IF($R$1029="언어와 매체",자동계산!$D$42,자동계산!$B$42))</f>
        <v/>
      </c>
      <c r="K1062" s="33">
        <f>IF($R$1029="","",IF($R$1029="언어와 매체",자동계산!$D$43,자동계산!$B$43))</f>
        <v/>
      </c>
      <c r="L1062" s="33">
        <f>IF($R$1029="","",IF($R$1029="언어와 매체",자동계산!$D$44,자동계산!$B$44))</f>
        <v/>
      </c>
      <c r="M1062" s="33">
        <f>IF($R$1029="","",IF($R$1029="언어와 매체",자동계산!$D$45,자동계산!$B$45))</f>
        <v/>
      </c>
      <c r="N1062" s="33">
        <f>IF($R$1029="","",IF($R$1029="언어와 매체",자동계산!$D$46,자동계산!$B$46))</f>
        <v/>
      </c>
      <c r="O1062" s="33">
        <f>IF($R$1029="","",IF($R$1029="언어와 매체",자동계산!$D$47,자동계산!$B$47))</f>
        <v/>
      </c>
      <c r="P1062" s="33">
        <f>IF($R$1029="","",IF($R$1029="언어와 매체",자동계산!$D$48,자동계산!$B$48))</f>
        <v/>
      </c>
    </row>
    <row r="1063">
      <c r="A1063" s="52" t="inlineStr">
        <is>
          <t>학생답안</t>
        </is>
      </c>
      <c r="B1063" s="33">
        <f>IF($R$1028="","",INDEX(전체채점!AI$3:AI$62,$R$1028))</f>
        <v/>
      </c>
      <c r="C1063" s="33">
        <f>IF($R$1028="","",INDEX(전체채점!AJ$3:AJ$62,$R$1028))</f>
        <v/>
      </c>
      <c r="D1063" s="33">
        <f>IF($R$1028="","",INDEX(전체채점!AK$3:AK$62,$R$1028))</f>
        <v/>
      </c>
      <c r="E1063" s="33">
        <f>IF($R$1028="","",INDEX(전체채점!AL$3:AL$62,$R$1028))</f>
        <v/>
      </c>
      <c r="F1063" s="33">
        <f>IF($R$1028="","",INDEX(전체채점!AM$3:AM$62,$R$1028))</f>
        <v/>
      </c>
      <c r="G1063" s="33">
        <f>IF($R$1028="","",INDEX(전체채점!AN$3:AN$62,$R$1028))</f>
        <v/>
      </c>
      <c r="H1063" s="33">
        <f>IF($R$1028="","",INDEX(전체채점!AO$3:AO$62,$R$1028))</f>
        <v/>
      </c>
      <c r="I1063" s="33">
        <f>IF($R$1028="","",INDEX(전체채점!AP$3:AP$62,$R$1028))</f>
        <v/>
      </c>
      <c r="J1063" s="33">
        <f>IF($R$1028="","",INDEX(전체채점!AQ$3:AQ$62,$R$1028))</f>
        <v/>
      </c>
      <c r="K1063" s="33">
        <f>IF($R$1028="","",INDEX(전체채점!AR$3:AR$62,$R$1028))</f>
        <v/>
      </c>
      <c r="L1063" s="33">
        <f>IF($R$1028="","",INDEX(전체채점!AS$3:AS$62,$R$1028))</f>
        <v/>
      </c>
      <c r="M1063" s="33">
        <f>IF($R$1028="","",INDEX(전체채점!AT$3:AT$62,$R$1028))</f>
        <v/>
      </c>
      <c r="N1063" s="33">
        <f>IF($R$1028="","",INDEX(전체채점!AU$3:AU$62,$R$1028))</f>
        <v/>
      </c>
      <c r="O1063" s="33">
        <f>IF($R$1028="","",INDEX(전체채점!AV$3:AV$62,$R$1028))</f>
        <v/>
      </c>
      <c r="P1063" s="33">
        <f>IF($R$1028="","",INDEX(전체채점!AW$3:AW$62,$R$1028))</f>
        <v/>
      </c>
    </row>
    <row r="1064">
      <c r="A1064" s="52" t="inlineStr">
        <is>
          <t>정오</t>
        </is>
      </c>
      <c r="B1064" s="33">
        <f>IF($R$1028="","",INDEX(전체채점!CB$3:CB$62,$R$1028))</f>
        <v/>
      </c>
      <c r="C1064" s="33">
        <f>IF($R$1028="","",INDEX(전체채점!CC$3:CC$62,$R$1028))</f>
        <v/>
      </c>
      <c r="D1064" s="33">
        <f>IF($R$1028="","",INDEX(전체채점!CD$3:CD$62,$R$1028))</f>
        <v/>
      </c>
      <c r="E1064" s="33">
        <f>IF($R$1028="","",INDEX(전체채점!CE$3:CE$62,$R$1028))</f>
        <v/>
      </c>
      <c r="F1064" s="33">
        <f>IF($R$1028="","",INDEX(전체채점!CF$3:CF$62,$R$1028))</f>
        <v/>
      </c>
      <c r="G1064" s="33">
        <f>IF($R$1028="","",INDEX(전체채점!CG$3:CG$62,$R$1028))</f>
        <v/>
      </c>
      <c r="H1064" s="33">
        <f>IF($R$1028="","",INDEX(전체채점!CH$3:CH$62,$R$1028))</f>
        <v/>
      </c>
      <c r="I1064" s="33">
        <f>IF($R$1028="","",INDEX(전체채점!CI$3:CI$62,$R$1028))</f>
        <v/>
      </c>
      <c r="J1064" s="33">
        <f>IF($R$1028="","",INDEX(전체채점!CJ$3:CJ$62,$R$1028))</f>
        <v/>
      </c>
      <c r="K1064" s="33">
        <f>IF($R$1028="","",INDEX(전체채점!CK$3:CK$62,$R$1028))</f>
        <v/>
      </c>
      <c r="L1064" s="33">
        <f>IF($R$1028="","",INDEX(전체채점!CL$3:CL$62,$R$1028))</f>
        <v/>
      </c>
      <c r="M1064" s="33">
        <f>IF($R$1028="","",INDEX(전체채점!CM$3:CM$62,$R$1028))</f>
        <v/>
      </c>
      <c r="N1064" s="33">
        <f>IF($R$1028="","",INDEX(전체채점!CN$3:CN$62,$R$1028))</f>
        <v/>
      </c>
      <c r="O1064" s="33">
        <f>IF($R$1028="","",INDEX(전체채점!CO$3:CO$62,$R$1028))</f>
        <v/>
      </c>
      <c r="P1064" s="33">
        <f>IF($R$1028="","",INDEX(전체채점!CP$3:CP$62,$R$1028))</f>
        <v/>
      </c>
    </row>
    <row r="1067" ht="34" customHeight="1">
      <c r="A1067" s="36">
        <f>IF($R$1069="","",회차설정!$B$2&amp;" 성적표")</f>
        <v/>
      </c>
    </row>
    <row r="1069">
      <c r="A1069" s="12" t="inlineStr">
        <is>
          <t>1. 학생정보</t>
        </is>
      </c>
      <c r="R1069" s="37">
        <f>IF(답안입력!$A$29="","",27)</f>
        <v/>
      </c>
      <c r="S1069" s="37">
        <f>IF($R$1070="","",IFERROR(IF($R$1070="언어와 매체",MATCH(1,회차설정!$G$13:$G$27,0),MATCH(1,회차설정!$F$13:$F$27,0)),""))</f>
        <v/>
      </c>
    </row>
    <row r="1070">
      <c r="A1070" s="13" t="inlineStr">
        <is>
          <t>성명</t>
        </is>
      </c>
      <c r="B1070" s="7" t="n"/>
      <c r="C1070" s="8" t="n"/>
      <c r="D1070" s="13" t="inlineStr">
        <is>
          <t>선택과목</t>
        </is>
      </c>
      <c r="E1070" s="7" t="n"/>
      <c r="F1070" s="7" t="n"/>
      <c r="G1070" s="8" t="n"/>
      <c r="H1070" s="13" t="inlineStr">
        <is>
          <t>학년</t>
        </is>
      </c>
      <c r="I1070" s="7" t="n"/>
      <c r="J1070" s="7" t="n"/>
      <c r="K1070" s="8" t="n"/>
      <c r="L1070" s="13" t="inlineStr">
        <is>
          <t>시행일</t>
        </is>
      </c>
      <c r="M1070" s="7" t="n"/>
      <c r="N1070" s="7" t="n"/>
      <c r="O1070" s="7" t="n"/>
      <c r="P1070" s="8" t="n"/>
      <c r="R1070" s="37">
        <f>IF($R$1069="","",INDEX(전체채점!$B$3:$B$62,$R$1069))</f>
        <v/>
      </c>
      <c r="S1070" s="37">
        <f>IF($R$1070="","",IFERROR(IF($R$1070="언어와 매체",MATCH(2,회차설정!$G$13:$G$27,0),MATCH(2,회차설정!$F$13:$F$27,0)),""))</f>
        <v/>
      </c>
    </row>
    <row r="1071" ht="26" customHeight="1">
      <c r="A1071" s="39">
        <f>IF($R$1069="","",INDEX(답안입력!$A$3:$A$62,$R$1069))</f>
        <v/>
      </c>
      <c r="B1071" s="7" t="n"/>
      <c r="C1071" s="8" t="n"/>
      <c r="D1071" s="39">
        <f>IF($R$1069="","",INDEX(답안입력!$C$3:$C$62,$R$1069))</f>
        <v/>
      </c>
      <c r="E1071" s="7" t="n"/>
      <c r="F1071" s="7" t="n"/>
      <c r="G1071" s="8" t="n"/>
      <c r="H1071" s="39">
        <f>IF($R$1069="","",INDEX(답안입력!$B$3:$B$62,$R$1069))</f>
        <v/>
      </c>
      <c r="I1071" s="7" t="n"/>
      <c r="J1071" s="7" t="n"/>
      <c r="K1071" s="8" t="n"/>
      <c r="L1071" s="40">
        <f>회차설정!$B$3</f>
        <v/>
      </c>
      <c r="M1071" s="7" t="n"/>
      <c r="N1071" s="7" t="n"/>
      <c r="O1071" s="7" t="n"/>
      <c r="P1071" s="8" t="n"/>
      <c r="R1071" s="37">
        <f>IF($R$1070="언어와 매체",회차설정!$B$9,회차설정!$B$8)</f>
        <v/>
      </c>
      <c r="S1071" s="37">
        <f>IF($R$1070="","",IFERROR(IF($R$1070="언어와 매체",MATCH(3,회차설정!$G$13:$G$27,0),MATCH(3,회차설정!$F$13:$F$27,0)),""))</f>
        <v/>
      </c>
    </row>
    <row r="1072">
      <c r="R1072" s="37">
        <f>IF($R$1070="언어와 매체",회차설정!$C$9,회차설정!$C$8)</f>
        <v/>
      </c>
      <c r="S1072" s="37">
        <f>IF($R$1070="","",IFERROR(IF($R$1070="언어와 매체",MATCH(4,회차설정!$G$13:$G$27,0),MATCH(4,회차설정!$F$13:$F$27,0)),""))</f>
        <v/>
      </c>
    </row>
    <row r="1073">
      <c r="A1073" s="12" t="inlineStr">
        <is>
          <t>2. 성적</t>
        </is>
      </c>
      <c r="R1073" s="37">
        <f>IF($R$1070="언어와 매체",회차설정!$D$9,회차설정!$D$8)</f>
        <v/>
      </c>
      <c r="S1073" s="37">
        <f>IF($R$1070="","",IFERROR(IF($R$1070="언어와 매체",MATCH(5,회차설정!$G$13:$G$27,0),MATCH(5,회차설정!$F$13:$F$27,0)),""))</f>
        <v/>
      </c>
    </row>
    <row r="1074">
      <c r="A1074" s="13" t="inlineStr">
        <is>
          <t>점수 (100점 만점)</t>
        </is>
      </c>
      <c r="B1074" s="7" t="n"/>
      <c r="C1074" s="7" t="n"/>
      <c r="D1074" s="7" t="n"/>
      <c r="E1074" s="8" t="n"/>
      <c r="F1074" s="13" t="inlineStr">
        <is>
          <t>등급</t>
        </is>
      </c>
      <c r="G1074" s="7" t="n"/>
      <c r="H1074" s="8" t="n"/>
      <c r="I1074" s="13" t="inlineStr">
        <is>
          <t>등급컷</t>
        </is>
      </c>
      <c r="J1074" s="7" t="n"/>
      <c r="K1074" s="7" t="n"/>
      <c r="L1074" s="8" t="n"/>
      <c r="M1074" s="13" t="inlineStr">
        <is>
          <t>같은 선택과목 평균</t>
        </is>
      </c>
      <c r="N1074" s="7" t="n"/>
      <c r="O1074" s="7" t="n"/>
      <c r="P1074" s="8" t="n"/>
      <c r="R1074" s="37">
        <f>IF($R$1070="언어와 매체",회차설정!$E$9,회차설정!$E$8)</f>
        <v/>
      </c>
      <c r="S1074" s="37">
        <f>IF($R$1070="","",IFERROR(IF($R$1070="언어와 매체",MATCH(6,회차설정!$G$13:$G$27,0),MATCH(6,회차설정!$F$13:$F$27,0)),""))</f>
        <v/>
      </c>
    </row>
    <row r="1075" ht="34" customHeight="1">
      <c r="A1075" s="41">
        <f>IF($R$1069="","",INDEX(전체채점!$C$3:$C$62,$R$1069))</f>
        <v/>
      </c>
      <c r="B1075" s="7" t="n"/>
      <c r="C1075" s="7" t="n"/>
      <c r="D1075" s="7" t="n"/>
      <c r="E1075" s="8" t="n"/>
      <c r="F1075" s="42">
        <f>IF($R$1069="","",INDEX(전체채점!$D$3:$D$62,$R$1069))</f>
        <v/>
      </c>
      <c r="G1075" s="7" t="n"/>
      <c r="H1075" s="8" t="n"/>
      <c r="I1075" s="43">
        <f>IF($R$1069="","",$R$1071&amp;"-"&amp;$R$1072&amp;"-"&amp;$R$1073&amp;"-"&amp;$R$1074)</f>
        <v/>
      </c>
      <c r="J1075" s="7" t="n"/>
      <c r="K1075" s="7" t="n"/>
      <c r="L1075" s="8" t="n"/>
      <c r="M1075" s="44">
        <f>IFERROR(AVERAGEIF(전체채점!$B$3:$B$62,$R$1070,전체채점!$C$3:$C$62),"")</f>
        <v/>
      </c>
      <c r="N1075" s="7" t="n"/>
      <c r="O1075" s="7" t="n"/>
      <c r="P1075" s="8" t="n"/>
      <c r="S1075" s="37">
        <f>IF($R$1070="","",IFERROR(IF($R$1070="언어와 매체",MATCH(7,회차설정!$G$13:$G$27,0),MATCH(7,회차설정!$F$13:$F$27,0)),""))</f>
        <v/>
      </c>
    </row>
    <row r="1076">
      <c r="S1076" s="37">
        <f>IF($R$1070="","",IFERROR(IF($R$1070="언어와 매체",MATCH(8,회차설정!$G$13:$G$27,0),MATCH(8,회차설정!$F$13:$F$27,0)),""))</f>
        <v/>
      </c>
    </row>
    <row r="1077">
      <c r="A1077" s="12" t="inlineStr">
        <is>
          <t>3. 영역분류별 성취도 분석</t>
        </is>
      </c>
      <c r="F1077" s="45">
        <f>IF(OR($R$1069="",$E1091=""),"",IF($E1091=INDEX(전체채점!$C$3:$C$62,$R$1069),"","※ 회차설정의 영역 표를 확인하세요 — 영역 합계와 점수가 다릅니다"))</f>
        <v/>
      </c>
      <c r="S1077" s="37">
        <f>IF($R$1070="","",IFERROR(IF($R$1070="언어와 매체",MATCH(9,회차설정!$G$13:$G$27,0),MATCH(9,회차설정!$F$13:$F$27,0)),""))</f>
        <v/>
      </c>
    </row>
    <row r="1078">
      <c r="A1078" s="13" t="inlineStr">
        <is>
          <t>분류</t>
        </is>
      </c>
      <c r="B1078" s="13" t="inlineStr">
        <is>
          <t>영역</t>
        </is>
      </c>
      <c r="C1078" s="8" t="n"/>
      <c r="D1078" s="13" t="inlineStr">
        <is>
          <t>배점</t>
        </is>
      </c>
      <c r="E1078" s="13" t="inlineStr">
        <is>
          <t>득점</t>
        </is>
      </c>
      <c r="F1078" s="13" t="inlineStr">
        <is>
          <t>성취도(%)</t>
        </is>
      </c>
      <c r="G1078" s="8" t="n"/>
      <c r="H1078" s="13" t="inlineStr"/>
      <c r="I1078" s="7" t="n"/>
      <c r="J1078" s="7" t="n"/>
      <c r="K1078" s="7" t="n"/>
      <c r="L1078" s="7" t="n"/>
      <c r="M1078" s="7" t="n"/>
      <c r="N1078" s="7" t="n"/>
      <c r="O1078" s="7" t="n"/>
      <c r="P1078" s="8" t="n"/>
      <c r="S1078" s="37">
        <f>IF($R$1070="","",IFERROR(IF($R$1070="언어와 매체",MATCH(10,회차설정!$G$13:$G$27,0),MATCH(10,회차설정!$F$13:$F$27,0)),""))</f>
        <v/>
      </c>
    </row>
    <row r="1079">
      <c r="A1079" s="14">
        <f>IF($S$1069="","",INDEX(회차설정!$A$13:$A$27,$S$1069))</f>
        <v/>
      </c>
      <c r="B1079" s="14">
        <f>IF($S$1069="","",INDEX(회차설정!$B$13:$B$27,$S$1069))</f>
        <v/>
      </c>
      <c r="C1079" s="8" t="n"/>
      <c r="D1079" s="14">
        <f>IF($S$1069="","",IF($R$1070="언어와 매체",SUMPRODUCT((자동계산!$A$4:$A$48&gt;=INDEX(회차설정!$C$13:$C$27,$S$1069))*(자동계산!$A$4:$A$48&lt;=INDEX(회차설정!$D$13:$D$27,$S$1069))*자동계산!$E$4:$E$48),SUMPRODUCT((자동계산!$A$4:$A$48&gt;=INDEX(회차설정!$C$13:$C$27,$S$1069))*(자동계산!$A$4:$A$48&lt;=INDEX(회차설정!$D$13:$D$27,$S$1069))*자동계산!$C$4:$C$48)))</f>
        <v/>
      </c>
      <c r="E1079" s="14">
        <f>IF(OR($S$1069="",$R$1069=""),"",SUM(OFFSET(전체채점!$AW$2,$R$1069,INDEX(회차설정!$C$13:$C$27,$S$1069),1,INDEX(회차설정!$D$13:$D$27,$S$1069)-INDEX(회차설정!$C$13:$C$27,$S$1069)+1)))</f>
        <v/>
      </c>
      <c r="F1079" s="46">
        <f>IF(OR($S$1069="",$D1079=0,$D1079="",$E1079=""),"",$E1079/$D1079*100)</f>
        <v/>
      </c>
      <c r="G1079" s="8" t="n"/>
      <c r="H1079" s="47">
        <f>IF($F1079="","",REPT("■",ROUND($F1079/5,0)))</f>
        <v/>
      </c>
      <c r="I1079" s="7" t="n"/>
      <c r="J1079" s="7" t="n"/>
      <c r="K1079" s="7" t="n"/>
      <c r="L1079" s="7" t="n"/>
      <c r="M1079" s="7" t="n"/>
      <c r="N1079" s="7" t="n"/>
      <c r="O1079" s="7" t="n"/>
      <c r="P1079" s="8" t="n"/>
      <c r="S1079" s="37">
        <f>IF($R$1070="","",IFERROR(IF($R$1070="언어와 매체",MATCH(11,회차설정!$G$13:$G$27,0),MATCH(11,회차설정!$F$13:$F$27,0)),""))</f>
        <v/>
      </c>
    </row>
    <row r="1080">
      <c r="A1080" s="14">
        <f>IF($S$1070="","",INDEX(회차설정!$A$13:$A$27,$S$1070))</f>
        <v/>
      </c>
      <c r="B1080" s="14">
        <f>IF($S$1070="","",INDEX(회차설정!$B$13:$B$27,$S$1070))</f>
        <v/>
      </c>
      <c r="C1080" s="8" t="n"/>
      <c r="D1080" s="14">
        <f>IF($S$1070="","",IF($R$1070="언어와 매체",SUMPRODUCT((자동계산!$A$4:$A$48&gt;=INDEX(회차설정!$C$13:$C$27,$S$1070))*(자동계산!$A$4:$A$48&lt;=INDEX(회차설정!$D$13:$D$27,$S$1070))*자동계산!$E$4:$E$48),SUMPRODUCT((자동계산!$A$4:$A$48&gt;=INDEX(회차설정!$C$13:$C$27,$S$1070))*(자동계산!$A$4:$A$48&lt;=INDEX(회차설정!$D$13:$D$27,$S$1070))*자동계산!$C$4:$C$48)))</f>
        <v/>
      </c>
      <c r="E1080" s="14">
        <f>IF(OR($S$1070="",$R$1069=""),"",SUM(OFFSET(전체채점!$AW$2,$R$1069,INDEX(회차설정!$C$13:$C$27,$S$1070),1,INDEX(회차설정!$D$13:$D$27,$S$1070)-INDEX(회차설정!$C$13:$C$27,$S$1070)+1)))</f>
        <v/>
      </c>
      <c r="F1080" s="46">
        <f>IF(OR($S$1070="",$D1080=0,$D1080="",$E1080=""),"",$E1080/$D1080*100)</f>
        <v/>
      </c>
      <c r="G1080" s="8" t="n"/>
      <c r="H1080" s="47">
        <f>IF($F1080="","",REPT("■",ROUND($F1080/5,0)))</f>
        <v/>
      </c>
      <c r="I1080" s="7" t="n"/>
      <c r="J1080" s="7" t="n"/>
      <c r="K1080" s="7" t="n"/>
      <c r="L1080" s="7" t="n"/>
      <c r="M1080" s="7" t="n"/>
      <c r="N1080" s="7" t="n"/>
      <c r="O1080" s="7" t="n"/>
      <c r="P1080" s="8" t="n"/>
      <c r="S1080" s="37">
        <f>IF($R$1070="","",IFERROR(IF($R$1070="언어와 매체",MATCH(12,회차설정!$G$13:$G$27,0),MATCH(12,회차설정!$F$13:$F$27,0)),""))</f>
        <v/>
      </c>
    </row>
    <row r="1081">
      <c r="A1081" s="14">
        <f>IF($S$1071="","",INDEX(회차설정!$A$13:$A$27,$S$1071))</f>
        <v/>
      </c>
      <c r="B1081" s="14">
        <f>IF($S$1071="","",INDEX(회차설정!$B$13:$B$27,$S$1071))</f>
        <v/>
      </c>
      <c r="C1081" s="8" t="n"/>
      <c r="D1081" s="14">
        <f>IF($S$1071="","",IF($R$1070="언어와 매체",SUMPRODUCT((자동계산!$A$4:$A$48&gt;=INDEX(회차설정!$C$13:$C$27,$S$1071))*(자동계산!$A$4:$A$48&lt;=INDEX(회차설정!$D$13:$D$27,$S$1071))*자동계산!$E$4:$E$48),SUMPRODUCT((자동계산!$A$4:$A$48&gt;=INDEX(회차설정!$C$13:$C$27,$S$1071))*(자동계산!$A$4:$A$48&lt;=INDEX(회차설정!$D$13:$D$27,$S$1071))*자동계산!$C$4:$C$48)))</f>
        <v/>
      </c>
      <c r="E1081" s="14">
        <f>IF(OR($S$1071="",$R$1069=""),"",SUM(OFFSET(전체채점!$AW$2,$R$1069,INDEX(회차설정!$C$13:$C$27,$S$1071),1,INDEX(회차설정!$D$13:$D$27,$S$1071)-INDEX(회차설정!$C$13:$C$27,$S$1071)+1)))</f>
        <v/>
      </c>
      <c r="F1081" s="46">
        <f>IF(OR($S$1071="",$D1081=0,$D1081="",$E1081=""),"",$E1081/$D1081*100)</f>
        <v/>
      </c>
      <c r="G1081" s="8" t="n"/>
      <c r="H1081" s="47">
        <f>IF($F1081="","",REPT("■",ROUND($F1081/5,0)))</f>
        <v/>
      </c>
      <c r="I1081" s="7" t="n"/>
      <c r="J1081" s="7" t="n"/>
      <c r="K1081" s="7" t="n"/>
      <c r="L1081" s="7" t="n"/>
      <c r="M1081" s="7" t="n"/>
      <c r="N1081" s="7" t="n"/>
      <c r="O1081" s="7" t="n"/>
      <c r="P1081" s="8" t="n"/>
    </row>
    <row r="1082">
      <c r="A1082" s="14">
        <f>IF($S$1072="","",INDEX(회차설정!$A$13:$A$27,$S$1072))</f>
        <v/>
      </c>
      <c r="B1082" s="14">
        <f>IF($S$1072="","",INDEX(회차설정!$B$13:$B$27,$S$1072))</f>
        <v/>
      </c>
      <c r="C1082" s="8" t="n"/>
      <c r="D1082" s="14">
        <f>IF($S$1072="","",IF($R$1070="언어와 매체",SUMPRODUCT((자동계산!$A$4:$A$48&gt;=INDEX(회차설정!$C$13:$C$27,$S$1072))*(자동계산!$A$4:$A$48&lt;=INDEX(회차설정!$D$13:$D$27,$S$1072))*자동계산!$E$4:$E$48),SUMPRODUCT((자동계산!$A$4:$A$48&gt;=INDEX(회차설정!$C$13:$C$27,$S$1072))*(자동계산!$A$4:$A$48&lt;=INDEX(회차설정!$D$13:$D$27,$S$1072))*자동계산!$C$4:$C$48)))</f>
        <v/>
      </c>
      <c r="E1082" s="14">
        <f>IF(OR($S$1072="",$R$1069=""),"",SUM(OFFSET(전체채점!$AW$2,$R$1069,INDEX(회차설정!$C$13:$C$27,$S$1072),1,INDEX(회차설정!$D$13:$D$27,$S$1072)-INDEX(회차설정!$C$13:$C$27,$S$1072)+1)))</f>
        <v/>
      </c>
      <c r="F1082" s="46">
        <f>IF(OR($S$1072="",$D1082=0,$D1082="",$E1082=""),"",$E1082/$D1082*100)</f>
        <v/>
      </c>
      <c r="G1082" s="8" t="n"/>
      <c r="H1082" s="47">
        <f>IF($F1082="","",REPT("■",ROUND($F1082/5,0)))</f>
        <v/>
      </c>
      <c r="I1082" s="7" t="n"/>
      <c r="J1082" s="7" t="n"/>
      <c r="K1082" s="7" t="n"/>
      <c r="L1082" s="7" t="n"/>
      <c r="M1082" s="7" t="n"/>
      <c r="N1082" s="7" t="n"/>
      <c r="O1082" s="7" t="n"/>
      <c r="P1082" s="8" t="n"/>
    </row>
    <row r="1083">
      <c r="A1083" s="14">
        <f>IF($S$1073="","",INDEX(회차설정!$A$13:$A$27,$S$1073))</f>
        <v/>
      </c>
      <c r="B1083" s="14">
        <f>IF($S$1073="","",INDEX(회차설정!$B$13:$B$27,$S$1073))</f>
        <v/>
      </c>
      <c r="C1083" s="8" t="n"/>
      <c r="D1083" s="14">
        <f>IF($S$1073="","",IF($R$1070="언어와 매체",SUMPRODUCT((자동계산!$A$4:$A$48&gt;=INDEX(회차설정!$C$13:$C$27,$S$1073))*(자동계산!$A$4:$A$48&lt;=INDEX(회차설정!$D$13:$D$27,$S$1073))*자동계산!$E$4:$E$48),SUMPRODUCT((자동계산!$A$4:$A$48&gt;=INDEX(회차설정!$C$13:$C$27,$S$1073))*(자동계산!$A$4:$A$48&lt;=INDEX(회차설정!$D$13:$D$27,$S$1073))*자동계산!$C$4:$C$48)))</f>
        <v/>
      </c>
      <c r="E1083" s="14">
        <f>IF(OR($S$1073="",$R$1069=""),"",SUM(OFFSET(전체채점!$AW$2,$R$1069,INDEX(회차설정!$C$13:$C$27,$S$1073),1,INDEX(회차설정!$D$13:$D$27,$S$1073)-INDEX(회차설정!$C$13:$C$27,$S$1073)+1)))</f>
        <v/>
      </c>
      <c r="F1083" s="46">
        <f>IF(OR($S$1073="",$D1083=0,$D1083="",$E1083=""),"",$E1083/$D1083*100)</f>
        <v/>
      </c>
      <c r="G1083" s="8" t="n"/>
      <c r="H1083" s="47">
        <f>IF($F1083="","",REPT("■",ROUND($F1083/5,0)))</f>
        <v/>
      </c>
      <c r="I1083" s="7" t="n"/>
      <c r="J1083" s="7" t="n"/>
      <c r="K1083" s="7" t="n"/>
      <c r="L1083" s="7" t="n"/>
      <c r="M1083" s="7" t="n"/>
      <c r="N1083" s="7" t="n"/>
      <c r="O1083" s="7" t="n"/>
      <c r="P1083" s="8" t="n"/>
    </row>
    <row r="1084">
      <c r="A1084" s="14">
        <f>IF($S$1074="","",INDEX(회차설정!$A$13:$A$27,$S$1074))</f>
        <v/>
      </c>
      <c r="B1084" s="14">
        <f>IF($S$1074="","",INDEX(회차설정!$B$13:$B$27,$S$1074))</f>
        <v/>
      </c>
      <c r="C1084" s="8" t="n"/>
      <c r="D1084" s="14">
        <f>IF($S$1074="","",IF($R$1070="언어와 매체",SUMPRODUCT((자동계산!$A$4:$A$48&gt;=INDEX(회차설정!$C$13:$C$27,$S$1074))*(자동계산!$A$4:$A$48&lt;=INDEX(회차설정!$D$13:$D$27,$S$1074))*자동계산!$E$4:$E$48),SUMPRODUCT((자동계산!$A$4:$A$48&gt;=INDEX(회차설정!$C$13:$C$27,$S$1074))*(자동계산!$A$4:$A$48&lt;=INDEX(회차설정!$D$13:$D$27,$S$1074))*자동계산!$C$4:$C$48)))</f>
        <v/>
      </c>
      <c r="E1084" s="14">
        <f>IF(OR($S$1074="",$R$1069=""),"",SUM(OFFSET(전체채점!$AW$2,$R$1069,INDEX(회차설정!$C$13:$C$27,$S$1074),1,INDEX(회차설정!$D$13:$D$27,$S$1074)-INDEX(회차설정!$C$13:$C$27,$S$1074)+1)))</f>
        <v/>
      </c>
      <c r="F1084" s="46">
        <f>IF(OR($S$1074="",$D1084=0,$D1084="",$E1084=""),"",$E1084/$D1084*100)</f>
        <v/>
      </c>
      <c r="G1084" s="8" t="n"/>
      <c r="H1084" s="47">
        <f>IF($F1084="","",REPT("■",ROUND($F1084/5,0)))</f>
        <v/>
      </c>
      <c r="I1084" s="7" t="n"/>
      <c r="J1084" s="7" t="n"/>
      <c r="K1084" s="7" t="n"/>
      <c r="L1084" s="7" t="n"/>
      <c r="M1084" s="7" t="n"/>
      <c r="N1084" s="7" t="n"/>
      <c r="O1084" s="7" t="n"/>
      <c r="P1084" s="8" t="n"/>
    </row>
    <row r="1085">
      <c r="A1085" s="14">
        <f>IF($S$1075="","",INDEX(회차설정!$A$13:$A$27,$S$1075))</f>
        <v/>
      </c>
      <c r="B1085" s="14">
        <f>IF($S$1075="","",INDEX(회차설정!$B$13:$B$27,$S$1075))</f>
        <v/>
      </c>
      <c r="C1085" s="8" t="n"/>
      <c r="D1085" s="14">
        <f>IF($S$1075="","",IF($R$1070="언어와 매체",SUMPRODUCT((자동계산!$A$4:$A$48&gt;=INDEX(회차설정!$C$13:$C$27,$S$1075))*(자동계산!$A$4:$A$48&lt;=INDEX(회차설정!$D$13:$D$27,$S$1075))*자동계산!$E$4:$E$48),SUMPRODUCT((자동계산!$A$4:$A$48&gt;=INDEX(회차설정!$C$13:$C$27,$S$1075))*(자동계산!$A$4:$A$48&lt;=INDEX(회차설정!$D$13:$D$27,$S$1075))*자동계산!$C$4:$C$48)))</f>
        <v/>
      </c>
      <c r="E1085" s="14">
        <f>IF(OR($S$1075="",$R$1069=""),"",SUM(OFFSET(전체채점!$AW$2,$R$1069,INDEX(회차설정!$C$13:$C$27,$S$1075),1,INDEX(회차설정!$D$13:$D$27,$S$1075)-INDEX(회차설정!$C$13:$C$27,$S$1075)+1)))</f>
        <v/>
      </c>
      <c r="F1085" s="46">
        <f>IF(OR($S$1075="",$D1085=0,$D1085="",$E1085=""),"",$E1085/$D1085*100)</f>
        <v/>
      </c>
      <c r="G1085" s="8" t="n"/>
      <c r="H1085" s="47">
        <f>IF($F1085="","",REPT("■",ROUND($F1085/5,0)))</f>
        <v/>
      </c>
      <c r="I1085" s="7" t="n"/>
      <c r="J1085" s="7" t="n"/>
      <c r="K1085" s="7" t="n"/>
      <c r="L1085" s="7" t="n"/>
      <c r="M1085" s="7" t="n"/>
      <c r="N1085" s="7" t="n"/>
      <c r="O1085" s="7" t="n"/>
      <c r="P1085" s="8" t="n"/>
    </row>
    <row r="1086">
      <c r="A1086" s="14">
        <f>IF($S$1076="","",INDEX(회차설정!$A$13:$A$27,$S$1076))</f>
        <v/>
      </c>
      <c r="B1086" s="14">
        <f>IF($S$1076="","",INDEX(회차설정!$B$13:$B$27,$S$1076))</f>
        <v/>
      </c>
      <c r="C1086" s="8" t="n"/>
      <c r="D1086" s="14">
        <f>IF($S$1076="","",IF($R$1070="언어와 매체",SUMPRODUCT((자동계산!$A$4:$A$48&gt;=INDEX(회차설정!$C$13:$C$27,$S$1076))*(자동계산!$A$4:$A$48&lt;=INDEX(회차설정!$D$13:$D$27,$S$1076))*자동계산!$E$4:$E$48),SUMPRODUCT((자동계산!$A$4:$A$48&gt;=INDEX(회차설정!$C$13:$C$27,$S$1076))*(자동계산!$A$4:$A$48&lt;=INDEX(회차설정!$D$13:$D$27,$S$1076))*자동계산!$C$4:$C$48)))</f>
        <v/>
      </c>
      <c r="E1086" s="14">
        <f>IF(OR($S$1076="",$R$1069=""),"",SUM(OFFSET(전체채점!$AW$2,$R$1069,INDEX(회차설정!$C$13:$C$27,$S$1076),1,INDEX(회차설정!$D$13:$D$27,$S$1076)-INDEX(회차설정!$C$13:$C$27,$S$1076)+1)))</f>
        <v/>
      </c>
      <c r="F1086" s="46">
        <f>IF(OR($S$1076="",$D1086=0,$D1086="",$E1086=""),"",$E1086/$D1086*100)</f>
        <v/>
      </c>
      <c r="G1086" s="8" t="n"/>
      <c r="H1086" s="47">
        <f>IF($F1086="","",REPT("■",ROUND($F1086/5,0)))</f>
        <v/>
      </c>
      <c r="I1086" s="7" t="n"/>
      <c r="J1086" s="7" t="n"/>
      <c r="K1086" s="7" t="n"/>
      <c r="L1086" s="7" t="n"/>
      <c r="M1086" s="7" t="n"/>
      <c r="N1086" s="7" t="n"/>
      <c r="O1086" s="7" t="n"/>
      <c r="P1086" s="8" t="n"/>
    </row>
    <row r="1087">
      <c r="A1087" s="14">
        <f>IF($S$1077="","",INDEX(회차설정!$A$13:$A$27,$S$1077))</f>
        <v/>
      </c>
      <c r="B1087" s="14">
        <f>IF($S$1077="","",INDEX(회차설정!$B$13:$B$27,$S$1077))</f>
        <v/>
      </c>
      <c r="C1087" s="8" t="n"/>
      <c r="D1087" s="14">
        <f>IF($S$1077="","",IF($R$1070="언어와 매체",SUMPRODUCT((자동계산!$A$4:$A$48&gt;=INDEX(회차설정!$C$13:$C$27,$S$1077))*(자동계산!$A$4:$A$48&lt;=INDEX(회차설정!$D$13:$D$27,$S$1077))*자동계산!$E$4:$E$48),SUMPRODUCT((자동계산!$A$4:$A$48&gt;=INDEX(회차설정!$C$13:$C$27,$S$1077))*(자동계산!$A$4:$A$48&lt;=INDEX(회차설정!$D$13:$D$27,$S$1077))*자동계산!$C$4:$C$48)))</f>
        <v/>
      </c>
      <c r="E1087" s="14">
        <f>IF(OR($S$1077="",$R$1069=""),"",SUM(OFFSET(전체채점!$AW$2,$R$1069,INDEX(회차설정!$C$13:$C$27,$S$1077),1,INDEX(회차설정!$D$13:$D$27,$S$1077)-INDEX(회차설정!$C$13:$C$27,$S$1077)+1)))</f>
        <v/>
      </c>
      <c r="F1087" s="46">
        <f>IF(OR($S$1077="",$D1087=0,$D1087="",$E1087=""),"",$E1087/$D1087*100)</f>
        <v/>
      </c>
      <c r="G1087" s="8" t="n"/>
      <c r="H1087" s="47">
        <f>IF($F1087="","",REPT("■",ROUND($F1087/5,0)))</f>
        <v/>
      </c>
      <c r="I1087" s="7" t="n"/>
      <c r="J1087" s="7" t="n"/>
      <c r="K1087" s="7" t="n"/>
      <c r="L1087" s="7" t="n"/>
      <c r="M1087" s="7" t="n"/>
      <c r="N1087" s="7" t="n"/>
      <c r="O1087" s="7" t="n"/>
      <c r="P1087" s="8" t="n"/>
    </row>
    <row r="1088">
      <c r="A1088" s="14">
        <f>IF($S$1078="","",INDEX(회차설정!$A$13:$A$27,$S$1078))</f>
        <v/>
      </c>
      <c r="B1088" s="14">
        <f>IF($S$1078="","",INDEX(회차설정!$B$13:$B$27,$S$1078))</f>
        <v/>
      </c>
      <c r="C1088" s="8" t="n"/>
      <c r="D1088" s="14">
        <f>IF($S$1078="","",IF($R$1070="언어와 매체",SUMPRODUCT((자동계산!$A$4:$A$48&gt;=INDEX(회차설정!$C$13:$C$27,$S$1078))*(자동계산!$A$4:$A$48&lt;=INDEX(회차설정!$D$13:$D$27,$S$1078))*자동계산!$E$4:$E$48),SUMPRODUCT((자동계산!$A$4:$A$48&gt;=INDEX(회차설정!$C$13:$C$27,$S$1078))*(자동계산!$A$4:$A$48&lt;=INDEX(회차설정!$D$13:$D$27,$S$1078))*자동계산!$C$4:$C$48)))</f>
        <v/>
      </c>
      <c r="E1088" s="14">
        <f>IF(OR($S$1078="",$R$1069=""),"",SUM(OFFSET(전체채점!$AW$2,$R$1069,INDEX(회차설정!$C$13:$C$27,$S$1078),1,INDEX(회차설정!$D$13:$D$27,$S$1078)-INDEX(회차설정!$C$13:$C$27,$S$1078)+1)))</f>
        <v/>
      </c>
      <c r="F1088" s="46">
        <f>IF(OR($S$1078="",$D1088=0,$D1088="",$E1088=""),"",$E1088/$D1088*100)</f>
        <v/>
      </c>
      <c r="G1088" s="8" t="n"/>
      <c r="H1088" s="47">
        <f>IF($F1088="","",REPT("■",ROUND($F1088/5,0)))</f>
        <v/>
      </c>
      <c r="I1088" s="7" t="n"/>
      <c r="J1088" s="7" t="n"/>
      <c r="K1088" s="7" t="n"/>
      <c r="L1088" s="7" t="n"/>
      <c r="M1088" s="7" t="n"/>
      <c r="N1088" s="7" t="n"/>
      <c r="O1088" s="7" t="n"/>
      <c r="P1088" s="8" t="n"/>
    </row>
    <row r="1089">
      <c r="A1089" s="14">
        <f>IF($S$1079="","",INDEX(회차설정!$A$13:$A$27,$S$1079))</f>
        <v/>
      </c>
      <c r="B1089" s="14">
        <f>IF($S$1079="","",INDEX(회차설정!$B$13:$B$27,$S$1079))</f>
        <v/>
      </c>
      <c r="C1089" s="8" t="n"/>
      <c r="D1089" s="14">
        <f>IF($S$1079="","",IF($R$1070="언어와 매체",SUMPRODUCT((자동계산!$A$4:$A$48&gt;=INDEX(회차설정!$C$13:$C$27,$S$1079))*(자동계산!$A$4:$A$48&lt;=INDEX(회차설정!$D$13:$D$27,$S$1079))*자동계산!$E$4:$E$48),SUMPRODUCT((자동계산!$A$4:$A$48&gt;=INDEX(회차설정!$C$13:$C$27,$S$1079))*(자동계산!$A$4:$A$48&lt;=INDEX(회차설정!$D$13:$D$27,$S$1079))*자동계산!$C$4:$C$48)))</f>
        <v/>
      </c>
      <c r="E1089" s="14">
        <f>IF(OR($S$1079="",$R$1069=""),"",SUM(OFFSET(전체채점!$AW$2,$R$1069,INDEX(회차설정!$C$13:$C$27,$S$1079),1,INDEX(회차설정!$D$13:$D$27,$S$1079)-INDEX(회차설정!$C$13:$C$27,$S$1079)+1)))</f>
        <v/>
      </c>
      <c r="F1089" s="46">
        <f>IF(OR($S$1079="",$D1089=0,$D1089="",$E1089=""),"",$E1089/$D1089*100)</f>
        <v/>
      </c>
      <c r="G1089" s="8" t="n"/>
      <c r="H1089" s="47">
        <f>IF($F1089="","",REPT("■",ROUND($F1089/5,0)))</f>
        <v/>
      </c>
      <c r="I1089" s="7" t="n"/>
      <c r="J1089" s="7" t="n"/>
      <c r="K1089" s="7" t="n"/>
      <c r="L1089" s="7" t="n"/>
      <c r="M1089" s="7" t="n"/>
      <c r="N1089" s="7" t="n"/>
      <c r="O1089" s="7" t="n"/>
      <c r="P1089" s="8" t="n"/>
    </row>
    <row r="1090">
      <c r="A1090" s="14">
        <f>IF($S$1080="","",INDEX(회차설정!$A$13:$A$27,$S$1080))</f>
        <v/>
      </c>
      <c r="B1090" s="14">
        <f>IF($S$1080="","",INDEX(회차설정!$B$13:$B$27,$S$1080))</f>
        <v/>
      </c>
      <c r="C1090" s="8" t="n"/>
      <c r="D1090" s="14">
        <f>IF($S$1080="","",IF($R$1070="언어와 매체",SUMPRODUCT((자동계산!$A$4:$A$48&gt;=INDEX(회차설정!$C$13:$C$27,$S$1080))*(자동계산!$A$4:$A$48&lt;=INDEX(회차설정!$D$13:$D$27,$S$1080))*자동계산!$E$4:$E$48),SUMPRODUCT((자동계산!$A$4:$A$48&gt;=INDEX(회차설정!$C$13:$C$27,$S$1080))*(자동계산!$A$4:$A$48&lt;=INDEX(회차설정!$D$13:$D$27,$S$1080))*자동계산!$C$4:$C$48)))</f>
        <v/>
      </c>
      <c r="E1090" s="14">
        <f>IF(OR($S$1080="",$R$1069=""),"",SUM(OFFSET(전체채점!$AW$2,$R$1069,INDEX(회차설정!$C$13:$C$27,$S$1080),1,INDEX(회차설정!$D$13:$D$27,$S$1080)-INDEX(회차설정!$C$13:$C$27,$S$1080)+1)))</f>
        <v/>
      </c>
      <c r="F1090" s="46">
        <f>IF(OR($S$1080="",$D1090=0,$D1090="",$E1090=""),"",$E1090/$D1090*100)</f>
        <v/>
      </c>
      <c r="G1090" s="8" t="n"/>
      <c r="H1090" s="47">
        <f>IF($F1090="","",REPT("■",ROUND($F1090/5,0)))</f>
        <v/>
      </c>
      <c r="I1090" s="7" t="n"/>
      <c r="J1090" s="7" t="n"/>
      <c r="K1090" s="7" t="n"/>
      <c r="L1090" s="7" t="n"/>
      <c r="M1090" s="7" t="n"/>
      <c r="N1090" s="7" t="n"/>
      <c r="O1090" s="7" t="n"/>
      <c r="P1090" s="8" t="n"/>
    </row>
    <row r="1091">
      <c r="A1091" s="5">
        <f>IF($R$1069="","","합계")</f>
        <v/>
      </c>
      <c r="B1091" s="7" t="n"/>
      <c r="C1091" s="8" t="n"/>
      <c r="D1091" s="5">
        <f>IF($R$1069="","",SUM(D1079:D1090))</f>
        <v/>
      </c>
      <c r="E1091" s="5">
        <f>IF($R$1069="","",SUM(E1079:E1090))</f>
        <v/>
      </c>
      <c r="F1091" s="48">
        <f>IF(OR($D1091=0,$D1091=""),"",$E1091/$D1091*100)</f>
        <v/>
      </c>
      <c r="G1091" s="8" t="n"/>
      <c r="H1091" s="49">
        <f>IF($F1091="","",REPT("■",ROUND($F1091/5,0)))</f>
        <v/>
      </c>
      <c r="I1091" s="7" t="n"/>
      <c r="J1091" s="7" t="n"/>
      <c r="K1091" s="7" t="n"/>
      <c r="L1091" s="7" t="n"/>
      <c r="M1091" s="7" t="n"/>
      <c r="N1091" s="7" t="n"/>
      <c r="O1091" s="7" t="n"/>
      <c r="P1091" s="8" t="n"/>
    </row>
    <row r="1093">
      <c r="A1093" s="12" t="inlineStr">
        <is>
          <t>4. 문항 채점표</t>
        </is>
      </c>
    </row>
    <row r="1094">
      <c r="A1094" s="50" t="inlineStr">
        <is>
          <t>문항 번호</t>
        </is>
      </c>
      <c r="B1094" s="51" t="n">
        <v>1</v>
      </c>
      <c r="C1094" s="51" t="n">
        <v>2</v>
      </c>
      <c r="D1094" s="51" t="n">
        <v>3</v>
      </c>
      <c r="E1094" s="51" t="n">
        <v>4</v>
      </c>
      <c r="F1094" s="51" t="n">
        <v>5</v>
      </c>
      <c r="G1094" s="51" t="n">
        <v>6</v>
      </c>
      <c r="H1094" s="51" t="n">
        <v>7</v>
      </c>
      <c r="I1094" s="51" t="n">
        <v>8</v>
      </c>
      <c r="J1094" s="51" t="n">
        <v>9</v>
      </c>
      <c r="K1094" s="51" t="n">
        <v>10</v>
      </c>
      <c r="L1094" s="51" t="n">
        <v>11</v>
      </c>
      <c r="M1094" s="51" t="n">
        <v>12</v>
      </c>
      <c r="N1094" s="51" t="n">
        <v>13</v>
      </c>
      <c r="O1094" s="51" t="n">
        <v>14</v>
      </c>
      <c r="P1094" s="51" t="n">
        <v>15</v>
      </c>
    </row>
    <row r="1095">
      <c r="A1095" s="52" t="inlineStr">
        <is>
          <t>정답</t>
        </is>
      </c>
      <c r="B1095" s="33">
        <f>IF($R$1070="","",IF($R$1070="언어와 매체",자동계산!$D$4,자동계산!$B$4))</f>
        <v/>
      </c>
      <c r="C1095" s="33">
        <f>IF($R$1070="","",IF($R$1070="언어와 매체",자동계산!$D$5,자동계산!$B$5))</f>
        <v/>
      </c>
      <c r="D1095" s="33">
        <f>IF($R$1070="","",IF($R$1070="언어와 매체",자동계산!$D$6,자동계산!$B$6))</f>
        <v/>
      </c>
      <c r="E1095" s="33">
        <f>IF($R$1070="","",IF($R$1070="언어와 매체",자동계산!$D$7,자동계산!$B$7))</f>
        <v/>
      </c>
      <c r="F1095" s="33">
        <f>IF($R$1070="","",IF($R$1070="언어와 매체",자동계산!$D$8,자동계산!$B$8))</f>
        <v/>
      </c>
      <c r="G1095" s="33">
        <f>IF($R$1070="","",IF($R$1070="언어와 매체",자동계산!$D$9,자동계산!$B$9))</f>
        <v/>
      </c>
      <c r="H1095" s="33">
        <f>IF($R$1070="","",IF($R$1070="언어와 매체",자동계산!$D$10,자동계산!$B$10))</f>
        <v/>
      </c>
      <c r="I1095" s="33">
        <f>IF($R$1070="","",IF($R$1070="언어와 매체",자동계산!$D$11,자동계산!$B$11))</f>
        <v/>
      </c>
      <c r="J1095" s="33">
        <f>IF($R$1070="","",IF($R$1070="언어와 매체",자동계산!$D$12,자동계산!$B$12))</f>
        <v/>
      </c>
      <c r="K1095" s="33">
        <f>IF($R$1070="","",IF($R$1070="언어와 매체",자동계산!$D$13,자동계산!$B$13))</f>
        <v/>
      </c>
      <c r="L1095" s="33">
        <f>IF($R$1070="","",IF($R$1070="언어와 매체",자동계산!$D$14,자동계산!$B$14))</f>
        <v/>
      </c>
      <c r="M1095" s="33">
        <f>IF($R$1070="","",IF($R$1070="언어와 매체",자동계산!$D$15,자동계산!$B$15))</f>
        <v/>
      </c>
      <c r="N1095" s="33">
        <f>IF($R$1070="","",IF($R$1070="언어와 매체",자동계산!$D$16,자동계산!$B$16))</f>
        <v/>
      </c>
      <c r="O1095" s="33">
        <f>IF($R$1070="","",IF($R$1070="언어와 매체",자동계산!$D$17,자동계산!$B$17))</f>
        <v/>
      </c>
      <c r="P1095" s="33">
        <f>IF($R$1070="","",IF($R$1070="언어와 매체",자동계산!$D$18,자동계산!$B$18))</f>
        <v/>
      </c>
    </row>
    <row r="1096">
      <c r="A1096" s="52" t="inlineStr">
        <is>
          <t>학생답안</t>
        </is>
      </c>
      <c r="B1096" s="33">
        <f>IF($R$1069="","",INDEX(전체채점!E$3:E$62,$R$1069))</f>
        <v/>
      </c>
      <c r="C1096" s="33">
        <f>IF($R$1069="","",INDEX(전체채점!F$3:F$62,$R$1069))</f>
        <v/>
      </c>
      <c r="D1096" s="33">
        <f>IF($R$1069="","",INDEX(전체채점!G$3:G$62,$R$1069))</f>
        <v/>
      </c>
      <c r="E1096" s="33">
        <f>IF($R$1069="","",INDEX(전체채점!H$3:H$62,$R$1069))</f>
        <v/>
      </c>
      <c r="F1096" s="33">
        <f>IF($R$1069="","",INDEX(전체채점!I$3:I$62,$R$1069))</f>
        <v/>
      </c>
      <c r="G1096" s="33">
        <f>IF($R$1069="","",INDEX(전체채점!J$3:J$62,$R$1069))</f>
        <v/>
      </c>
      <c r="H1096" s="33">
        <f>IF($R$1069="","",INDEX(전체채점!K$3:K$62,$R$1069))</f>
        <v/>
      </c>
      <c r="I1096" s="33">
        <f>IF($R$1069="","",INDEX(전체채점!L$3:L$62,$R$1069))</f>
        <v/>
      </c>
      <c r="J1096" s="33">
        <f>IF($R$1069="","",INDEX(전체채점!M$3:M$62,$R$1069))</f>
        <v/>
      </c>
      <c r="K1096" s="33">
        <f>IF($R$1069="","",INDEX(전체채점!N$3:N$62,$R$1069))</f>
        <v/>
      </c>
      <c r="L1096" s="33">
        <f>IF($R$1069="","",INDEX(전체채점!O$3:O$62,$R$1069))</f>
        <v/>
      </c>
      <c r="M1096" s="33">
        <f>IF($R$1069="","",INDEX(전체채점!P$3:P$62,$R$1069))</f>
        <v/>
      </c>
      <c r="N1096" s="33">
        <f>IF($R$1069="","",INDEX(전체채점!Q$3:Q$62,$R$1069))</f>
        <v/>
      </c>
      <c r="O1096" s="33">
        <f>IF($R$1069="","",INDEX(전체채점!R$3:R$62,$R$1069))</f>
        <v/>
      </c>
      <c r="P1096" s="33">
        <f>IF($R$1069="","",INDEX(전체채점!S$3:S$62,$R$1069))</f>
        <v/>
      </c>
    </row>
    <row r="1097">
      <c r="A1097" s="52" t="inlineStr">
        <is>
          <t>정오</t>
        </is>
      </c>
      <c r="B1097" s="33">
        <f>IF($R$1069="","",INDEX(전체채점!AX$3:AX$62,$R$1069))</f>
        <v/>
      </c>
      <c r="C1097" s="33">
        <f>IF($R$1069="","",INDEX(전체채점!AY$3:AY$62,$R$1069))</f>
        <v/>
      </c>
      <c r="D1097" s="33">
        <f>IF($R$1069="","",INDEX(전체채점!AZ$3:AZ$62,$R$1069))</f>
        <v/>
      </c>
      <c r="E1097" s="33">
        <f>IF($R$1069="","",INDEX(전체채점!BA$3:BA$62,$R$1069))</f>
        <v/>
      </c>
      <c r="F1097" s="33">
        <f>IF($R$1069="","",INDEX(전체채점!BB$3:BB$62,$R$1069))</f>
        <v/>
      </c>
      <c r="G1097" s="33">
        <f>IF($R$1069="","",INDEX(전체채점!BC$3:BC$62,$R$1069))</f>
        <v/>
      </c>
      <c r="H1097" s="33">
        <f>IF($R$1069="","",INDEX(전체채점!BD$3:BD$62,$R$1069))</f>
        <v/>
      </c>
      <c r="I1097" s="33">
        <f>IF($R$1069="","",INDEX(전체채점!BE$3:BE$62,$R$1069))</f>
        <v/>
      </c>
      <c r="J1097" s="33">
        <f>IF($R$1069="","",INDEX(전체채점!BF$3:BF$62,$R$1069))</f>
        <v/>
      </c>
      <c r="K1097" s="33">
        <f>IF($R$1069="","",INDEX(전체채점!BG$3:BG$62,$R$1069))</f>
        <v/>
      </c>
      <c r="L1097" s="33">
        <f>IF($R$1069="","",INDEX(전체채점!BH$3:BH$62,$R$1069))</f>
        <v/>
      </c>
      <c r="M1097" s="33">
        <f>IF($R$1069="","",INDEX(전체채점!BI$3:BI$62,$R$1069))</f>
        <v/>
      </c>
      <c r="N1097" s="33">
        <f>IF($R$1069="","",INDEX(전체채점!BJ$3:BJ$62,$R$1069))</f>
        <v/>
      </c>
      <c r="O1097" s="33">
        <f>IF($R$1069="","",INDEX(전체채점!BK$3:BK$62,$R$1069))</f>
        <v/>
      </c>
      <c r="P1097" s="33">
        <f>IF($R$1069="","",INDEX(전체채점!BL$3:BL$62,$R$1069))</f>
        <v/>
      </c>
    </row>
    <row r="1098">
      <c r="A1098" s="50" t="inlineStr">
        <is>
          <t>문항 번호</t>
        </is>
      </c>
      <c r="B1098" s="51" t="n">
        <v>16</v>
      </c>
      <c r="C1098" s="51" t="n">
        <v>17</v>
      </c>
      <c r="D1098" s="51" t="n">
        <v>18</v>
      </c>
      <c r="E1098" s="51" t="n">
        <v>19</v>
      </c>
      <c r="F1098" s="51" t="n">
        <v>20</v>
      </c>
      <c r="G1098" s="51" t="n">
        <v>21</v>
      </c>
      <c r="H1098" s="51" t="n">
        <v>22</v>
      </c>
      <c r="I1098" s="51" t="n">
        <v>23</v>
      </c>
      <c r="J1098" s="51" t="n">
        <v>24</v>
      </c>
      <c r="K1098" s="51" t="n">
        <v>25</v>
      </c>
      <c r="L1098" s="51" t="n">
        <v>26</v>
      </c>
      <c r="M1098" s="51" t="n">
        <v>27</v>
      </c>
      <c r="N1098" s="51" t="n">
        <v>28</v>
      </c>
      <c r="O1098" s="51" t="n">
        <v>29</v>
      </c>
      <c r="P1098" s="51" t="n">
        <v>30</v>
      </c>
    </row>
    <row r="1099">
      <c r="A1099" s="52" t="inlineStr">
        <is>
          <t>정답</t>
        </is>
      </c>
      <c r="B1099" s="33">
        <f>IF($R$1070="","",IF($R$1070="언어와 매체",자동계산!$D$19,자동계산!$B$19))</f>
        <v/>
      </c>
      <c r="C1099" s="33">
        <f>IF($R$1070="","",IF($R$1070="언어와 매체",자동계산!$D$20,자동계산!$B$20))</f>
        <v/>
      </c>
      <c r="D1099" s="33">
        <f>IF($R$1070="","",IF($R$1070="언어와 매체",자동계산!$D$21,자동계산!$B$21))</f>
        <v/>
      </c>
      <c r="E1099" s="33">
        <f>IF($R$1070="","",IF($R$1070="언어와 매체",자동계산!$D$22,자동계산!$B$22))</f>
        <v/>
      </c>
      <c r="F1099" s="33">
        <f>IF($R$1070="","",IF($R$1070="언어와 매체",자동계산!$D$23,자동계산!$B$23))</f>
        <v/>
      </c>
      <c r="G1099" s="33">
        <f>IF($R$1070="","",IF($R$1070="언어와 매체",자동계산!$D$24,자동계산!$B$24))</f>
        <v/>
      </c>
      <c r="H1099" s="33">
        <f>IF($R$1070="","",IF($R$1070="언어와 매체",자동계산!$D$25,자동계산!$B$25))</f>
        <v/>
      </c>
      <c r="I1099" s="33">
        <f>IF($R$1070="","",IF($R$1070="언어와 매체",자동계산!$D$26,자동계산!$B$26))</f>
        <v/>
      </c>
      <c r="J1099" s="33">
        <f>IF($R$1070="","",IF($R$1070="언어와 매체",자동계산!$D$27,자동계산!$B$27))</f>
        <v/>
      </c>
      <c r="K1099" s="33">
        <f>IF($R$1070="","",IF($R$1070="언어와 매체",자동계산!$D$28,자동계산!$B$28))</f>
        <v/>
      </c>
      <c r="L1099" s="33">
        <f>IF($R$1070="","",IF($R$1070="언어와 매체",자동계산!$D$29,자동계산!$B$29))</f>
        <v/>
      </c>
      <c r="M1099" s="33">
        <f>IF($R$1070="","",IF($R$1070="언어와 매체",자동계산!$D$30,자동계산!$B$30))</f>
        <v/>
      </c>
      <c r="N1099" s="33">
        <f>IF($R$1070="","",IF($R$1070="언어와 매체",자동계산!$D$31,자동계산!$B$31))</f>
        <v/>
      </c>
      <c r="O1099" s="33">
        <f>IF($R$1070="","",IF($R$1070="언어와 매체",자동계산!$D$32,자동계산!$B$32))</f>
        <v/>
      </c>
      <c r="P1099" s="33">
        <f>IF($R$1070="","",IF($R$1070="언어와 매체",자동계산!$D$33,자동계산!$B$33))</f>
        <v/>
      </c>
    </row>
    <row r="1100">
      <c r="A1100" s="52" t="inlineStr">
        <is>
          <t>학생답안</t>
        </is>
      </c>
      <c r="B1100" s="33">
        <f>IF($R$1069="","",INDEX(전체채점!T$3:T$62,$R$1069))</f>
        <v/>
      </c>
      <c r="C1100" s="33">
        <f>IF($R$1069="","",INDEX(전체채점!U$3:U$62,$R$1069))</f>
        <v/>
      </c>
      <c r="D1100" s="33">
        <f>IF($R$1069="","",INDEX(전체채점!V$3:V$62,$R$1069))</f>
        <v/>
      </c>
      <c r="E1100" s="33">
        <f>IF($R$1069="","",INDEX(전체채점!W$3:W$62,$R$1069))</f>
        <v/>
      </c>
      <c r="F1100" s="33">
        <f>IF($R$1069="","",INDEX(전체채점!X$3:X$62,$R$1069))</f>
        <v/>
      </c>
      <c r="G1100" s="33">
        <f>IF($R$1069="","",INDEX(전체채점!Y$3:Y$62,$R$1069))</f>
        <v/>
      </c>
      <c r="H1100" s="33">
        <f>IF($R$1069="","",INDEX(전체채점!Z$3:Z$62,$R$1069))</f>
        <v/>
      </c>
      <c r="I1100" s="33">
        <f>IF($R$1069="","",INDEX(전체채점!AA$3:AA$62,$R$1069))</f>
        <v/>
      </c>
      <c r="J1100" s="33">
        <f>IF($R$1069="","",INDEX(전체채점!AB$3:AB$62,$R$1069))</f>
        <v/>
      </c>
      <c r="K1100" s="33">
        <f>IF($R$1069="","",INDEX(전체채점!AC$3:AC$62,$R$1069))</f>
        <v/>
      </c>
      <c r="L1100" s="33">
        <f>IF($R$1069="","",INDEX(전체채점!AD$3:AD$62,$R$1069))</f>
        <v/>
      </c>
      <c r="M1100" s="33">
        <f>IF($R$1069="","",INDEX(전체채점!AE$3:AE$62,$R$1069))</f>
        <v/>
      </c>
      <c r="N1100" s="33">
        <f>IF($R$1069="","",INDEX(전체채점!AF$3:AF$62,$R$1069))</f>
        <v/>
      </c>
      <c r="O1100" s="33">
        <f>IF($R$1069="","",INDEX(전체채점!AG$3:AG$62,$R$1069))</f>
        <v/>
      </c>
      <c r="P1100" s="33">
        <f>IF($R$1069="","",INDEX(전체채점!AH$3:AH$62,$R$1069))</f>
        <v/>
      </c>
    </row>
    <row r="1101">
      <c r="A1101" s="52" t="inlineStr">
        <is>
          <t>정오</t>
        </is>
      </c>
      <c r="B1101" s="33">
        <f>IF($R$1069="","",INDEX(전체채점!BM$3:BM$62,$R$1069))</f>
        <v/>
      </c>
      <c r="C1101" s="33">
        <f>IF($R$1069="","",INDEX(전체채점!BN$3:BN$62,$R$1069))</f>
        <v/>
      </c>
      <c r="D1101" s="33">
        <f>IF($R$1069="","",INDEX(전체채점!BO$3:BO$62,$R$1069))</f>
        <v/>
      </c>
      <c r="E1101" s="33">
        <f>IF($R$1069="","",INDEX(전체채점!BP$3:BP$62,$R$1069))</f>
        <v/>
      </c>
      <c r="F1101" s="33">
        <f>IF($R$1069="","",INDEX(전체채점!BQ$3:BQ$62,$R$1069))</f>
        <v/>
      </c>
      <c r="G1101" s="33">
        <f>IF($R$1069="","",INDEX(전체채점!BR$3:BR$62,$R$1069))</f>
        <v/>
      </c>
      <c r="H1101" s="33">
        <f>IF($R$1069="","",INDEX(전체채점!BS$3:BS$62,$R$1069))</f>
        <v/>
      </c>
      <c r="I1101" s="33">
        <f>IF($R$1069="","",INDEX(전체채점!BT$3:BT$62,$R$1069))</f>
        <v/>
      </c>
      <c r="J1101" s="33">
        <f>IF($R$1069="","",INDEX(전체채점!BU$3:BU$62,$R$1069))</f>
        <v/>
      </c>
      <c r="K1101" s="33">
        <f>IF($R$1069="","",INDEX(전체채점!BV$3:BV$62,$R$1069))</f>
        <v/>
      </c>
      <c r="L1101" s="33">
        <f>IF($R$1069="","",INDEX(전체채점!BW$3:BW$62,$R$1069))</f>
        <v/>
      </c>
      <c r="M1101" s="33">
        <f>IF($R$1069="","",INDEX(전체채점!BX$3:BX$62,$R$1069))</f>
        <v/>
      </c>
      <c r="N1101" s="33">
        <f>IF($R$1069="","",INDEX(전체채점!BY$3:BY$62,$R$1069))</f>
        <v/>
      </c>
      <c r="O1101" s="33">
        <f>IF($R$1069="","",INDEX(전체채점!BZ$3:BZ$62,$R$1069))</f>
        <v/>
      </c>
      <c r="P1101" s="33">
        <f>IF($R$1069="","",INDEX(전체채점!CA$3:CA$62,$R$1069))</f>
        <v/>
      </c>
    </row>
    <row r="1102">
      <c r="A1102" s="50" t="inlineStr">
        <is>
          <t>문항 번호</t>
        </is>
      </c>
      <c r="B1102" s="51" t="n">
        <v>31</v>
      </c>
      <c r="C1102" s="51" t="n">
        <v>32</v>
      </c>
      <c r="D1102" s="51" t="n">
        <v>33</v>
      </c>
      <c r="E1102" s="51" t="n">
        <v>34</v>
      </c>
      <c r="F1102" s="51" t="n">
        <v>35</v>
      </c>
      <c r="G1102" s="51" t="n">
        <v>36</v>
      </c>
      <c r="H1102" s="51" t="n">
        <v>37</v>
      </c>
      <c r="I1102" s="51" t="n">
        <v>38</v>
      </c>
      <c r="J1102" s="51" t="n">
        <v>39</v>
      </c>
      <c r="K1102" s="51" t="n">
        <v>40</v>
      </c>
      <c r="L1102" s="51" t="n">
        <v>41</v>
      </c>
      <c r="M1102" s="51" t="n">
        <v>42</v>
      </c>
      <c r="N1102" s="51" t="n">
        <v>43</v>
      </c>
      <c r="O1102" s="51" t="n">
        <v>44</v>
      </c>
      <c r="P1102" s="51" t="n">
        <v>45</v>
      </c>
    </row>
    <row r="1103">
      <c r="A1103" s="52" t="inlineStr">
        <is>
          <t>정답</t>
        </is>
      </c>
      <c r="B1103" s="33">
        <f>IF($R$1070="","",IF($R$1070="언어와 매체",자동계산!$D$34,자동계산!$B$34))</f>
        <v/>
      </c>
      <c r="C1103" s="33">
        <f>IF($R$1070="","",IF($R$1070="언어와 매체",자동계산!$D$35,자동계산!$B$35))</f>
        <v/>
      </c>
      <c r="D1103" s="33">
        <f>IF($R$1070="","",IF($R$1070="언어와 매체",자동계산!$D$36,자동계산!$B$36))</f>
        <v/>
      </c>
      <c r="E1103" s="33">
        <f>IF($R$1070="","",IF($R$1070="언어와 매체",자동계산!$D$37,자동계산!$B$37))</f>
        <v/>
      </c>
      <c r="F1103" s="33">
        <f>IF($R$1070="","",IF($R$1070="언어와 매체",자동계산!$D$38,자동계산!$B$38))</f>
        <v/>
      </c>
      <c r="G1103" s="33">
        <f>IF($R$1070="","",IF($R$1070="언어와 매체",자동계산!$D$39,자동계산!$B$39))</f>
        <v/>
      </c>
      <c r="H1103" s="33">
        <f>IF($R$1070="","",IF($R$1070="언어와 매체",자동계산!$D$40,자동계산!$B$40))</f>
        <v/>
      </c>
      <c r="I1103" s="33">
        <f>IF($R$1070="","",IF($R$1070="언어와 매체",자동계산!$D$41,자동계산!$B$41))</f>
        <v/>
      </c>
      <c r="J1103" s="33">
        <f>IF($R$1070="","",IF($R$1070="언어와 매체",자동계산!$D$42,자동계산!$B$42))</f>
        <v/>
      </c>
      <c r="K1103" s="33">
        <f>IF($R$1070="","",IF($R$1070="언어와 매체",자동계산!$D$43,자동계산!$B$43))</f>
        <v/>
      </c>
      <c r="L1103" s="33">
        <f>IF($R$1070="","",IF($R$1070="언어와 매체",자동계산!$D$44,자동계산!$B$44))</f>
        <v/>
      </c>
      <c r="M1103" s="33">
        <f>IF($R$1070="","",IF($R$1070="언어와 매체",자동계산!$D$45,자동계산!$B$45))</f>
        <v/>
      </c>
      <c r="N1103" s="33">
        <f>IF($R$1070="","",IF($R$1070="언어와 매체",자동계산!$D$46,자동계산!$B$46))</f>
        <v/>
      </c>
      <c r="O1103" s="33">
        <f>IF($R$1070="","",IF($R$1070="언어와 매체",자동계산!$D$47,자동계산!$B$47))</f>
        <v/>
      </c>
      <c r="P1103" s="33">
        <f>IF($R$1070="","",IF($R$1070="언어와 매체",자동계산!$D$48,자동계산!$B$48))</f>
        <v/>
      </c>
    </row>
    <row r="1104">
      <c r="A1104" s="52" t="inlineStr">
        <is>
          <t>학생답안</t>
        </is>
      </c>
      <c r="B1104" s="33">
        <f>IF($R$1069="","",INDEX(전체채점!AI$3:AI$62,$R$1069))</f>
        <v/>
      </c>
      <c r="C1104" s="33">
        <f>IF($R$1069="","",INDEX(전체채점!AJ$3:AJ$62,$R$1069))</f>
        <v/>
      </c>
      <c r="D1104" s="33">
        <f>IF($R$1069="","",INDEX(전체채점!AK$3:AK$62,$R$1069))</f>
        <v/>
      </c>
      <c r="E1104" s="33">
        <f>IF($R$1069="","",INDEX(전체채점!AL$3:AL$62,$R$1069))</f>
        <v/>
      </c>
      <c r="F1104" s="33">
        <f>IF($R$1069="","",INDEX(전체채점!AM$3:AM$62,$R$1069))</f>
        <v/>
      </c>
      <c r="G1104" s="33">
        <f>IF($R$1069="","",INDEX(전체채점!AN$3:AN$62,$R$1069))</f>
        <v/>
      </c>
      <c r="H1104" s="33">
        <f>IF($R$1069="","",INDEX(전체채점!AO$3:AO$62,$R$1069))</f>
        <v/>
      </c>
      <c r="I1104" s="33">
        <f>IF($R$1069="","",INDEX(전체채점!AP$3:AP$62,$R$1069))</f>
        <v/>
      </c>
      <c r="J1104" s="33">
        <f>IF($R$1069="","",INDEX(전체채점!AQ$3:AQ$62,$R$1069))</f>
        <v/>
      </c>
      <c r="K1104" s="33">
        <f>IF($R$1069="","",INDEX(전체채점!AR$3:AR$62,$R$1069))</f>
        <v/>
      </c>
      <c r="L1104" s="33">
        <f>IF($R$1069="","",INDEX(전체채점!AS$3:AS$62,$R$1069))</f>
        <v/>
      </c>
      <c r="M1104" s="33">
        <f>IF($R$1069="","",INDEX(전체채점!AT$3:AT$62,$R$1069))</f>
        <v/>
      </c>
      <c r="N1104" s="33">
        <f>IF($R$1069="","",INDEX(전체채점!AU$3:AU$62,$R$1069))</f>
        <v/>
      </c>
      <c r="O1104" s="33">
        <f>IF($R$1069="","",INDEX(전체채점!AV$3:AV$62,$R$1069))</f>
        <v/>
      </c>
      <c r="P1104" s="33">
        <f>IF($R$1069="","",INDEX(전체채점!AW$3:AW$62,$R$1069))</f>
        <v/>
      </c>
    </row>
    <row r="1105">
      <c r="A1105" s="52" t="inlineStr">
        <is>
          <t>정오</t>
        </is>
      </c>
      <c r="B1105" s="33">
        <f>IF($R$1069="","",INDEX(전체채점!CB$3:CB$62,$R$1069))</f>
        <v/>
      </c>
      <c r="C1105" s="33">
        <f>IF($R$1069="","",INDEX(전체채점!CC$3:CC$62,$R$1069))</f>
        <v/>
      </c>
      <c r="D1105" s="33">
        <f>IF($R$1069="","",INDEX(전체채점!CD$3:CD$62,$R$1069))</f>
        <v/>
      </c>
      <c r="E1105" s="33">
        <f>IF($R$1069="","",INDEX(전체채점!CE$3:CE$62,$R$1069))</f>
        <v/>
      </c>
      <c r="F1105" s="33">
        <f>IF($R$1069="","",INDEX(전체채점!CF$3:CF$62,$R$1069))</f>
        <v/>
      </c>
      <c r="G1105" s="33">
        <f>IF($R$1069="","",INDEX(전체채점!CG$3:CG$62,$R$1069))</f>
        <v/>
      </c>
      <c r="H1105" s="33">
        <f>IF($R$1069="","",INDEX(전체채점!CH$3:CH$62,$R$1069))</f>
        <v/>
      </c>
      <c r="I1105" s="33">
        <f>IF($R$1069="","",INDEX(전체채점!CI$3:CI$62,$R$1069))</f>
        <v/>
      </c>
      <c r="J1105" s="33">
        <f>IF($R$1069="","",INDEX(전체채점!CJ$3:CJ$62,$R$1069))</f>
        <v/>
      </c>
      <c r="K1105" s="33">
        <f>IF($R$1069="","",INDEX(전체채점!CK$3:CK$62,$R$1069))</f>
        <v/>
      </c>
      <c r="L1105" s="33">
        <f>IF($R$1069="","",INDEX(전체채점!CL$3:CL$62,$R$1069))</f>
        <v/>
      </c>
      <c r="M1105" s="33">
        <f>IF($R$1069="","",INDEX(전체채점!CM$3:CM$62,$R$1069))</f>
        <v/>
      </c>
      <c r="N1105" s="33">
        <f>IF($R$1069="","",INDEX(전체채점!CN$3:CN$62,$R$1069))</f>
        <v/>
      </c>
      <c r="O1105" s="33">
        <f>IF($R$1069="","",INDEX(전체채점!CO$3:CO$62,$R$1069))</f>
        <v/>
      </c>
      <c r="P1105" s="33">
        <f>IF($R$1069="","",INDEX(전체채점!CP$3:CP$62,$R$1069))</f>
        <v/>
      </c>
    </row>
    <row r="1108" ht="34" customHeight="1">
      <c r="A1108" s="36">
        <f>IF($R$1110="","",회차설정!$B$2&amp;" 성적표")</f>
        <v/>
      </c>
    </row>
    <row r="1110">
      <c r="A1110" s="12" t="inlineStr">
        <is>
          <t>1. 학생정보</t>
        </is>
      </c>
      <c r="R1110" s="37">
        <f>IF(답안입력!$A$30="","",28)</f>
        <v/>
      </c>
      <c r="S1110" s="37">
        <f>IF($R$1111="","",IFERROR(IF($R$1111="언어와 매체",MATCH(1,회차설정!$G$13:$G$27,0),MATCH(1,회차설정!$F$13:$F$27,0)),""))</f>
        <v/>
      </c>
    </row>
    <row r="1111">
      <c r="A1111" s="13" t="inlineStr">
        <is>
          <t>성명</t>
        </is>
      </c>
      <c r="B1111" s="7" t="n"/>
      <c r="C1111" s="8" t="n"/>
      <c r="D1111" s="13" t="inlineStr">
        <is>
          <t>선택과목</t>
        </is>
      </c>
      <c r="E1111" s="7" t="n"/>
      <c r="F1111" s="7" t="n"/>
      <c r="G1111" s="8" t="n"/>
      <c r="H1111" s="13" t="inlineStr">
        <is>
          <t>학년</t>
        </is>
      </c>
      <c r="I1111" s="7" t="n"/>
      <c r="J1111" s="7" t="n"/>
      <c r="K1111" s="8" t="n"/>
      <c r="L1111" s="13" t="inlineStr">
        <is>
          <t>시행일</t>
        </is>
      </c>
      <c r="M1111" s="7" t="n"/>
      <c r="N1111" s="7" t="n"/>
      <c r="O1111" s="7" t="n"/>
      <c r="P1111" s="8" t="n"/>
      <c r="R1111" s="37">
        <f>IF($R$1110="","",INDEX(전체채점!$B$3:$B$62,$R$1110))</f>
        <v/>
      </c>
      <c r="S1111" s="37">
        <f>IF($R$1111="","",IFERROR(IF($R$1111="언어와 매체",MATCH(2,회차설정!$G$13:$G$27,0),MATCH(2,회차설정!$F$13:$F$27,0)),""))</f>
        <v/>
      </c>
    </row>
    <row r="1112" ht="26" customHeight="1">
      <c r="A1112" s="39">
        <f>IF($R$1110="","",INDEX(답안입력!$A$3:$A$62,$R$1110))</f>
        <v/>
      </c>
      <c r="B1112" s="7" t="n"/>
      <c r="C1112" s="8" t="n"/>
      <c r="D1112" s="39">
        <f>IF($R$1110="","",INDEX(답안입력!$C$3:$C$62,$R$1110))</f>
        <v/>
      </c>
      <c r="E1112" s="7" t="n"/>
      <c r="F1112" s="7" t="n"/>
      <c r="G1112" s="8" t="n"/>
      <c r="H1112" s="39">
        <f>IF($R$1110="","",INDEX(답안입력!$B$3:$B$62,$R$1110))</f>
        <v/>
      </c>
      <c r="I1112" s="7" t="n"/>
      <c r="J1112" s="7" t="n"/>
      <c r="K1112" s="8" t="n"/>
      <c r="L1112" s="40">
        <f>회차설정!$B$3</f>
        <v/>
      </c>
      <c r="M1112" s="7" t="n"/>
      <c r="N1112" s="7" t="n"/>
      <c r="O1112" s="7" t="n"/>
      <c r="P1112" s="8" t="n"/>
      <c r="R1112" s="37">
        <f>IF($R$1111="언어와 매체",회차설정!$B$9,회차설정!$B$8)</f>
        <v/>
      </c>
      <c r="S1112" s="37">
        <f>IF($R$1111="","",IFERROR(IF($R$1111="언어와 매체",MATCH(3,회차설정!$G$13:$G$27,0),MATCH(3,회차설정!$F$13:$F$27,0)),""))</f>
        <v/>
      </c>
    </row>
    <row r="1113">
      <c r="R1113" s="37">
        <f>IF($R$1111="언어와 매체",회차설정!$C$9,회차설정!$C$8)</f>
        <v/>
      </c>
      <c r="S1113" s="37">
        <f>IF($R$1111="","",IFERROR(IF($R$1111="언어와 매체",MATCH(4,회차설정!$G$13:$G$27,0),MATCH(4,회차설정!$F$13:$F$27,0)),""))</f>
        <v/>
      </c>
    </row>
    <row r="1114">
      <c r="A1114" s="12" t="inlineStr">
        <is>
          <t>2. 성적</t>
        </is>
      </c>
      <c r="R1114" s="37">
        <f>IF($R$1111="언어와 매체",회차설정!$D$9,회차설정!$D$8)</f>
        <v/>
      </c>
      <c r="S1114" s="37">
        <f>IF($R$1111="","",IFERROR(IF($R$1111="언어와 매체",MATCH(5,회차설정!$G$13:$G$27,0),MATCH(5,회차설정!$F$13:$F$27,0)),""))</f>
        <v/>
      </c>
    </row>
    <row r="1115">
      <c r="A1115" s="13" t="inlineStr">
        <is>
          <t>점수 (100점 만점)</t>
        </is>
      </c>
      <c r="B1115" s="7" t="n"/>
      <c r="C1115" s="7" t="n"/>
      <c r="D1115" s="7" t="n"/>
      <c r="E1115" s="8" t="n"/>
      <c r="F1115" s="13" t="inlineStr">
        <is>
          <t>등급</t>
        </is>
      </c>
      <c r="G1115" s="7" t="n"/>
      <c r="H1115" s="8" t="n"/>
      <c r="I1115" s="13" t="inlineStr">
        <is>
          <t>등급컷</t>
        </is>
      </c>
      <c r="J1115" s="7" t="n"/>
      <c r="K1115" s="7" t="n"/>
      <c r="L1115" s="8" t="n"/>
      <c r="M1115" s="13" t="inlineStr">
        <is>
          <t>같은 선택과목 평균</t>
        </is>
      </c>
      <c r="N1115" s="7" t="n"/>
      <c r="O1115" s="7" t="n"/>
      <c r="P1115" s="8" t="n"/>
      <c r="R1115" s="37">
        <f>IF($R$1111="언어와 매체",회차설정!$E$9,회차설정!$E$8)</f>
        <v/>
      </c>
      <c r="S1115" s="37">
        <f>IF($R$1111="","",IFERROR(IF($R$1111="언어와 매체",MATCH(6,회차설정!$G$13:$G$27,0),MATCH(6,회차설정!$F$13:$F$27,0)),""))</f>
        <v/>
      </c>
    </row>
    <row r="1116" ht="34" customHeight="1">
      <c r="A1116" s="41">
        <f>IF($R$1110="","",INDEX(전체채점!$C$3:$C$62,$R$1110))</f>
        <v/>
      </c>
      <c r="B1116" s="7" t="n"/>
      <c r="C1116" s="7" t="n"/>
      <c r="D1116" s="7" t="n"/>
      <c r="E1116" s="8" t="n"/>
      <c r="F1116" s="42">
        <f>IF($R$1110="","",INDEX(전체채점!$D$3:$D$62,$R$1110))</f>
        <v/>
      </c>
      <c r="G1116" s="7" t="n"/>
      <c r="H1116" s="8" t="n"/>
      <c r="I1116" s="43">
        <f>IF($R$1110="","",$R$1112&amp;"-"&amp;$R$1113&amp;"-"&amp;$R$1114&amp;"-"&amp;$R$1115)</f>
        <v/>
      </c>
      <c r="J1116" s="7" t="n"/>
      <c r="K1116" s="7" t="n"/>
      <c r="L1116" s="8" t="n"/>
      <c r="M1116" s="44">
        <f>IFERROR(AVERAGEIF(전체채점!$B$3:$B$62,$R$1111,전체채점!$C$3:$C$62),"")</f>
        <v/>
      </c>
      <c r="N1116" s="7" t="n"/>
      <c r="O1116" s="7" t="n"/>
      <c r="P1116" s="8" t="n"/>
      <c r="S1116" s="37">
        <f>IF($R$1111="","",IFERROR(IF($R$1111="언어와 매체",MATCH(7,회차설정!$G$13:$G$27,0),MATCH(7,회차설정!$F$13:$F$27,0)),""))</f>
        <v/>
      </c>
    </row>
    <row r="1117">
      <c r="S1117" s="37">
        <f>IF($R$1111="","",IFERROR(IF($R$1111="언어와 매체",MATCH(8,회차설정!$G$13:$G$27,0),MATCH(8,회차설정!$F$13:$F$27,0)),""))</f>
        <v/>
      </c>
    </row>
    <row r="1118">
      <c r="A1118" s="12" t="inlineStr">
        <is>
          <t>3. 영역분류별 성취도 분석</t>
        </is>
      </c>
      <c r="F1118" s="45">
        <f>IF(OR($R$1110="",$E1132=""),"",IF($E1132=INDEX(전체채점!$C$3:$C$62,$R$1110),"","※ 회차설정의 영역 표를 확인하세요 — 영역 합계와 점수가 다릅니다"))</f>
        <v/>
      </c>
      <c r="S1118" s="37">
        <f>IF($R$1111="","",IFERROR(IF($R$1111="언어와 매체",MATCH(9,회차설정!$G$13:$G$27,0),MATCH(9,회차설정!$F$13:$F$27,0)),""))</f>
        <v/>
      </c>
    </row>
    <row r="1119">
      <c r="A1119" s="13" t="inlineStr">
        <is>
          <t>분류</t>
        </is>
      </c>
      <c r="B1119" s="13" t="inlineStr">
        <is>
          <t>영역</t>
        </is>
      </c>
      <c r="C1119" s="8" t="n"/>
      <c r="D1119" s="13" t="inlineStr">
        <is>
          <t>배점</t>
        </is>
      </c>
      <c r="E1119" s="13" t="inlineStr">
        <is>
          <t>득점</t>
        </is>
      </c>
      <c r="F1119" s="13" t="inlineStr">
        <is>
          <t>성취도(%)</t>
        </is>
      </c>
      <c r="G1119" s="8" t="n"/>
      <c r="H1119" s="13" t="inlineStr"/>
      <c r="I1119" s="7" t="n"/>
      <c r="J1119" s="7" t="n"/>
      <c r="K1119" s="7" t="n"/>
      <c r="L1119" s="7" t="n"/>
      <c r="M1119" s="7" t="n"/>
      <c r="N1119" s="7" t="n"/>
      <c r="O1119" s="7" t="n"/>
      <c r="P1119" s="8" t="n"/>
      <c r="S1119" s="37">
        <f>IF($R$1111="","",IFERROR(IF($R$1111="언어와 매체",MATCH(10,회차설정!$G$13:$G$27,0),MATCH(10,회차설정!$F$13:$F$27,0)),""))</f>
        <v/>
      </c>
    </row>
    <row r="1120">
      <c r="A1120" s="14">
        <f>IF($S$1110="","",INDEX(회차설정!$A$13:$A$27,$S$1110))</f>
        <v/>
      </c>
      <c r="B1120" s="14">
        <f>IF($S$1110="","",INDEX(회차설정!$B$13:$B$27,$S$1110))</f>
        <v/>
      </c>
      <c r="C1120" s="8" t="n"/>
      <c r="D1120" s="14">
        <f>IF($S$1110="","",IF($R$1111="언어와 매체",SUMPRODUCT((자동계산!$A$4:$A$48&gt;=INDEX(회차설정!$C$13:$C$27,$S$1110))*(자동계산!$A$4:$A$48&lt;=INDEX(회차설정!$D$13:$D$27,$S$1110))*자동계산!$E$4:$E$48),SUMPRODUCT((자동계산!$A$4:$A$48&gt;=INDEX(회차설정!$C$13:$C$27,$S$1110))*(자동계산!$A$4:$A$48&lt;=INDEX(회차설정!$D$13:$D$27,$S$1110))*자동계산!$C$4:$C$48)))</f>
        <v/>
      </c>
      <c r="E1120" s="14">
        <f>IF(OR($S$1110="",$R$1110=""),"",SUM(OFFSET(전체채점!$AW$2,$R$1110,INDEX(회차설정!$C$13:$C$27,$S$1110),1,INDEX(회차설정!$D$13:$D$27,$S$1110)-INDEX(회차설정!$C$13:$C$27,$S$1110)+1)))</f>
        <v/>
      </c>
      <c r="F1120" s="46">
        <f>IF(OR($S$1110="",$D1120=0,$D1120="",$E1120=""),"",$E1120/$D1120*100)</f>
        <v/>
      </c>
      <c r="G1120" s="8" t="n"/>
      <c r="H1120" s="47">
        <f>IF($F1120="","",REPT("■",ROUND($F1120/5,0)))</f>
        <v/>
      </c>
      <c r="I1120" s="7" t="n"/>
      <c r="J1120" s="7" t="n"/>
      <c r="K1120" s="7" t="n"/>
      <c r="L1120" s="7" t="n"/>
      <c r="M1120" s="7" t="n"/>
      <c r="N1120" s="7" t="n"/>
      <c r="O1120" s="7" t="n"/>
      <c r="P1120" s="8" t="n"/>
      <c r="S1120" s="37">
        <f>IF($R$1111="","",IFERROR(IF($R$1111="언어와 매체",MATCH(11,회차설정!$G$13:$G$27,0),MATCH(11,회차설정!$F$13:$F$27,0)),""))</f>
        <v/>
      </c>
    </row>
    <row r="1121">
      <c r="A1121" s="14">
        <f>IF($S$1111="","",INDEX(회차설정!$A$13:$A$27,$S$1111))</f>
        <v/>
      </c>
      <c r="B1121" s="14">
        <f>IF($S$1111="","",INDEX(회차설정!$B$13:$B$27,$S$1111))</f>
        <v/>
      </c>
      <c r="C1121" s="8" t="n"/>
      <c r="D1121" s="14">
        <f>IF($S$1111="","",IF($R$1111="언어와 매체",SUMPRODUCT((자동계산!$A$4:$A$48&gt;=INDEX(회차설정!$C$13:$C$27,$S$1111))*(자동계산!$A$4:$A$48&lt;=INDEX(회차설정!$D$13:$D$27,$S$1111))*자동계산!$E$4:$E$48),SUMPRODUCT((자동계산!$A$4:$A$48&gt;=INDEX(회차설정!$C$13:$C$27,$S$1111))*(자동계산!$A$4:$A$48&lt;=INDEX(회차설정!$D$13:$D$27,$S$1111))*자동계산!$C$4:$C$48)))</f>
        <v/>
      </c>
      <c r="E1121" s="14">
        <f>IF(OR($S$1111="",$R$1110=""),"",SUM(OFFSET(전체채점!$AW$2,$R$1110,INDEX(회차설정!$C$13:$C$27,$S$1111),1,INDEX(회차설정!$D$13:$D$27,$S$1111)-INDEX(회차설정!$C$13:$C$27,$S$1111)+1)))</f>
        <v/>
      </c>
      <c r="F1121" s="46">
        <f>IF(OR($S$1111="",$D1121=0,$D1121="",$E1121=""),"",$E1121/$D1121*100)</f>
        <v/>
      </c>
      <c r="G1121" s="8" t="n"/>
      <c r="H1121" s="47">
        <f>IF($F1121="","",REPT("■",ROUND($F1121/5,0)))</f>
        <v/>
      </c>
      <c r="I1121" s="7" t="n"/>
      <c r="J1121" s="7" t="n"/>
      <c r="K1121" s="7" t="n"/>
      <c r="L1121" s="7" t="n"/>
      <c r="M1121" s="7" t="n"/>
      <c r="N1121" s="7" t="n"/>
      <c r="O1121" s="7" t="n"/>
      <c r="P1121" s="8" t="n"/>
      <c r="S1121" s="37">
        <f>IF($R$1111="","",IFERROR(IF($R$1111="언어와 매체",MATCH(12,회차설정!$G$13:$G$27,0),MATCH(12,회차설정!$F$13:$F$27,0)),""))</f>
        <v/>
      </c>
    </row>
    <row r="1122">
      <c r="A1122" s="14">
        <f>IF($S$1112="","",INDEX(회차설정!$A$13:$A$27,$S$1112))</f>
        <v/>
      </c>
      <c r="B1122" s="14">
        <f>IF($S$1112="","",INDEX(회차설정!$B$13:$B$27,$S$1112))</f>
        <v/>
      </c>
      <c r="C1122" s="8" t="n"/>
      <c r="D1122" s="14">
        <f>IF($S$1112="","",IF($R$1111="언어와 매체",SUMPRODUCT((자동계산!$A$4:$A$48&gt;=INDEX(회차설정!$C$13:$C$27,$S$1112))*(자동계산!$A$4:$A$48&lt;=INDEX(회차설정!$D$13:$D$27,$S$1112))*자동계산!$E$4:$E$48),SUMPRODUCT((자동계산!$A$4:$A$48&gt;=INDEX(회차설정!$C$13:$C$27,$S$1112))*(자동계산!$A$4:$A$48&lt;=INDEX(회차설정!$D$13:$D$27,$S$1112))*자동계산!$C$4:$C$48)))</f>
        <v/>
      </c>
      <c r="E1122" s="14">
        <f>IF(OR($S$1112="",$R$1110=""),"",SUM(OFFSET(전체채점!$AW$2,$R$1110,INDEX(회차설정!$C$13:$C$27,$S$1112),1,INDEX(회차설정!$D$13:$D$27,$S$1112)-INDEX(회차설정!$C$13:$C$27,$S$1112)+1)))</f>
        <v/>
      </c>
      <c r="F1122" s="46">
        <f>IF(OR($S$1112="",$D1122=0,$D1122="",$E1122=""),"",$E1122/$D1122*100)</f>
        <v/>
      </c>
      <c r="G1122" s="8" t="n"/>
      <c r="H1122" s="47">
        <f>IF($F1122="","",REPT("■",ROUND($F1122/5,0)))</f>
        <v/>
      </c>
      <c r="I1122" s="7" t="n"/>
      <c r="J1122" s="7" t="n"/>
      <c r="K1122" s="7" t="n"/>
      <c r="L1122" s="7" t="n"/>
      <c r="M1122" s="7" t="n"/>
      <c r="N1122" s="7" t="n"/>
      <c r="O1122" s="7" t="n"/>
      <c r="P1122" s="8" t="n"/>
    </row>
    <row r="1123">
      <c r="A1123" s="14">
        <f>IF($S$1113="","",INDEX(회차설정!$A$13:$A$27,$S$1113))</f>
        <v/>
      </c>
      <c r="B1123" s="14">
        <f>IF($S$1113="","",INDEX(회차설정!$B$13:$B$27,$S$1113))</f>
        <v/>
      </c>
      <c r="C1123" s="8" t="n"/>
      <c r="D1123" s="14">
        <f>IF($S$1113="","",IF($R$1111="언어와 매체",SUMPRODUCT((자동계산!$A$4:$A$48&gt;=INDEX(회차설정!$C$13:$C$27,$S$1113))*(자동계산!$A$4:$A$48&lt;=INDEX(회차설정!$D$13:$D$27,$S$1113))*자동계산!$E$4:$E$48),SUMPRODUCT((자동계산!$A$4:$A$48&gt;=INDEX(회차설정!$C$13:$C$27,$S$1113))*(자동계산!$A$4:$A$48&lt;=INDEX(회차설정!$D$13:$D$27,$S$1113))*자동계산!$C$4:$C$48)))</f>
        <v/>
      </c>
      <c r="E1123" s="14">
        <f>IF(OR($S$1113="",$R$1110=""),"",SUM(OFFSET(전체채점!$AW$2,$R$1110,INDEX(회차설정!$C$13:$C$27,$S$1113),1,INDEX(회차설정!$D$13:$D$27,$S$1113)-INDEX(회차설정!$C$13:$C$27,$S$1113)+1)))</f>
        <v/>
      </c>
      <c r="F1123" s="46">
        <f>IF(OR($S$1113="",$D1123=0,$D1123="",$E1123=""),"",$E1123/$D1123*100)</f>
        <v/>
      </c>
      <c r="G1123" s="8" t="n"/>
      <c r="H1123" s="47">
        <f>IF($F1123="","",REPT("■",ROUND($F1123/5,0)))</f>
        <v/>
      </c>
      <c r="I1123" s="7" t="n"/>
      <c r="J1123" s="7" t="n"/>
      <c r="K1123" s="7" t="n"/>
      <c r="L1123" s="7" t="n"/>
      <c r="M1123" s="7" t="n"/>
      <c r="N1123" s="7" t="n"/>
      <c r="O1123" s="7" t="n"/>
      <c r="P1123" s="8" t="n"/>
    </row>
    <row r="1124">
      <c r="A1124" s="14">
        <f>IF($S$1114="","",INDEX(회차설정!$A$13:$A$27,$S$1114))</f>
        <v/>
      </c>
      <c r="B1124" s="14">
        <f>IF($S$1114="","",INDEX(회차설정!$B$13:$B$27,$S$1114))</f>
        <v/>
      </c>
      <c r="C1124" s="8" t="n"/>
      <c r="D1124" s="14">
        <f>IF($S$1114="","",IF($R$1111="언어와 매체",SUMPRODUCT((자동계산!$A$4:$A$48&gt;=INDEX(회차설정!$C$13:$C$27,$S$1114))*(자동계산!$A$4:$A$48&lt;=INDEX(회차설정!$D$13:$D$27,$S$1114))*자동계산!$E$4:$E$48),SUMPRODUCT((자동계산!$A$4:$A$48&gt;=INDEX(회차설정!$C$13:$C$27,$S$1114))*(자동계산!$A$4:$A$48&lt;=INDEX(회차설정!$D$13:$D$27,$S$1114))*자동계산!$C$4:$C$48)))</f>
        <v/>
      </c>
      <c r="E1124" s="14">
        <f>IF(OR($S$1114="",$R$1110=""),"",SUM(OFFSET(전체채점!$AW$2,$R$1110,INDEX(회차설정!$C$13:$C$27,$S$1114),1,INDEX(회차설정!$D$13:$D$27,$S$1114)-INDEX(회차설정!$C$13:$C$27,$S$1114)+1)))</f>
        <v/>
      </c>
      <c r="F1124" s="46">
        <f>IF(OR($S$1114="",$D1124=0,$D1124="",$E1124=""),"",$E1124/$D1124*100)</f>
        <v/>
      </c>
      <c r="G1124" s="8" t="n"/>
      <c r="H1124" s="47">
        <f>IF($F1124="","",REPT("■",ROUND($F1124/5,0)))</f>
        <v/>
      </c>
      <c r="I1124" s="7" t="n"/>
      <c r="J1124" s="7" t="n"/>
      <c r="K1124" s="7" t="n"/>
      <c r="L1124" s="7" t="n"/>
      <c r="M1124" s="7" t="n"/>
      <c r="N1124" s="7" t="n"/>
      <c r="O1124" s="7" t="n"/>
      <c r="P1124" s="8" t="n"/>
    </row>
    <row r="1125">
      <c r="A1125" s="14">
        <f>IF($S$1115="","",INDEX(회차설정!$A$13:$A$27,$S$1115))</f>
        <v/>
      </c>
      <c r="B1125" s="14">
        <f>IF($S$1115="","",INDEX(회차설정!$B$13:$B$27,$S$1115))</f>
        <v/>
      </c>
      <c r="C1125" s="8" t="n"/>
      <c r="D1125" s="14">
        <f>IF($S$1115="","",IF($R$1111="언어와 매체",SUMPRODUCT((자동계산!$A$4:$A$48&gt;=INDEX(회차설정!$C$13:$C$27,$S$1115))*(자동계산!$A$4:$A$48&lt;=INDEX(회차설정!$D$13:$D$27,$S$1115))*자동계산!$E$4:$E$48),SUMPRODUCT((자동계산!$A$4:$A$48&gt;=INDEX(회차설정!$C$13:$C$27,$S$1115))*(자동계산!$A$4:$A$48&lt;=INDEX(회차설정!$D$13:$D$27,$S$1115))*자동계산!$C$4:$C$48)))</f>
        <v/>
      </c>
      <c r="E1125" s="14">
        <f>IF(OR($S$1115="",$R$1110=""),"",SUM(OFFSET(전체채점!$AW$2,$R$1110,INDEX(회차설정!$C$13:$C$27,$S$1115),1,INDEX(회차설정!$D$13:$D$27,$S$1115)-INDEX(회차설정!$C$13:$C$27,$S$1115)+1)))</f>
        <v/>
      </c>
      <c r="F1125" s="46">
        <f>IF(OR($S$1115="",$D1125=0,$D1125="",$E1125=""),"",$E1125/$D1125*100)</f>
        <v/>
      </c>
      <c r="G1125" s="8" t="n"/>
      <c r="H1125" s="47">
        <f>IF($F1125="","",REPT("■",ROUND($F1125/5,0)))</f>
        <v/>
      </c>
      <c r="I1125" s="7" t="n"/>
      <c r="J1125" s="7" t="n"/>
      <c r="K1125" s="7" t="n"/>
      <c r="L1125" s="7" t="n"/>
      <c r="M1125" s="7" t="n"/>
      <c r="N1125" s="7" t="n"/>
      <c r="O1125" s="7" t="n"/>
      <c r="P1125" s="8" t="n"/>
    </row>
    <row r="1126">
      <c r="A1126" s="14">
        <f>IF($S$1116="","",INDEX(회차설정!$A$13:$A$27,$S$1116))</f>
        <v/>
      </c>
      <c r="B1126" s="14">
        <f>IF($S$1116="","",INDEX(회차설정!$B$13:$B$27,$S$1116))</f>
        <v/>
      </c>
      <c r="C1126" s="8" t="n"/>
      <c r="D1126" s="14">
        <f>IF($S$1116="","",IF($R$1111="언어와 매체",SUMPRODUCT((자동계산!$A$4:$A$48&gt;=INDEX(회차설정!$C$13:$C$27,$S$1116))*(자동계산!$A$4:$A$48&lt;=INDEX(회차설정!$D$13:$D$27,$S$1116))*자동계산!$E$4:$E$48),SUMPRODUCT((자동계산!$A$4:$A$48&gt;=INDEX(회차설정!$C$13:$C$27,$S$1116))*(자동계산!$A$4:$A$48&lt;=INDEX(회차설정!$D$13:$D$27,$S$1116))*자동계산!$C$4:$C$48)))</f>
        <v/>
      </c>
      <c r="E1126" s="14">
        <f>IF(OR($S$1116="",$R$1110=""),"",SUM(OFFSET(전체채점!$AW$2,$R$1110,INDEX(회차설정!$C$13:$C$27,$S$1116),1,INDEX(회차설정!$D$13:$D$27,$S$1116)-INDEX(회차설정!$C$13:$C$27,$S$1116)+1)))</f>
        <v/>
      </c>
      <c r="F1126" s="46">
        <f>IF(OR($S$1116="",$D1126=0,$D1126="",$E1126=""),"",$E1126/$D1126*100)</f>
        <v/>
      </c>
      <c r="G1126" s="8" t="n"/>
      <c r="H1126" s="47">
        <f>IF($F1126="","",REPT("■",ROUND($F1126/5,0)))</f>
        <v/>
      </c>
      <c r="I1126" s="7" t="n"/>
      <c r="J1126" s="7" t="n"/>
      <c r="K1126" s="7" t="n"/>
      <c r="L1126" s="7" t="n"/>
      <c r="M1126" s="7" t="n"/>
      <c r="N1126" s="7" t="n"/>
      <c r="O1126" s="7" t="n"/>
      <c r="P1126" s="8" t="n"/>
    </row>
    <row r="1127">
      <c r="A1127" s="14">
        <f>IF($S$1117="","",INDEX(회차설정!$A$13:$A$27,$S$1117))</f>
        <v/>
      </c>
      <c r="B1127" s="14">
        <f>IF($S$1117="","",INDEX(회차설정!$B$13:$B$27,$S$1117))</f>
        <v/>
      </c>
      <c r="C1127" s="8" t="n"/>
      <c r="D1127" s="14">
        <f>IF($S$1117="","",IF($R$1111="언어와 매체",SUMPRODUCT((자동계산!$A$4:$A$48&gt;=INDEX(회차설정!$C$13:$C$27,$S$1117))*(자동계산!$A$4:$A$48&lt;=INDEX(회차설정!$D$13:$D$27,$S$1117))*자동계산!$E$4:$E$48),SUMPRODUCT((자동계산!$A$4:$A$48&gt;=INDEX(회차설정!$C$13:$C$27,$S$1117))*(자동계산!$A$4:$A$48&lt;=INDEX(회차설정!$D$13:$D$27,$S$1117))*자동계산!$C$4:$C$48)))</f>
        <v/>
      </c>
      <c r="E1127" s="14">
        <f>IF(OR($S$1117="",$R$1110=""),"",SUM(OFFSET(전체채점!$AW$2,$R$1110,INDEX(회차설정!$C$13:$C$27,$S$1117),1,INDEX(회차설정!$D$13:$D$27,$S$1117)-INDEX(회차설정!$C$13:$C$27,$S$1117)+1)))</f>
        <v/>
      </c>
      <c r="F1127" s="46">
        <f>IF(OR($S$1117="",$D1127=0,$D1127="",$E1127=""),"",$E1127/$D1127*100)</f>
        <v/>
      </c>
      <c r="G1127" s="8" t="n"/>
      <c r="H1127" s="47">
        <f>IF($F1127="","",REPT("■",ROUND($F1127/5,0)))</f>
        <v/>
      </c>
      <c r="I1127" s="7" t="n"/>
      <c r="J1127" s="7" t="n"/>
      <c r="K1127" s="7" t="n"/>
      <c r="L1127" s="7" t="n"/>
      <c r="M1127" s="7" t="n"/>
      <c r="N1127" s="7" t="n"/>
      <c r="O1127" s="7" t="n"/>
      <c r="P1127" s="8" t="n"/>
    </row>
    <row r="1128">
      <c r="A1128" s="14">
        <f>IF($S$1118="","",INDEX(회차설정!$A$13:$A$27,$S$1118))</f>
        <v/>
      </c>
      <c r="B1128" s="14">
        <f>IF($S$1118="","",INDEX(회차설정!$B$13:$B$27,$S$1118))</f>
        <v/>
      </c>
      <c r="C1128" s="8" t="n"/>
      <c r="D1128" s="14">
        <f>IF($S$1118="","",IF($R$1111="언어와 매체",SUMPRODUCT((자동계산!$A$4:$A$48&gt;=INDEX(회차설정!$C$13:$C$27,$S$1118))*(자동계산!$A$4:$A$48&lt;=INDEX(회차설정!$D$13:$D$27,$S$1118))*자동계산!$E$4:$E$48),SUMPRODUCT((자동계산!$A$4:$A$48&gt;=INDEX(회차설정!$C$13:$C$27,$S$1118))*(자동계산!$A$4:$A$48&lt;=INDEX(회차설정!$D$13:$D$27,$S$1118))*자동계산!$C$4:$C$48)))</f>
        <v/>
      </c>
      <c r="E1128" s="14">
        <f>IF(OR($S$1118="",$R$1110=""),"",SUM(OFFSET(전체채점!$AW$2,$R$1110,INDEX(회차설정!$C$13:$C$27,$S$1118),1,INDEX(회차설정!$D$13:$D$27,$S$1118)-INDEX(회차설정!$C$13:$C$27,$S$1118)+1)))</f>
        <v/>
      </c>
      <c r="F1128" s="46">
        <f>IF(OR($S$1118="",$D1128=0,$D1128="",$E1128=""),"",$E1128/$D1128*100)</f>
        <v/>
      </c>
      <c r="G1128" s="8" t="n"/>
      <c r="H1128" s="47">
        <f>IF($F1128="","",REPT("■",ROUND($F1128/5,0)))</f>
        <v/>
      </c>
      <c r="I1128" s="7" t="n"/>
      <c r="J1128" s="7" t="n"/>
      <c r="K1128" s="7" t="n"/>
      <c r="L1128" s="7" t="n"/>
      <c r="M1128" s="7" t="n"/>
      <c r="N1128" s="7" t="n"/>
      <c r="O1128" s="7" t="n"/>
      <c r="P1128" s="8" t="n"/>
    </row>
    <row r="1129">
      <c r="A1129" s="14">
        <f>IF($S$1119="","",INDEX(회차설정!$A$13:$A$27,$S$1119))</f>
        <v/>
      </c>
      <c r="B1129" s="14">
        <f>IF($S$1119="","",INDEX(회차설정!$B$13:$B$27,$S$1119))</f>
        <v/>
      </c>
      <c r="C1129" s="8" t="n"/>
      <c r="D1129" s="14">
        <f>IF($S$1119="","",IF($R$1111="언어와 매체",SUMPRODUCT((자동계산!$A$4:$A$48&gt;=INDEX(회차설정!$C$13:$C$27,$S$1119))*(자동계산!$A$4:$A$48&lt;=INDEX(회차설정!$D$13:$D$27,$S$1119))*자동계산!$E$4:$E$48),SUMPRODUCT((자동계산!$A$4:$A$48&gt;=INDEX(회차설정!$C$13:$C$27,$S$1119))*(자동계산!$A$4:$A$48&lt;=INDEX(회차설정!$D$13:$D$27,$S$1119))*자동계산!$C$4:$C$48)))</f>
        <v/>
      </c>
      <c r="E1129" s="14">
        <f>IF(OR($S$1119="",$R$1110=""),"",SUM(OFFSET(전체채점!$AW$2,$R$1110,INDEX(회차설정!$C$13:$C$27,$S$1119),1,INDEX(회차설정!$D$13:$D$27,$S$1119)-INDEX(회차설정!$C$13:$C$27,$S$1119)+1)))</f>
        <v/>
      </c>
      <c r="F1129" s="46">
        <f>IF(OR($S$1119="",$D1129=0,$D1129="",$E1129=""),"",$E1129/$D1129*100)</f>
        <v/>
      </c>
      <c r="G1129" s="8" t="n"/>
      <c r="H1129" s="47">
        <f>IF($F1129="","",REPT("■",ROUND($F1129/5,0)))</f>
        <v/>
      </c>
      <c r="I1129" s="7" t="n"/>
      <c r="J1129" s="7" t="n"/>
      <c r="K1129" s="7" t="n"/>
      <c r="L1129" s="7" t="n"/>
      <c r="M1129" s="7" t="n"/>
      <c r="N1129" s="7" t="n"/>
      <c r="O1129" s="7" t="n"/>
      <c r="P1129" s="8" t="n"/>
    </row>
    <row r="1130">
      <c r="A1130" s="14">
        <f>IF($S$1120="","",INDEX(회차설정!$A$13:$A$27,$S$1120))</f>
        <v/>
      </c>
      <c r="B1130" s="14">
        <f>IF($S$1120="","",INDEX(회차설정!$B$13:$B$27,$S$1120))</f>
        <v/>
      </c>
      <c r="C1130" s="8" t="n"/>
      <c r="D1130" s="14">
        <f>IF($S$1120="","",IF($R$1111="언어와 매체",SUMPRODUCT((자동계산!$A$4:$A$48&gt;=INDEX(회차설정!$C$13:$C$27,$S$1120))*(자동계산!$A$4:$A$48&lt;=INDEX(회차설정!$D$13:$D$27,$S$1120))*자동계산!$E$4:$E$48),SUMPRODUCT((자동계산!$A$4:$A$48&gt;=INDEX(회차설정!$C$13:$C$27,$S$1120))*(자동계산!$A$4:$A$48&lt;=INDEX(회차설정!$D$13:$D$27,$S$1120))*자동계산!$C$4:$C$48)))</f>
        <v/>
      </c>
      <c r="E1130" s="14">
        <f>IF(OR($S$1120="",$R$1110=""),"",SUM(OFFSET(전체채점!$AW$2,$R$1110,INDEX(회차설정!$C$13:$C$27,$S$1120),1,INDEX(회차설정!$D$13:$D$27,$S$1120)-INDEX(회차설정!$C$13:$C$27,$S$1120)+1)))</f>
        <v/>
      </c>
      <c r="F1130" s="46">
        <f>IF(OR($S$1120="",$D1130=0,$D1130="",$E1130=""),"",$E1130/$D1130*100)</f>
        <v/>
      </c>
      <c r="G1130" s="8" t="n"/>
      <c r="H1130" s="47">
        <f>IF($F1130="","",REPT("■",ROUND($F1130/5,0)))</f>
        <v/>
      </c>
      <c r="I1130" s="7" t="n"/>
      <c r="J1130" s="7" t="n"/>
      <c r="K1130" s="7" t="n"/>
      <c r="L1130" s="7" t="n"/>
      <c r="M1130" s="7" t="n"/>
      <c r="N1130" s="7" t="n"/>
      <c r="O1130" s="7" t="n"/>
      <c r="P1130" s="8" t="n"/>
    </row>
    <row r="1131">
      <c r="A1131" s="14">
        <f>IF($S$1121="","",INDEX(회차설정!$A$13:$A$27,$S$1121))</f>
        <v/>
      </c>
      <c r="B1131" s="14">
        <f>IF($S$1121="","",INDEX(회차설정!$B$13:$B$27,$S$1121))</f>
        <v/>
      </c>
      <c r="C1131" s="8" t="n"/>
      <c r="D1131" s="14">
        <f>IF($S$1121="","",IF($R$1111="언어와 매체",SUMPRODUCT((자동계산!$A$4:$A$48&gt;=INDEX(회차설정!$C$13:$C$27,$S$1121))*(자동계산!$A$4:$A$48&lt;=INDEX(회차설정!$D$13:$D$27,$S$1121))*자동계산!$E$4:$E$48),SUMPRODUCT((자동계산!$A$4:$A$48&gt;=INDEX(회차설정!$C$13:$C$27,$S$1121))*(자동계산!$A$4:$A$48&lt;=INDEX(회차설정!$D$13:$D$27,$S$1121))*자동계산!$C$4:$C$48)))</f>
        <v/>
      </c>
      <c r="E1131" s="14">
        <f>IF(OR($S$1121="",$R$1110=""),"",SUM(OFFSET(전체채점!$AW$2,$R$1110,INDEX(회차설정!$C$13:$C$27,$S$1121),1,INDEX(회차설정!$D$13:$D$27,$S$1121)-INDEX(회차설정!$C$13:$C$27,$S$1121)+1)))</f>
        <v/>
      </c>
      <c r="F1131" s="46">
        <f>IF(OR($S$1121="",$D1131=0,$D1131="",$E1131=""),"",$E1131/$D1131*100)</f>
        <v/>
      </c>
      <c r="G1131" s="8" t="n"/>
      <c r="H1131" s="47">
        <f>IF($F1131="","",REPT("■",ROUND($F1131/5,0)))</f>
        <v/>
      </c>
      <c r="I1131" s="7" t="n"/>
      <c r="J1131" s="7" t="n"/>
      <c r="K1131" s="7" t="n"/>
      <c r="L1131" s="7" t="n"/>
      <c r="M1131" s="7" t="n"/>
      <c r="N1131" s="7" t="n"/>
      <c r="O1131" s="7" t="n"/>
      <c r="P1131" s="8" t="n"/>
    </row>
    <row r="1132">
      <c r="A1132" s="5">
        <f>IF($R$1110="","","합계")</f>
        <v/>
      </c>
      <c r="B1132" s="7" t="n"/>
      <c r="C1132" s="8" t="n"/>
      <c r="D1132" s="5">
        <f>IF($R$1110="","",SUM(D1120:D1131))</f>
        <v/>
      </c>
      <c r="E1132" s="5">
        <f>IF($R$1110="","",SUM(E1120:E1131))</f>
        <v/>
      </c>
      <c r="F1132" s="48">
        <f>IF(OR($D1132=0,$D1132=""),"",$E1132/$D1132*100)</f>
        <v/>
      </c>
      <c r="G1132" s="8" t="n"/>
      <c r="H1132" s="49">
        <f>IF($F1132="","",REPT("■",ROUND($F1132/5,0)))</f>
        <v/>
      </c>
      <c r="I1132" s="7" t="n"/>
      <c r="J1132" s="7" t="n"/>
      <c r="K1132" s="7" t="n"/>
      <c r="L1132" s="7" t="n"/>
      <c r="M1132" s="7" t="n"/>
      <c r="N1132" s="7" t="n"/>
      <c r="O1132" s="7" t="n"/>
      <c r="P1132" s="8" t="n"/>
    </row>
    <row r="1134">
      <c r="A1134" s="12" t="inlineStr">
        <is>
          <t>4. 문항 채점표</t>
        </is>
      </c>
    </row>
    <row r="1135">
      <c r="A1135" s="50" t="inlineStr">
        <is>
          <t>문항 번호</t>
        </is>
      </c>
      <c r="B1135" s="51" t="n">
        <v>1</v>
      </c>
      <c r="C1135" s="51" t="n">
        <v>2</v>
      </c>
      <c r="D1135" s="51" t="n">
        <v>3</v>
      </c>
      <c r="E1135" s="51" t="n">
        <v>4</v>
      </c>
      <c r="F1135" s="51" t="n">
        <v>5</v>
      </c>
      <c r="G1135" s="51" t="n">
        <v>6</v>
      </c>
      <c r="H1135" s="51" t="n">
        <v>7</v>
      </c>
      <c r="I1135" s="51" t="n">
        <v>8</v>
      </c>
      <c r="J1135" s="51" t="n">
        <v>9</v>
      </c>
      <c r="K1135" s="51" t="n">
        <v>10</v>
      </c>
      <c r="L1135" s="51" t="n">
        <v>11</v>
      </c>
      <c r="M1135" s="51" t="n">
        <v>12</v>
      </c>
      <c r="N1135" s="51" t="n">
        <v>13</v>
      </c>
      <c r="O1135" s="51" t="n">
        <v>14</v>
      </c>
      <c r="P1135" s="51" t="n">
        <v>15</v>
      </c>
    </row>
    <row r="1136">
      <c r="A1136" s="52" t="inlineStr">
        <is>
          <t>정답</t>
        </is>
      </c>
      <c r="B1136" s="33">
        <f>IF($R$1111="","",IF($R$1111="언어와 매체",자동계산!$D$4,자동계산!$B$4))</f>
        <v/>
      </c>
      <c r="C1136" s="33">
        <f>IF($R$1111="","",IF($R$1111="언어와 매체",자동계산!$D$5,자동계산!$B$5))</f>
        <v/>
      </c>
      <c r="D1136" s="33">
        <f>IF($R$1111="","",IF($R$1111="언어와 매체",자동계산!$D$6,자동계산!$B$6))</f>
        <v/>
      </c>
      <c r="E1136" s="33">
        <f>IF($R$1111="","",IF($R$1111="언어와 매체",자동계산!$D$7,자동계산!$B$7))</f>
        <v/>
      </c>
      <c r="F1136" s="33">
        <f>IF($R$1111="","",IF($R$1111="언어와 매체",자동계산!$D$8,자동계산!$B$8))</f>
        <v/>
      </c>
      <c r="G1136" s="33">
        <f>IF($R$1111="","",IF($R$1111="언어와 매체",자동계산!$D$9,자동계산!$B$9))</f>
        <v/>
      </c>
      <c r="H1136" s="33">
        <f>IF($R$1111="","",IF($R$1111="언어와 매체",자동계산!$D$10,자동계산!$B$10))</f>
        <v/>
      </c>
      <c r="I1136" s="33">
        <f>IF($R$1111="","",IF($R$1111="언어와 매체",자동계산!$D$11,자동계산!$B$11))</f>
        <v/>
      </c>
      <c r="J1136" s="33">
        <f>IF($R$1111="","",IF($R$1111="언어와 매체",자동계산!$D$12,자동계산!$B$12))</f>
        <v/>
      </c>
      <c r="K1136" s="33">
        <f>IF($R$1111="","",IF($R$1111="언어와 매체",자동계산!$D$13,자동계산!$B$13))</f>
        <v/>
      </c>
      <c r="L1136" s="33">
        <f>IF($R$1111="","",IF($R$1111="언어와 매체",자동계산!$D$14,자동계산!$B$14))</f>
        <v/>
      </c>
      <c r="M1136" s="33">
        <f>IF($R$1111="","",IF($R$1111="언어와 매체",자동계산!$D$15,자동계산!$B$15))</f>
        <v/>
      </c>
      <c r="N1136" s="33">
        <f>IF($R$1111="","",IF($R$1111="언어와 매체",자동계산!$D$16,자동계산!$B$16))</f>
        <v/>
      </c>
      <c r="O1136" s="33">
        <f>IF($R$1111="","",IF($R$1111="언어와 매체",자동계산!$D$17,자동계산!$B$17))</f>
        <v/>
      </c>
      <c r="P1136" s="33">
        <f>IF($R$1111="","",IF($R$1111="언어와 매체",자동계산!$D$18,자동계산!$B$18))</f>
        <v/>
      </c>
    </row>
    <row r="1137">
      <c r="A1137" s="52" t="inlineStr">
        <is>
          <t>학생답안</t>
        </is>
      </c>
      <c r="B1137" s="33">
        <f>IF($R$1110="","",INDEX(전체채점!E$3:E$62,$R$1110))</f>
        <v/>
      </c>
      <c r="C1137" s="33">
        <f>IF($R$1110="","",INDEX(전체채점!F$3:F$62,$R$1110))</f>
        <v/>
      </c>
      <c r="D1137" s="33">
        <f>IF($R$1110="","",INDEX(전체채점!G$3:G$62,$R$1110))</f>
        <v/>
      </c>
      <c r="E1137" s="33">
        <f>IF($R$1110="","",INDEX(전체채점!H$3:H$62,$R$1110))</f>
        <v/>
      </c>
      <c r="F1137" s="33">
        <f>IF($R$1110="","",INDEX(전체채점!I$3:I$62,$R$1110))</f>
        <v/>
      </c>
      <c r="G1137" s="33">
        <f>IF($R$1110="","",INDEX(전체채점!J$3:J$62,$R$1110))</f>
        <v/>
      </c>
      <c r="H1137" s="33">
        <f>IF($R$1110="","",INDEX(전체채점!K$3:K$62,$R$1110))</f>
        <v/>
      </c>
      <c r="I1137" s="33">
        <f>IF($R$1110="","",INDEX(전체채점!L$3:L$62,$R$1110))</f>
        <v/>
      </c>
      <c r="J1137" s="33">
        <f>IF($R$1110="","",INDEX(전체채점!M$3:M$62,$R$1110))</f>
        <v/>
      </c>
      <c r="K1137" s="33">
        <f>IF($R$1110="","",INDEX(전체채점!N$3:N$62,$R$1110))</f>
        <v/>
      </c>
      <c r="L1137" s="33">
        <f>IF($R$1110="","",INDEX(전체채점!O$3:O$62,$R$1110))</f>
        <v/>
      </c>
      <c r="M1137" s="33">
        <f>IF($R$1110="","",INDEX(전체채점!P$3:P$62,$R$1110))</f>
        <v/>
      </c>
      <c r="N1137" s="33">
        <f>IF($R$1110="","",INDEX(전체채점!Q$3:Q$62,$R$1110))</f>
        <v/>
      </c>
      <c r="O1137" s="33">
        <f>IF($R$1110="","",INDEX(전체채점!R$3:R$62,$R$1110))</f>
        <v/>
      </c>
      <c r="P1137" s="33">
        <f>IF($R$1110="","",INDEX(전체채점!S$3:S$62,$R$1110))</f>
        <v/>
      </c>
    </row>
    <row r="1138">
      <c r="A1138" s="52" t="inlineStr">
        <is>
          <t>정오</t>
        </is>
      </c>
      <c r="B1138" s="33">
        <f>IF($R$1110="","",INDEX(전체채점!AX$3:AX$62,$R$1110))</f>
        <v/>
      </c>
      <c r="C1138" s="33">
        <f>IF($R$1110="","",INDEX(전체채점!AY$3:AY$62,$R$1110))</f>
        <v/>
      </c>
      <c r="D1138" s="33">
        <f>IF($R$1110="","",INDEX(전체채점!AZ$3:AZ$62,$R$1110))</f>
        <v/>
      </c>
      <c r="E1138" s="33">
        <f>IF($R$1110="","",INDEX(전체채점!BA$3:BA$62,$R$1110))</f>
        <v/>
      </c>
      <c r="F1138" s="33">
        <f>IF($R$1110="","",INDEX(전체채점!BB$3:BB$62,$R$1110))</f>
        <v/>
      </c>
      <c r="G1138" s="33">
        <f>IF($R$1110="","",INDEX(전체채점!BC$3:BC$62,$R$1110))</f>
        <v/>
      </c>
      <c r="H1138" s="33">
        <f>IF($R$1110="","",INDEX(전체채점!BD$3:BD$62,$R$1110))</f>
        <v/>
      </c>
      <c r="I1138" s="33">
        <f>IF($R$1110="","",INDEX(전체채점!BE$3:BE$62,$R$1110))</f>
        <v/>
      </c>
      <c r="J1138" s="33">
        <f>IF($R$1110="","",INDEX(전체채점!BF$3:BF$62,$R$1110))</f>
        <v/>
      </c>
      <c r="K1138" s="33">
        <f>IF($R$1110="","",INDEX(전체채점!BG$3:BG$62,$R$1110))</f>
        <v/>
      </c>
      <c r="L1138" s="33">
        <f>IF($R$1110="","",INDEX(전체채점!BH$3:BH$62,$R$1110))</f>
        <v/>
      </c>
      <c r="M1138" s="33">
        <f>IF($R$1110="","",INDEX(전체채점!BI$3:BI$62,$R$1110))</f>
        <v/>
      </c>
      <c r="N1138" s="33">
        <f>IF($R$1110="","",INDEX(전체채점!BJ$3:BJ$62,$R$1110))</f>
        <v/>
      </c>
      <c r="O1138" s="33">
        <f>IF($R$1110="","",INDEX(전체채점!BK$3:BK$62,$R$1110))</f>
        <v/>
      </c>
      <c r="P1138" s="33">
        <f>IF($R$1110="","",INDEX(전체채점!BL$3:BL$62,$R$1110))</f>
        <v/>
      </c>
    </row>
    <row r="1139">
      <c r="A1139" s="50" t="inlineStr">
        <is>
          <t>문항 번호</t>
        </is>
      </c>
      <c r="B1139" s="51" t="n">
        <v>16</v>
      </c>
      <c r="C1139" s="51" t="n">
        <v>17</v>
      </c>
      <c r="D1139" s="51" t="n">
        <v>18</v>
      </c>
      <c r="E1139" s="51" t="n">
        <v>19</v>
      </c>
      <c r="F1139" s="51" t="n">
        <v>20</v>
      </c>
      <c r="G1139" s="51" t="n">
        <v>21</v>
      </c>
      <c r="H1139" s="51" t="n">
        <v>22</v>
      </c>
      <c r="I1139" s="51" t="n">
        <v>23</v>
      </c>
      <c r="J1139" s="51" t="n">
        <v>24</v>
      </c>
      <c r="K1139" s="51" t="n">
        <v>25</v>
      </c>
      <c r="L1139" s="51" t="n">
        <v>26</v>
      </c>
      <c r="M1139" s="51" t="n">
        <v>27</v>
      </c>
      <c r="N1139" s="51" t="n">
        <v>28</v>
      </c>
      <c r="O1139" s="51" t="n">
        <v>29</v>
      </c>
      <c r="P1139" s="51" t="n">
        <v>30</v>
      </c>
    </row>
    <row r="1140">
      <c r="A1140" s="52" t="inlineStr">
        <is>
          <t>정답</t>
        </is>
      </c>
      <c r="B1140" s="33">
        <f>IF($R$1111="","",IF($R$1111="언어와 매체",자동계산!$D$19,자동계산!$B$19))</f>
        <v/>
      </c>
      <c r="C1140" s="33">
        <f>IF($R$1111="","",IF($R$1111="언어와 매체",자동계산!$D$20,자동계산!$B$20))</f>
        <v/>
      </c>
      <c r="D1140" s="33">
        <f>IF($R$1111="","",IF($R$1111="언어와 매체",자동계산!$D$21,자동계산!$B$21))</f>
        <v/>
      </c>
      <c r="E1140" s="33">
        <f>IF($R$1111="","",IF($R$1111="언어와 매체",자동계산!$D$22,자동계산!$B$22))</f>
        <v/>
      </c>
      <c r="F1140" s="33">
        <f>IF($R$1111="","",IF($R$1111="언어와 매체",자동계산!$D$23,자동계산!$B$23))</f>
        <v/>
      </c>
      <c r="G1140" s="33">
        <f>IF($R$1111="","",IF($R$1111="언어와 매체",자동계산!$D$24,자동계산!$B$24))</f>
        <v/>
      </c>
      <c r="H1140" s="33">
        <f>IF($R$1111="","",IF($R$1111="언어와 매체",자동계산!$D$25,자동계산!$B$25))</f>
        <v/>
      </c>
      <c r="I1140" s="33">
        <f>IF($R$1111="","",IF($R$1111="언어와 매체",자동계산!$D$26,자동계산!$B$26))</f>
        <v/>
      </c>
      <c r="J1140" s="33">
        <f>IF($R$1111="","",IF($R$1111="언어와 매체",자동계산!$D$27,자동계산!$B$27))</f>
        <v/>
      </c>
      <c r="K1140" s="33">
        <f>IF($R$1111="","",IF($R$1111="언어와 매체",자동계산!$D$28,자동계산!$B$28))</f>
        <v/>
      </c>
      <c r="L1140" s="33">
        <f>IF($R$1111="","",IF($R$1111="언어와 매체",자동계산!$D$29,자동계산!$B$29))</f>
        <v/>
      </c>
      <c r="M1140" s="33">
        <f>IF($R$1111="","",IF($R$1111="언어와 매체",자동계산!$D$30,자동계산!$B$30))</f>
        <v/>
      </c>
      <c r="N1140" s="33">
        <f>IF($R$1111="","",IF($R$1111="언어와 매체",자동계산!$D$31,자동계산!$B$31))</f>
        <v/>
      </c>
      <c r="O1140" s="33">
        <f>IF($R$1111="","",IF($R$1111="언어와 매체",자동계산!$D$32,자동계산!$B$32))</f>
        <v/>
      </c>
      <c r="P1140" s="33">
        <f>IF($R$1111="","",IF($R$1111="언어와 매체",자동계산!$D$33,자동계산!$B$33))</f>
        <v/>
      </c>
    </row>
    <row r="1141">
      <c r="A1141" s="52" t="inlineStr">
        <is>
          <t>학생답안</t>
        </is>
      </c>
      <c r="B1141" s="33">
        <f>IF($R$1110="","",INDEX(전체채점!T$3:T$62,$R$1110))</f>
        <v/>
      </c>
      <c r="C1141" s="33">
        <f>IF($R$1110="","",INDEX(전체채점!U$3:U$62,$R$1110))</f>
        <v/>
      </c>
      <c r="D1141" s="33">
        <f>IF($R$1110="","",INDEX(전체채점!V$3:V$62,$R$1110))</f>
        <v/>
      </c>
      <c r="E1141" s="33">
        <f>IF($R$1110="","",INDEX(전체채점!W$3:W$62,$R$1110))</f>
        <v/>
      </c>
      <c r="F1141" s="33">
        <f>IF($R$1110="","",INDEX(전체채점!X$3:X$62,$R$1110))</f>
        <v/>
      </c>
      <c r="G1141" s="33">
        <f>IF($R$1110="","",INDEX(전체채점!Y$3:Y$62,$R$1110))</f>
        <v/>
      </c>
      <c r="H1141" s="33">
        <f>IF($R$1110="","",INDEX(전체채점!Z$3:Z$62,$R$1110))</f>
        <v/>
      </c>
      <c r="I1141" s="33">
        <f>IF($R$1110="","",INDEX(전체채점!AA$3:AA$62,$R$1110))</f>
        <v/>
      </c>
      <c r="J1141" s="33">
        <f>IF($R$1110="","",INDEX(전체채점!AB$3:AB$62,$R$1110))</f>
        <v/>
      </c>
      <c r="K1141" s="33">
        <f>IF($R$1110="","",INDEX(전체채점!AC$3:AC$62,$R$1110))</f>
        <v/>
      </c>
      <c r="L1141" s="33">
        <f>IF($R$1110="","",INDEX(전체채점!AD$3:AD$62,$R$1110))</f>
        <v/>
      </c>
      <c r="M1141" s="33">
        <f>IF($R$1110="","",INDEX(전체채점!AE$3:AE$62,$R$1110))</f>
        <v/>
      </c>
      <c r="N1141" s="33">
        <f>IF($R$1110="","",INDEX(전체채점!AF$3:AF$62,$R$1110))</f>
        <v/>
      </c>
      <c r="O1141" s="33">
        <f>IF($R$1110="","",INDEX(전체채점!AG$3:AG$62,$R$1110))</f>
        <v/>
      </c>
      <c r="P1141" s="33">
        <f>IF($R$1110="","",INDEX(전체채점!AH$3:AH$62,$R$1110))</f>
        <v/>
      </c>
    </row>
    <row r="1142">
      <c r="A1142" s="52" t="inlineStr">
        <is>
          <t>정오</t>
        </is>
      </c>
      <c r="B1142" s="33">
        <f>IF($R$1110="","",INDEX(전체채점!BM$3:BM$62,$R$1110))</f>
        <v/>
      </c>
      <c r="C1142" s="33">
        <f>IF($R$1110="","",INDEX(전체채점!BN$3:BN$62,$R$1110))</f>
        <v/>
      </c>
      <c r="D1142" s="33">
        <f>IF($R$1110="","",INDEX(전체채점!BO$3:BO$62,$R$1110))</f>
        <v/>
      </c>
      <c r="E1142" s="33">
        <f>IF($R$1110="","",INDEX(전체채점!BP$3:BP$62,$R$1110))</f>
        <v/>
      </c>
      <c r="F1142" s="33">
        <f>IF($R$1110="","",INDEX(전체채점!BQ$3:BQ$62,$R$1110))</f>
        <v/>
      </c>
      <c r="G1142" s="33">
        <f>IF($R$1110="","",INDEX(전체채점!BR$3:BR$62,$R$1110))</f>
        <v/>
      </c>
      <c r="H1142" s="33">
        <f>IF($R$1110="","",INDEX(전체채점!BS$3:BS$62,$R$1110))</f>
        <v/>
      </c>
      <c r="I1142" s="33">
        <f>IF($R$1110="","",INDEX(전체채점!BT$3:BT$62,$R$1110))</f>
        <v/>
      </c>
      <c r="J1142" s="33">
        <f>IF($R$1110="","",INDEX(전체채점!BU$3:BU$62,$R$1110))</f>
        <v/>
      </c>
      <c r="K1142" s="33">
        <f>IF($R$1110="","",INDEX(전체채점!BV$3:BV$62,$R$1110))</f>
        <v/>
      </c>
      <c r="L1142" s="33">
        <f>IF($R$1110="","",INDEX(전체채점!BW$3:BW$62,$R$1110))</f>
        <v/>
      </c>
      <c r="M1142" s="33">
        <f>IF($R$1110="","",INDEX(전체채점!BX$3:BX$62,$R$1110))</f>
        <v/>
      </c>
      <c r="N1142" s="33">
        <f>IF($R$1110="","",INDEX(전체채점!BY$3:BY$62,$R$1110))</f>
        <v/>
      </c>
      <c r="O1142" s="33">
        <f>IF($R$1110="","",INDEX(전체채점!BZ$3:BZ$62,$R$1110))</f>
        <v/>
      </c>
      <c r="P1142" s="33">
        <f>IF($R$1110="","",INDEX(전체채점!CA$3:CA$62,$R$1110))</f>
        <v/>
      </c>
    </row>
    <row r="1143">
      <c r="A1143" s="50" t="inlineStr">
        <is>
          <t>문항 번호</t>
        </is>
      </c>
      <c r="B1143" s="51" t="n">
        <v>31</v>
      </c>
      <c r="C1143" s="51" t="n">
        <v>32</v>
      </c>
      <c r="D1143" s="51" t="n">
        <v>33</v>
      </c>
      <c r="E1143" s="51" t="n">
        <v>34</v>
      </c>
      <c r="F1143" s="51" t="n">
        <v>35</v>
      </c>
      <c r="G1143" s="51" t="n">
        <v>36</v>
      </c>
      <c r="H1143" s="51" t="n">
        <v>37</v>
      </c>
      <c r="I1143" s="51" t="n">
        <v>38</v>
      </c>
      <c r="J1143" s="51" t="n">
        <v>39</v>
      </c>
      <c r="K1143" s="51" t="n">
        <v>40</v>
      </c>
      <c r="L1143" s="51" t="n">
        <v>41</v>
      </c>
      <c r="M1143" s="51" t="n">
        <v>42</v>
      </c>
      <c r="N1143" s="51" t="n">
        <v>43</v>
      </c>
      <c r="O1143" s="51" t="n">
        <v>44</v>
      </c>
      <c r="P1143" s="51" t="n">
        <v>45</v>
      </c>
    </row>
    <row r="1144">
      <c r="A1144" s="52" t="inlineStr">
        <is>
          <t>정답</t>
        </is>
      </c>
      <c r="B1144" s="33">
        <f>IF($R$1111="","",IF($R$1111="언어와 매체",자동계산!$D$34,자동계산!$B$34))</f>
        <v/>
      </c>
      <c r="C1144" s="33">
        <f>IF($R$1111="","",IF($R$1111="언어와 매체",자동계산!$D$35,자동계산!$B$35))</f>
        <v/>
      </c>
      <c r="D1144" s="33">
        <f>IF($R$1111="","",IF($R$1111="언어와 매체",자동계산!$D$36,자동계산!$B$36))</f>
        <v/>
      </c>
      <c r="E1144" s="33">
        <f>IF($R$1111="","",IF($R$1111="언어와 매체",자동계산!$D$37,자동계산!$B$37))</f>
        <v/>
      </c>
      <c r="F1144" s="33">
        <f>IF($R$1111="","",IF($R$1111="언어와 매체",자동계산!$D$38,자동계산!$B$38))</f>
        <v/>
      </c>
      <c r="G1144" s="33">
        <f>IF($R$1111="","",IF($R$1111="언어와 매체",자동계산!$D$39,자동계산!$B$39))</f>
        <v/>
      </c>
      <c r="H1144" s="33">
        <f>IF($R$1111="","",IF($R$1111="언어와 매체",자동계산!$D$40,자동계산!$B$40))</f>
        <v/>
      </c>
      <c r="I1144" s="33">
        <f>IF($R$1111="","",IF($R$1111="언어와 매체",자동계산!$D$41,자동계산!$B$41))</f>
        <v/>
      </c>
      <c r="J1144" s="33">
        <f>IF($R$1111="","",IF($R$1111="언어와 매체",자동계산!$D$42,자동계산!$B$42))</f>
        <v/>
      </c>
      <c r="K1144" s="33">
        <f>IF($R$1111="","",IF($R$1111="언어와 매체",자동계산!$D$43,자동계산!$B$43))</f>
        <v/>
      </c>
      <c r="L1144" s="33">
        <f>IF($R$1111="","",IF($R$1111="언어와 매체",자동계산!$D$44,자동계산!$B$44))</f>
        <v/>
      </c>
      <c r="M1144" s="33">
        <f>IF($R$1111="","",IF($R$1111="언어와 매체",자동계산!$D$45,자동계산!$B$45))</f>
        <v/>
      </c>
      <c r="N1144" s="33">
        <f>IF($R$1111="","",IF($R$1111="언어와 매체",자동계산!$D$46,자동계산!$B$46))</f>
        <v/>
      </c>
      <c r="O1144" s="33">
        <f>IF($R$1111="","",IF($R$1111="언어와 매체",자동계산!$D$47,자동계산!$B$47))</f>
        <v/>
      </c>
      <c r="P1144" s="33">
        <f>IF($R$1111="","",IF($R$1111="언어와 매체",자동계산!$D$48,자동계산!$B$48))</f>
        <v/>
      </c>
    </row>
    <row r="1145">
      <c r="A1145" s="52" t="inlineStr">
        <is>
          <t>학생답안</t>
        </is>
      </c>
      <c r="B1145" s="33">
        <f>IF($R$1110="","",INDEX(전체채점!AI$3:AI$62,$R$1110))</f>
        <v/>
      </c>
      <c r="C1145" s="33">
        <f>IF($R$1110="","",INDEX(전체채점!AJ$3:AJ$62,$R$1110))</f>
        <v/>
      </c>
      <c r="D1145" s="33">
        <f>IF($R$1110="","",INDEX(전체채점!AK$3:AK$62,$R$1110))</f>
        <v/>
      </c>
      <c r="E1145" s="33">
        <f>IF($R$1110="","",INDEX(전체채점!AL$3:AL$62,$R$1110))</f>
        <v/>
      </c>
      <c r="F1145" s="33">
        <f>IF($R$1110="","",INDEX(전체채점!AM$3:AM$62,$R$1110))</f>
        <v/>
      </c>
      <c r="G1145" s="33">
        <f>IF($R$1110="","",INDEX(전체채점!AN$3:AN$62,$R$1110))</f>
        <v/>
      </c>
      <c r="H1145" s="33">
        <f>IF($R$1110="","",INDEX(전체채점!AO$3:AO$62,$R$1110))</f>
        <v/>
      </c>
      <c r="I1145" s="33">
        <f>IF($R$1110="","",INDEX(전체채점!AP$3:AP$62,$R$1110))</f>
        <v/>
      </c>
      <c r="J1145" s="33">
        <f>IF($R$1110="","",INDEX(전체채점!AQ$3:AQ$62,$R$1110))</f>
        <v/>
      </c>
      <c r="K1145" s="33">
        <f>IF($R$1110="","",INDEX(전체채점!AR$3:AR$62,$R$1110))</f>
        <v/>
      </c>
      <c r="L1145" s="33">
        <f>IF($R$1110="","",INDEX(전체채점!AS$3:AS$62,$R$1110))</f>
        <v/>
      </c>
      <c r="M1145" s="33">
        <f>IF($R$1110="","",INDEX(전체채점!AT$3:AT$62,$R$1110))</f>
        <v/>
      </c>
      <c r="N1145" s="33">
        <f>IF($R$1110="","",INDEX(전체채점!AU$3:AU$62,$R$1110))</f>
        <v/>
      </c>
      <c r="O1145" s="33">
        <f>IF($R$1110="","",INDEX(전체채점!AV$3:AV$62,$R$1110))</f>
        <v/>
      </c>
      <c r="P1145" s="33">
        <f>IF($R$1110="","",INDEX(전체채점!AW$3:AW$62,$R$1110))</f>
        <v/>
      </c>
    </row>
    <row r="1146">
      <c r="A1146" s="52" t="inlineStr">
        <is>
          <t>정오</t>
        </is>
      </c>
      <c r="B1146" s="33">
        <f>IF($R$1110="","",INDEX(전체채점!CB$3:CB$62,$R$1110))</f>
        <v/>
      </c>
      <c r="C1146" s="33">
        <f>IF($R$1110="","",INDEX(전체채점!CC$3:CC$62,$R$1110))</f>
        <v/>
      </c>
      <c r="D1146" s="33">
        <f>IF($R$1110="","",INDEX(전체채점!CD$3:CD$62,$R$1110))</f>
        <v/>
      </c>
      <c r="E1146" s="33">
        <f>IF($R$1110="","",INDEX(전체채점!CE$3:CE$62,$R$1110))</f>
        <v/>
      </c>
      <c r="F1146" s="33">
        <f>IF($R$1110="","",INDEX(전체채점!CF$3:CF$62,$R$1110))</f>
        <v/>
      </c>
      <c r="G1146" s="33">
        <f>IF($R$1110="","",INDEX(전체채점!CG$3:CG$62,$R$1110))</f>
        <v/>
      </c>
      <c r="H1146" s="33">
        <f>IF($R$1110="","",INDEX(전체채점!CH$3:CH$62,$R$1110))</f>
        <v/>
      </c>
      <c r="I1146" s="33">
        <f>IF($R$1110="","",INDEX(전체채점!CI$3:CI$62,$R$1110))</f>
        <v/>
      </c>
      <c r="J1146" s="33">
        <f>IF($R$1110="","",INDEX(전체채점!CJ$3:CJ$62,$R$1110))</f>
        <v/>
      </c>
      <c r="K1146" s="33">
        <f>IF($R$1110="","",INDEX(전체채점!CK$3:CK$62,$R$1110))</f>
        <v/>
      </c>
      <c r="L1146" s="33">
        <f>IF($R$1110="","",INDEX(전체채점!CL$3:CL$62,$R$1110))</f>
        <v/>
      </c>
      <c r="M1146" s="33">
        <f>IF($R$1110="","",INDEX(전체채점!CM$3:CM$62,$R$1110))</f>
        <v/>
      </c>
      <c r="N1146" s="33">
        <f>IF($R$1110="","",INDEX(전체채점!CN$3:CN$62,$R$1110))</f>
        <v/>
      </c>
      <c r="O1146" s="33">
        <f>IF($R$1110="","",INDEX(전체채점!CO$3:CO$62,$R$1110))</f>
        <v/>
      </c>
      <c r="P1146" s="33">
        <f>IF($R$1110="","",INDEX(전체채점!CP$3:CP$62,$R$1110))</f>
        <v/>
      </c>
    </row>
    <row r="1149" ht="34" customHeight="1">
      <c r="A1149" s="36">
        <f>IF($R$1151="","",회차설정!$B$2&amp;" 성적표")</f>
        <v/>
      </c>
    </row>
    <row r="1151">
      <c r="A1151" s="12" t="inlineStr">
        <is>
          <t>1. 학생정보</t>
        </is>
      </c>
      <c r="R1151" s="37">
        <f>IF(답안입력!$A$31="","",29)</f>
        <v/>
      </c>
      <c r="S1151" s="37">
        <f>IF($R$1152="","",IFERROR(IF($R$1152="언어와 매체",MATCH(1,회차설정!$G$13:$G$27,0),MATCH(1,회차설정!$F$13:$F$27,0)),""))</f>
        <v/>
      </c>
    </row>
    <row r="1152">
      <c r="A1152" s="13" t="inlineStr">
        <is>
          <t>성명</t>
        </is>
      </c>
      <c r="B1152" s="7" t="n"/>
      <c r="C1152" s="8" t="n"/>
      <c r="D1152" s="13" t="inlineStr">
        <is>
          <t>선택과목</t>
        </is>
      </c>
      <c r="E1152" s="7" t="n"/>
      <c r="F1152" s="7" t="n"/>
      <c r="G1152" s="8" t="n"/>
      <c r="H1152" s="13" t="inlineStr">
        <is>
          <t>학년</t>
        </is>
      </c>
      <c r="I1152" s="7" t="n"/>
      <c r="J1152" s="7" t="n"/>
      <c r="K1152" s="8" t="n"/>
      <c r="L1152" s="13" t="inlineStr">
        <is>
          <t>시행일</t>
        </is>
      </c>
      <c r="M1152" s="7" t="n"/>
      <c r="N1152" s="7" t="n"/>
      <c r="O1152" s="7" t="n"/>
      <c r="P1152" s="8" t="n"/>
      <c r="R1152" s="37">
        <f>IF($R$1151="","",INDEX(전체채점!$B$3:$B$62,$R$1151))</f>
        <v/>
      </c>
      <c r="S1152" s="37">
        <f>IF($R$1152="","",IFERROR(IF($R$1152="언어와 매체",MATCH(2,회차설정!$G$13:$G$27,0),MATCH(2,회차설정!$F$13:$F$27,0)),""))</f>
        <v/>
      </c>
    </row>
    <row r="1153" ht="26" customHeight="1">
      <c r="A1153" s="39">
        <f>IF($R$1151="","",INDEX(답안입력!$A$3:$A$62,$R$1151))</f>
        <v/>
      </c>
      <c r="B1153" s="7" t="n"/>
      <c r="C1153" s="8" t="n"/>
      <c r="D1153" s="39">
        <f>IF($R$1151="","",INDEX(답안입력!$C$3:$C$62,$R$1151))</f>
        <v/>
      </c>
      <c r="E1153" s="7" t="n"/>
      <c r="F1153" s="7" t="n"/>
      <c r="G1153" s="8" t="n"/>
      <c r="H1153" s="39">
        <f>IF($R$1151="","",INDEX(답안입력!$B$3:$B$62,$R$1151))</f>
        <v/>
      </c>
      <c r="I1153" s="7" t="n"/>
      <c r="J1153" s="7" t="n"/>
      <c r="K1153" s="8" t="n"/>
      <c r="L1153" s="40">
        <f>회차설정!$B$3</f>
        <v/>
      </c>
      <c r="M1153" s="7" t="n"/>
      <c r="N1153" s="7" t="n"/>
      <c r="O1153" s="7" t="n"/>
      <c r="P1153" s="8" t="n"/>
      <c r="R1153" s="37">
        <f>IF($R$1152="언어와 매체",회차설정!$B$9,회차설정!$B$8)</f>
        <v/>
      </c>
      <c r="S1153" s="37">
        <f>IF($R$1152="","",IFERROR(IF($R$1152="언어와 매체",MATCH(3,회차설정!$G$13:$G$27,0),MATCH(3,회차설정!$F$13:$F$27,0)),""))</f>
        <v/>
      </c>
    </row>
    <row r="1154">
      <c r="R1154" s="37">
        <f>IF($R$1152="언어와 매체",회차설정!$C$9,회차설정!$C$8)</f>
        <v/>
      </c>
      <c r="S1154" s="37">
        <f>IF($R$1152="","",IFERROR(IF($R$1152="언어와 매체",MATCH(4,회차설정!$G$13:$G$27,0),MATCH(4,회차설정!$F$13:$F$27,0)),""))</f>
        <v/>
      </c>
    </row>
    <row r="1155">
      <c r="A1155" s="12" t="inlineStr">
        <is>
          <t>2. 성적</t>
        </is>
      </c>
      <c r="R1155" s="37">
        <f>IF($R$1152="언어와 매체",회차설정!$D$9,회차설정!$D$8)</f>
        <v/>
      </c>
      <c r="S1155" s="37">
        <f>IF($R$1152="","",IFERROR(IF($R$1152="언어와 매체",MATCH(5,회차설정!$G$13:$G$27,0),MATCH(5,회차설정!$F$13:$F$27,0)),""))</f>
        <v/>
      </c>
    </row>
    <row r="1156">
      <c r="A1156" s="13" t="inlineStr">
        <is>
          <t>점수 (100점 만점)</t>
        </is>
      </c>
      <c r="B1156" s="7" t="n"/>
      <c r="C1156" s="7" t="n"/>
      <c r="D1156" s="7" t="n"/>
      <c r="E1156" s="8" t="n"/>
      <c r="F1156" s="13" t="inlineStr">
        <is>
          <t>등급</t>
        </is>
      </c>
      <c r="G1156" s="7" t="n"/>
      <c r="H1156" s="8" t="n"/>
      <c r="I1156" s="13" t="inlineStr">
        <is>
          <t>등급컷</t>
        </is>
      </c>
      <c r="J1156" s="7" t="n"/>
      <c r="K1156" s="7" t="n"/>
      <c r="L1156" s="8" t="n"/>
      <c r="M1156" s="13" t="inlineStr">
        <is>
          <t>같은 선택과목 평균</t>
        </is>
      </c>
      <c r="N1156" s="7" t="n"/>
      <c r="O1156" s="7" t="n"/>
      <c r="P1156" s="8" t="n"/>
      <c r="R1156" s="37">
        <f>IF($R$1152="언어와 매체",회차설정!$E$9,회차설정!$E$8)</f>
        <v/>
      </c>
      <c r="S1156" s="37">
        <f>IF($R$1152="","",IFERROR(IF($R$1152="언어와 매체",MATCH(6,회차설정!$G$13:$G$27,0),MATCH(6,회차설정!$F$13:$F$27,0)),""))</f>
        <v/>
      </c>
    </row>
    <row r="1157" ht="34" customHeight="1">
      <c r="A1157" s="41">
        <f>IF($R$1151="","",INDEX(전체채점!$C$3:$C$62,$R$1151))</f>
        <v/>
      </c>
      <c r="B1157" s="7" t="n"/>
      <c r="C1157" s="7" t="n"/>
      <c r="D1157" s="7" t="n"/>
      <c r="E1157" s="8" t="n"/>
      <c r="F1157" s="42">
        <f>IF($R$1151="","",INDEX(전체채점!$D$3:$D$62,$R$1151))</f>
        <v/>
      </c>
      <c r="G1157" s="7" t="n"/>
      <c r="H1157" s="8" t="n"/>
      <c r="I1157" s="43">
        <f>IF($R$1151="","",$R$1153&amp;"-"&amp;$R$1154&amp;"-"&amp;$R$1155&amp;"-"&amp;$R$1156)</f>
        <v/>
      </c>
      <c r="J1157" s="7" t="n"/>
      <c r="K1157" s="7" t="n"/>
      <c r="L1157" s="8" t="n"/>
      <c r="M1157" s="44">
        <f>IFERROR(AVERAGEIF(전체채점!$B$3:$B$62,$R$1152,전체채점!$C$3:$C$62),"")</f>
        <v/>
      </c>
      <c r="N1157" s="7" t="n"/>
      <c r="O1157" s="7" t="n"/>
      <c r="P1157" s="8" t="n"/>
      <c r="S1157" s="37">
        <f>IF($R$1152="","",IFERROR(IF($R$1152="언어와 매체",MATCH(7,회차설정!$G$13:$G$27,0),MATCH(7,회차설정!$F$13:$F$27,0)),""))</f>
        <v/>
      </c>
    </row>
    <row r="1158">
      <c r="S1158" s="37">
        <f>IF($R$1152="","",IFERROR(IF($R$1152="언어와 매체",MATCH(8,회차설정!$G$13:$G$27,0),MATCH(8,회차설정!$F$13:$F$27,0)),""))</f>
        <v/>
      </c>
    </row>
    <row r="1159">
      <c r="A1159" s="12" t="inlineStr">
        <is>
          <t>3. 영역분류별 성취도 분석</t>
        </is>
      </c>
      <c r="F1159" s="45">
        <f>IF(OR($R$1151="",$E1173=""),"",IF($E1173=INDEX(전체채점!$C$3:$C$62,$R$1151),"","※ 회차설정의 영역 표를 확인하세요 — 영역 합계와 점수가 다릅니다"))</f>
        <v/>
      </c>
      <c r="S1159" s="37">
        <f>IF($R$1152="","",IFERROR(IF($R$1152="언어와 매체",MATCH(9,회차설정!$G$13:$G$27,0),MATCH(9,회차설정!$F$13:$F$27,0)),""))</f>
        <v/>
      </c>
    </row>
    <row r="1160">
      <c r="A1160" s="13" t="inlineStr">
        <is>
          <t>분류</t>
        </is>
      </c>
      <c r="B1160" s="13" t="inlineStr">
        <is>
          <t>영역</t>
        </is>
      </c>
      <c r="C1160" s="8" t="n"/>
      <c r="D1160" s="13" t="inlineStr">
        <is>
          <t>배점</t>
        </is>
      </c>
      <c r="E1160" s="13" t="inlineStr">
        <is>
          <t>득점</t>
        </is>
      </c>
      <c r="F1160" s="13" t="inlineStr">
        <is>
          <t>성취도(%)</t>
        </is>
      </c>
      <c r="G1160" s="8" t="n"/>
      <c r="H1160" s="13" t="inlineStr"/>
      <c r="I1160" s="7" t="n"/>
      <c r="J1160" s="7" t="n"/>
      <c r="K1160" s="7" t="n"/>
      <c r="L1160" s="7" t="n"/>
      <c r="M1160" s="7" t="n"/>
      <c r="N1160" s="7" t="n"/>
      <c r="O1160" s="7" t="n"/>
      <c r="P1160" s="8" t="n"/>
      <c r="S1160" s="37">
        <f>IF($R$1152="","",IFERROR(IF($R$1152="언어와 매체",MATCH(10,회차설정!$G$13:$G$27,0),MATCH(10,회차설정!$F$13:$F$27,0)),""))</f>
        <v/>
      </c>
    </row>
    <row r="1161">
      <c r="A1161" s="14">
        <f>IF($S$1151="","",INDEX(회차설정!$A$13:$A$27,$S$1151))</f>
        <v/>
      </c>
      <c r="B1161" s="14">
        <f>IF($S$1151="","",INDEX(회차설정!$B$13:$B$27,$S$1151))</f>
        <v/>
      </c>
      <c r="C1161" s="8" t="n"/>
      <c r="D1161" s="14">
        <f>IF($S$1151="","",IF($R$1152="언어와 매체",SUMPRODUCT((자동계산!$A$4:$A$48&gt;=INDEX(회차설정!$C$13:$C$27,$S$1151))*(자동계산!$A$4:$A$48&lt;=INDEX(회차설정!$D$13:$D$27,$S$1151))*자동계산!$E$4:$E$48),SUMPRODUCT((자동계산!$A$4:$A$48&gt;=INDEX(회차설정!$C$13:$C$27,$S$1151))*(자동계산!$A$4:$A$48&lt;=INDEX(회차설정!$D$13:$D$27,$S$1151))*자동계산!$C$4:$C$48)))</f>
        <v/>
      </c>
      <c r="E1161" s="14">
        <f>IF(OR($S$1151="",$R$1151=""),"",SUM(OFFSET(전체채점!$AW$2,$R$1151,INDEX(회차설정!$C$13:$C$27,$S$1151),1,INDEX(회차설정!$D$13:$D$27,$S$1151)-INDEX(회차설정!$C$13:$C$27,$S$1151)+1)))</f>
        <v/>
      </c>
      <c r="F1161" s="46">
        <f>IF(OR($S$1151="",$D1161=0,$D1161="",$E1161=""),"",$E1161/$D1161*100)</f>
        <v/>
      </c>
      <c r="G1161" s="8" t="n"/>
      <c r="H1161" s="47">
        <f>IF($F1161="","",REPT("■",ROUND($F1161/5,0)))</f>
        <v/>
      </c>
      <c r="I1161" s="7" t="n"/>
      <c r="J1161" s="7" t="n"/>
      <c r="K1161" s="7" t="n"/>
      <c r="L1161" s="7" t="n"/>
      <c r="M1161" s="7" t="n"/>
      <c r="N1161" s="7" t="n"/>
      <c r="O1161" s="7" t="n"/>
      <c r="P1161" s="8" t="n"/>
      <c r="S1161" s="37">
        <f>IF($R$1152="","",IFERROR(IF($R$1152="언어와 매체",MATCH(11,회차설정!$G$13:$G$27,0),MATCH(11,회차설정!$F$13:$F$27,0)),""))</f>
        <v/>
      </c>
    </row>
    <row r="1162">
      <c r="A1162" s="14">
        <f>IF($S$1152="","",INDEX(회차설정!$A$13:$A$27,$S$1152))</f>
        <v/>
      </c>
      <c r="B1162" s="14">
        <f>IF($S$1152="","",INDEX(회차설정!$B$13:$B$27,$S$1152))</f>
        <v/>
      </c>
      <c r="C1162" s="8" t="n"/>
      <c r="D1162" s="14">
        <f>IF($S$1152="","",IF($R$1152="언어와 매체",SUMPRODUCT((자동계산!$A$4:$A$48&gt;=INDEX(회차설정!$C$13:$C$27,$S$1152))*(자동계산!$A$4:$A$48&lt;=INDEX(회차설정!$D$13:$D$27,$S$1152))*자동계산!$E$4:$E$48),SUMPRODUCT((자동계산!$A$4:$A$48&gt;=INDEX(회차설정!$C$13:$C$27,$S$1152))*(자동계산!$A$4:$A$48&lt;=INDEX(회차설정!$D$13:$D$27,$S$1152))*자동계산!$C$4:$C$48)))</f>
        <v/>
      </c>
      <c r="E1162" s="14">
        <f>IF(OR($S$1152="",$R$1151=""),"",SUM(OFFSET(전체채점!$AW$2,$R$1151,INDEX(회차설정!$C$13:$C$27,$S$1152),1,INDEX(회차설정!$D$13:$D$27,$S$1152)-INDEX(회차설정!$C$13:$C$27,$S$1152)+1)))</f>
        <v/>
      </c>
      <c r="F1162" s="46">
        <f>IF(OR($S$1152="",$D1162=0,$D1162="",$E1162=""),"",$E1162/$D1162*100)</f>
        <v/>
      </c>
      <c r="G1162" s="8" t="n"/>
      <c r="H1162" s="47">
        <f>IF($F1162="","",REPT("■",ROUND($F1162/5,0)))</f>
        <v/>
      </c>
      <c r="I1162" s="7" t="n"/>
      <c r="J1162" s="7" t="n"/>
      <c r="K1162" s="7" t="n"/>
      <c r="L1162" s="7" t="n"/>
      <c r="M1162" s="7" t="n"/>
      <c r="N1162" s="7" t="n"/>
      <c r="O1162" s="7" t="n"/>
      <c r="P1162" s="8" t="n"/>
      <c r="S1162" s="37">
        <f>IF($R$1152="","",IFERROR(IF($R$1152="언어와 매체",MATCH(12,회차설정!$G$13:$G$27,0),MATCH(12,회차설정!$F$13:$F$27,0)),""))</f>
        <v/>
      </c>
    </row>
    <row r="1163">
      <c r="A1163" s="14">
        <f>IF($S$1153="","",INDEX(회차설정!$A$13:$A$27,$S$1153))</f>
        <v/>
      </c>
      <c r="B1163" s="14">
        <f>IF($S$1153="","",INDEX(회차설정!$B$13:$B$27,$S$1153))</f>
        <v/>
      </c>
      <c r="C1163" s="8" t="n"/>
      <c r="D1163" s="14">
        <f>IF($S$1153="","",IF($R$1152="언어와 매체",SUMPRODUCT((자동계산!$A$4:$A$48&gt;=INDEX(회차설정!$C$13:$C$27,$S$1153))*(자동계산!$A$4:$A$48&lt;=INDEX(회차설정!$D$13:$D$27,$S$1153))*자동계산!$E$4:$E$48),SUMPRODUCT((자동계산!$A$4:$A$48&gt;=INDEX(회차설정!$C$13:$C$27,$S$1153))*(자동계산!$A$4:$A$48&lt;=INDEX(회차설정!$D$13:$D$27,$S$1153))*자동계산!$C$4:$C$48)))</f>
        <v/>
      </c>
      <c r="E1163" s="14">
        <f>IF(OR($S$1153="",$R$1151=""),"",SUM(OFFSET(전체채점!$AW$2,$R$1151,INDEX(회차설정!$C$13:$C$27,$S$1153),1,INDEX(회차설정!$D$13:$D$27,$S$1153)-INDEX(회차설정!$C$13:$C$27,$S$1153)+1)))</f>
        <v/>
      </c>
      <c r="F1163" s="46">
        <f>IF(OR($S$1153="",$D1163=0,$D1163="",$E1163=""),"",$E1163/$D1163*100)</f>
        <v/>
      </c>
      <c r="G1163" s="8" t="n"/>
      <c r="H1163" s="47">
        <f>IF($F1163="","",REPT("■",ROUND($F1163/5,0)))</f>
        <v/>
      </c>
      <c r="I1163" s="7" t="n"/>
      <c r="J1163" s="7" t="n"/>
      <c r="K1163" s="7" t="n"/>
      <c r="L1163" s="7" t="n"/>
      <c r="M1163" s="7" t="n"/>
      <c r="N1163" s="7" t="n"/>
      <c r="O1163" s="7" t="n"/>
      <c r="P1163" s="8" t="n"/>
    </row>
    <row r="1164">
      <c r="A1164" s="14">
        <f>IF($S$1154="","",INDEX(회차설정!$A$13:$A$27,$S$1154))</f>
        <v/>
      </c>
      <c r="B1164" s="14">
        <f>IF($S$1154="","",INDEX(회차설정!$B$13:$B$27,$S$1154))</f>
        <v/>
      </c>
      <c r="C1164" s="8" t="n"/>
      <c r="D1164" s="14">
        <f>IF($S$1154="","",IF($R$1152="언어와 매체",SUMPRODUCT((자동계산!$A$4:$A$48&gt;=INDEX(회차설정!$C$13:$C$27,$S$1154))*(자동계산!$A$4:$A$48&lt;=INDEX(회차설정!$D$13:$D$27,$S$1154))*자동계산!$E$4:$E$48),SUMPRODUCT((자동계산!$A$4:$A$48&gt;=INDEX(회차설정!$C$13:$C$27,$S$1154))*(자동계산!$A$4:$A$48&lt;=INDEX(회차설정!$D$13:$D$27,$S$1154))*자동계산!$C$4:$C$48)))</f>
        <v/>
      </c>
      <c r="E1164" s="14">
        <f>IF(OR($S$1154="",$R$1151=""),"",SUM(OFFSET(전체채점!$AW$2,$R$1151,INDEX(회차설정!$C$13:$C$27,$S$1154),1,INDEX(회차설정!$D$13:$D$27,$S$1154)-INDEX(회차설정!$C$13:$C$27,$S$1154)+1)))</f>
        <v/>
      </c>
      <c r="F1164" s="46">
        <f>IF(OR($S$1154="",$D1164=0,$D1164="",$E1164=""),"",$E1164/$D1164*100)</f>
        <v/>
      </c>
      <c r="G1164" s="8" t="n"/>
      <c r="H1164" s="47">
        <f>IF($F1164="","",REPT("■",ROUND($F1164/5,0)))</f>
        <v/>
      </c>
      <c r="I1164" s="7" t="n"/>
      <c r="J1164" s="7" t="n"/>
      <c r="K1164" s="7" t="n"/>
      <c r="L1164" s="7" t="n"/>
      <c r="M1164" s="7" t="n"/>
      <c r="N1164" s="7" t="n"/>
      <c r="O1164" s="7" t="n"/>
      <c r="P1164" s="8" t="n"/>
    </row>
    <row r="1165">
      <c r="A1165" s="14">
        <f>IF($S$1155="","",INDEX(회차설정!$A$13:$A$27,$S$1155))</f>
        <v/>
      </c>
      <c r="B1165" s="14">
        <f>IF($S$1155="","",INDEX(회차설정!$B$13:$B$27,$S$1155))</f>
        <v/>
      </c>
      <c r="C1165" s="8" t="n"/>
      <c r="D1165" s="14">
        <f>IF($S$1155="","",IF($R$1152="언어와 매체",SUMPRODUCT((자동계산!$A$4:$A$48&gt;=INDEX(회차설정!$C$13:$C$27,$S$1155))*(자동계산!$A$4:$A$48&lt;=INDEX(회차설정!$D$13:$D$27,$S$1155))*자동계산!$E$4:$E$48),SUMPRODUCT((자동계산!$A$4:$A$48&gt;=INDEX(회차설정!$C$13:$C$27,$S$1155))*(자동계산!$A$4:$A$48&lt;=INDEX(회차설정!$D$13:$D$27,$S$1155))*자동계산!$C$4:$C$48)))</f>
        <v/>
      </c>
      <c r="E1165" s="14">
        <f>IF(OR($S$1155="",$R$1151=""),"",SUM(OFFSET(전체채점!$AW$2,$R$1151,INDEX(회차설정!$C$13:$C$27,$S$1155),1,INDEX(회차설정!$D$13:$D$27,$S$1155)-INDEX(회차설정!$C$13:$C$27,$S$1155)+1)))</f>
        <v/>
      </c>
      <c r="F1165" s="46">
        <f>IF(OR($S$1155="",$D1165=0,$D1165="",$E1165=""),"",$E1165/$D1165*100)</f>
        <v/>
      </c>
      <c r="G1165" s="8" t="n"/>
      <c r="H1165" s="47">
        <f>IF($F1165="","",REPT("■",ROUND($F1165/5,0)))</f>
        <v/>
      </c>
      <c r="I1165" s="7" t="n"/>
      <c r="J1165" s="7" t="n"/>
      <c r="K1165" s="7" t="n"/>
      <c r="L1165" s="7" t="n"/>
      <c r="M1165" s="7" t="n"/>
      <c r="N1165" s="7" t="n"/>
      <c r="O1165" s="7" t="n"/>
      <c r="P1165" s="8" t="n"/>
    </row>
    <row r="1166">
      <c r="A1166" s="14">
        <f>IF($S$1156="","",INDEX(회차설정!$A$13:$A$27,$S$1156))</f>
        <v/>
      </c>
      <c r="B1166" s="14">
        <f>IF($S$1156="","",INDEX(회차설정!$B$13:$B$27,$S$1156))</f>
        <v/>
      </c>
      <c r="C1166" s="8" t="n"/>
      <c r="D1166" s="14">
        <f>IF($S$1156="","",IF($R$1152="언어와 매체",SUMPRODUCT((자동계산!$A$4:$A$48&gt;=INDEX(회차설정!$C$13:$C$27,$S$1156))*(자동계산!$A$4:$A$48&lt;=INDEX(회차설정!$D$13:$D$27,$S$1156))*자동계산!$E$4:$E$48),SUMPRODUCT((자동계산!$A$4:$A$48&gt;=INDEX(회차설정!$C$13:$C$27,$S$1156))*(자동계산!$A$4:$A$48&lt;=INDEX(회차설정!$D$13:$D$27,$S$1156))*자동계산!$C$4:$C$48)))</f>
        <v/>
      </c>
      <c r="E1166" s="14">
        <f>IF(OR($S$1156="",$R$1151=""),"",SUM(OFFSET(전체채점!$AW$2,$R$1151,INDEX(회차설정!$C$13:$C$27,$S$1156),1,INDEX(회차설정!$D$13:$D$27,$S$1156)-INDEX(회차설정!$C$13:$C$27,$S$1156)+1)))</f>
        <v/>
      </c>
      <c r="F1166" s="46">
        <f>IF(OR($S$1156="",$D1166=0,$D1166="",$E1166=""),"",$E1166/$D1166*100)</f>
        <v/>
      </c>
      <c r="G1166" s="8" t="n"/>
      <c r="H1166" s="47">
        <f>IF($F1166="","",REPT("■",ROUND($F1166/5,0)))</f>
        <v/>
      </c>
      <c r="I1166" s="7" t="n"/>
      <c r="J1166" s="7" t="n"/>
      <c r="K1166" s="7" t="n"/>
      <c r="L1166" s="7" t="n"/>
      <c r="M1166" s="7" t="n"/>
      <c r="N1166" s="7" t="n"/>
      <c r="O1166" s="7" t="n"/>
      <c r="P1166" s="8" t="n"/>
    </row>
    <row r="1167">
      <c r="A1167" s="14">
        <f>IF($S$1157="","",INDEX(회차설정!$A$13:$A$27,$S$1157))</f>
        <v/>
      </c>
      <c r="B1167" s="14">
        <f>IF($S$1157="","",INDEX(회차설정!$B$13:$B$27,$S$1157))</f>
        <v/>
      </c>
      <c r="C1167" s="8" t="n"/>
      <c r="D1167" s="14">
        <f>IF($S$1157="","",IF($R$1152="언어와 매체",SUMPRODUCT((자동계산!$A$4:$A$48&gt;=INDEX(회차설정!$C$13:$C$27,$S$1157))*(자동계산!$A$4:$A$48&lt;=INDEX(회차설정!$D$13:$D$27,$S$1157))*자동계산!$E$4:$E$48),SUMPRODUCT((자동계산!$A$4:$A$48&gt;=INDEX(회차설정!$C$13:$C$27,$S$1157))*(자동계산!$A$4:$A$48&lt;=INDEX(회차설정!$D$13:$D$27,$S$1157))*자동계산!$C$4:$C$48)))</f>
        <v/>
      </c>
      <c r="E1167" s="14">
        <f>IF(OR($S$1157="",$R$1151=""),"",SUM(OFFSET(전체채점!$AW$2,$R$1151,INDEX(회차설정!$C$13:$C$27,$S$1157),1,INDEX(회차설정!$D$13:$D$27,$S$1157)-INDEX(회차설정!$C$13:$C$27,$S$1157)+1)))</f>
        <v/>
      </c>
      <c r="F1167" s="46">
        <f>IF(OR($S$1157="",$D1167=0,$D1167="",$E1167=""),"",$E1167/$D1167*100)</f>
        <v/>
      </c>
      <c r="G1167" s="8" t="n"/>
      <c r="H1167" s="47">
        <f>IF($F1167="","",REPT("■",ROUND($F1167/5,0)))</f>
        <v/>
      </c>
      <c r="I1167" s="7" t="n"/>
      <c r="J1167" s="7" t="n"/>
      <c r="K1167" s="7" t="n"/>
      <c r="L1167" s="7" t="n"/>
      <c r="M1167" s="7" t="n"/>
      <c r="N1167" s="7" t="n"/>
      <c r="O1167" s="7" t="n"/>
      <c r="P1167" s="8" t="n"/>
    </row>
    <row r="1168">
      <c r="A1168" s="14">
        <f>IF($S$1158="","",INDEX(회차설정!$A$13:$A$27,$S$1158))</f>
        <v/>
      </c>
      <c r="B1168" s="14">
        <f>IF($S$1158="","",INDEX(회차설정!$B$13:$B$27,$S$1158))</f>
        <v/>
      </c>
      <c r="C1168" s="8" t="n"/>
      <c r="D1168" s="14">
        <f>IF($S$1158="","",IF($R$1152="언어와 매체",SUMPRODUCT((자동계산!$A$4:$A$48&gt;=INDEX(회차설정!$C$13:$C$27,$S$1158))*(자동계산!$A$4:$A$48&lt;=INDEX(회차설정!$D$13:$D$27,$S$1158))*자동계산!$E$4:$E$48),SUMPRODUCT((자동계산!$A$4:$A$48&gt;=INDEX(회차설정!$C$13:$C$27,$S$1158))*(자동계산!$A$4:$A$48&lt;=INDEX(회차설정!$D$13:$D$27,$S$1158))*자동계산!$C$4:$C$48)))</f>
        <v/>
      </c>
      <c r="E1168" s="14">
        <f>IF(OR($S$1158="",$R$1151=""),"",SUM(OFFSET(전체채점!$AW$2,$R$1151,INDEX(회차설정!$C$13:$C$27,$S$1158),1,INDEX(회차설정!$D$13:$D$27,$S$1158)-INDEX(회차설정!$C$13:$C$27,$S$1158)+1)))</f>
        <v/>
      </c>
      <c r="F1168" s="46">
        <f>IF(OR($S$1158="",$D1168=0,$D1168="",$E1168=""),"",$E1168/$D1168*100)</f>
        <v/>
      </c>
      <c r="G1168" s="8" t="n"/>
      <c r="H1168" s="47">
        <f>IF($F1168="","",REPT("■",ROUND($F1168/5,0)))</f>
        <v/>
      </c>
      <c r="I1168" s="7" t="n"/>
      <c r="J1168" s="7" t="n"/>
      <c r="K1168" s="7" t="n"/>
      <c r="L1168" s="7" t="n"/>
      <c r="M1168" s="7" t="n"/>
      <c r="N1168" s="7" t="n"/>
      <c r="O1168" s="7" t="n"/>
      <c r="P1168" s="8" t="n"/>
    </row>
    <row r="1169">
      <c r="A1169" s="14">
        <f>IF($S$1159="","",INDEX(회차설정!$A$13:$A$27,$S$1159))</f>
        <v/>
      </c>
      <c r="B1169" s="14">
        <f>IF($S$1159="","",INDEX(회차설정!$B$13:$B$27,$S$1159))</f>
        <v/>
      </c>
      <c r="C1169" s="8" t="n"/>
      <c r="D1169" s="14">
        <f>IF($S$1159="","",IF($R$1152="언어와 매체",SUMPRODUCT((자동계산!$A$4:$A$48&gt;=INDEX(회차설정!$C$13:$C$27,$S$1159))*(자동계산!$A$4:$A$48&lt;=INDEX(회차설정!$D$13:$D$27,$S$1159))*자동계산!$E$4:$E$48),SUMPRODUCT((자동계산!$A$4:$A$48&gt;=INDEX(회차설정!$C$13:$C$27,$S$1159))*(자동계산!$A$4:$A$48&lt;=INDEX(회차설정!$D$13:$D$27,$S$1159))*자동계산!$C$4:$C$48)))</f>
        <v/>
      </c>
      <c r="E1169" s="14">
        <f>IF(OR($S$1159="",$R$1151=""),"",SUM(OFFSET(전체채점!$AW$2,$R$1151,INDEX(회차설정!$C$13:$C$27,$S$1159),1,INDEX(회차설정!$D$13:$D$27,$S$1159)-INDEX(회차설정!$C$13:$C$27,$S$1159)+1)))</f>
        <v/>
      </c>
      <c r="F1169" s="46">
        <f>IF(OR($S$1159="",$D1169=0,$D1169="",$E1169=""),"",$E1169/$D1169*100)</f>
        <v/>
      </c>
      <c r="G1169" s="8" t="n"/>
      <c r="H1169" s="47">
        <f>IF($F1169="","",REPT("■",ROUND($F1169/5,0)))</f>
        <v/>
      </c>
      <c r="I1169" s="7" t="n"/>
      <c r="J1169" s="7" t="n"/>
      <c r="K1169" s="7" t="n"/>
      <c r="L1169" s="7" t="n"/>
      <c r="M1169" s="7" t="n"/>
      <c r="N1169" s="7" t="n"/>
      <c r="O1169" s="7" t="n"/>
      <c r="P1169" s="8" t="n"/>
    </row>
    <row r="1170">
      <c r="A1170" s="14">
        <f>IF($S$1160="","",INDEX(회차설정!$A$13:$A$27,$S$1160))</f>
        <v/>
      </c>
      <c r="B1170" s="14">
        <f>IF($S$1160="","",INDEX(회차설정!$B$13:$B$27,$S$1160))</f>
        <v/>
      </c>
      <c r="C1170" s="8" t="n"/>
      <c r="D1170" s="14">
        <f>IF($S$1160="","",IF($R$1152="언어와 매체",SUMPRODUCT((자동계산!$A$4:$A$48&gt;=INDEX(회차설정!$C$13:$C$27,$S$1160))*(자동계산!$A$4:$A$48&lt;=INDEX(회차설정!$D$13:$D$27,$S$1160))*자동계산!$E$4:$E$48),SUMPRODUCT((자동계산!$A$4:$A$48&gt;=INDEX(회차설정!$C$13:$C$27,$S$1160))*(자동계산!$A$4:$A$48&lt;=INDEX(회차설정!$D$13:$D$27,$S$1160))*자동계산!$C$4:$C$48)))</f>
        <v/>
      </c>
      <c r="E1170" s="14">
        <f>IF(OR($S$1160="",$R$1151=""),"",SUM(OFFSET(전체채점!$AW$2,$R$1151,INDEX(회차설정!$C$13:$C$27,$S$1160),1,INDEX(회차설정!$D$13:$D$27,$S$1160)-INDEX(회차설정!$C$13:$C$27,$S$1160)+1)))</f>
        <v/>
      </c>
      <c r="F1170" s="46">
        <f>IF(OR($S$1160="",$D1170=0,$D1170="",$E1170=""),"",$E1170/$D1170*100)</f>
        <v/>
      </c>
      <c r="G1170" s="8" t="n"/>
      <c r="H1170" s="47">
        <f>IF($F1170="","",REPT("■",ROUND($F1170/5,0)))</f>
        <v/>
      </c>
      <c r="I1170" s="7" t="n"/>
      <c r="J1170" s="7" t="n"/>
      <c r="K1170" s="7" t="n"/>
      <c r="L1170" s="7" t="n"/>
      <c r="M1170" s="7" t="n"/>
      <c r="N1170" s="7" t="n"/>
      <c r="O1170" s="7" t="n"/>
      <c r="P1170" s="8" t="n"/>
    </row>
    <row r="1171">
      <c r="A1171" s="14">
        <f>IF($S$1161="","",INDEX(회차설정!$A$13:$A$27,$S$1161))</f>
        <v/>
      </c>
      <c r="B1171" s="14">
        <f>IF($S$1161="","",INDEX(회차설정!$B$13:$B$27,$S$1161))</f>
        <v/>
      </c>
      <c r="C1171" s="8" t="n"/>
      <c r="D1171" s="14">
        <f>IF($S$1161="","",IF($R$1152="언어와 매체",SUMPRODUCT((자동계산!$A$4:$A$48&gt;=INDEX(회차설정!$C$13:$C$27,$S$1161))*(자동계산!$A$4:$A$48&lt;=INDEX(회차설정!$D$13:$D$27,$S$1161))*자동계산!$E$4:$E$48),SUMPRODUCT((자동계산!$A$4:$A$48&gt;=INDEX(회차설정!$C$13:$C$27,$S$1161))*(자동계산!$A$4:$A$48&lt;=INDEX(회차설정!$D$13:$D$27,$S$1161))*자동계산!$C$4:$C$48)))</f>
        <v/>
      </c>
      <c r="E1171" s="14">
        <f>IF(OR($S$1161="",$R$1151=""),"",SUM(OFFSET(전체채점!$AW$2,$R$1151,INDEX(회차설정!$C$13:$C$27,$S$1161),1,INDEX(회차설정!$D$13:$D$27,$S$1161)-INDEX(회차설정!$C$13:$C$27,$S$1161)+1)))</f>
        <v/>
      </c>
      <c r="F1171" s="46">
        <f>IF(OR($S$1161="",$D1171=0,$D1171="",$E1171=""),"",$E1171/$D1171*100)</f>
        <v/>
      </c>
      <c r="G1171" s="8" t="n"/>
      <c r="H1171" s="47">
        <f>IF($F1171="","",REPT("■",ROUND($F1171/5,0)))</f>
        <v/>
      </c>
      <c r="I1171" s="7" t="n"/>
      <c r="J1171" s="7" t="n"/>
      <c r="K1171" s="7" t="n"/>
      <c r="L1171" s="7" t="n"/>
      <c r="M1171" s="7" t="n"/>
      <c r="N1171" s="7" t="n"/>
      <c r="O1171" s="7" t="n"/>
      <c r="P1171" s="8" t="n"/>
    </row>
    <row r="1172">
      <c r="A1172" s="14">
        <f>IF($S$1162="","",INDEX(회차설정!$A$13:$A$27,$S$1162))</f>
        <v/>
      </c>
      <c r="B1172" s="14">
        <f>IF($S$1162="","",INDEX(회차설정!$B$13:$B$27,$S$1162))</f>
        <v/>
      </c>
      <c r="C1172" s="8" t="n"/>
      <c r="D1172" s="14">
        <f>IF($S$1162="","",IF($R$1152="언어와 매체",SUMPRODUCT((자동계산!$A$4:$A$48&gt;=INDEX(회차설정!$C$13:$C$27,$S$1162))*(자동계산!$A$4:$A$48&lt;=INDEX(회차설정!$D$13:$D$27,$S$1162))*자동계산!$E$4:$E$48),SUMPRODUCT((자동계산!$A$4:$A$48&gt;=INDEX(회차설정!$C$13:$C$27,$S$1162))*(자동계산!$A$4:$A$48&lt;=INDEX(회차설정!$D$13:$D$27,$S$1162))*자동계산!$C$4:$C$48)))</f>
        <v/>
      </c>
      <c r="E1172" s="14">
        <f>IF(OR($S$1162="",$R$1151=""),"",SUM(OFFSET(전체채점!$AW$2,$R$1151,INDEX(회차설정!$C$13:$C$27,$S$1162),1,INDEX(회차설정!$D$13:$D$27,$S$1162)-INDEX(회차설정!$C$13:$C$27,$S$1162)+1)))</f>
        <v/>
      </c>
      <c r="F1172" s="46">
        <f>IF(OR($S$1162="",$D1172=0,$D1172="",$E1172=""),"",$E1172/$D1172*100)</f>
        <v/>
      </c>
      <c r="G1172" s="8" t="n"/>
      <c r="H1172" s="47">
        <f>IF($F1172="","",REPT("■",ROUND($F1172/5,0)))</f>
        <v/>
      </c>
      <c r="I1172" s="7" t="n"/>
      <c r="J1172" s="7" t="n"/>
      <c r="K1172" s="7" t="n"/>
      <c r="L1172" s="7" t="n"/>
      <c r="M1172" s="7" t="n"/>
      <c r="N1172" s="7" t="n"/>
      <c r="O1172" s="7" t="n"/>
      <c r="P1172" s="8" t="n"/>
    </row>
    <row r="1173">
      <c r="A1173" s="5">
        <f>IF($R$1151="","","합계")</f>
        <v/>
      </c>
      <c r="B1173" s="7" t="n"/>
      <c r="C1173" s="8" t="n"/>
      <c r="D1173" s="5">
        <f>IF($R$1151="","",SUM(D1161:D1172))</f>
        <v/>
      </c>
      <c r="E1173" s="5">
        <f>IF($R$1151="","",SUM(E1161:E1172))</f>
        <v/>
      </c>
      <c r="F1173" s="48">
        <f>IF(OR($D1173=0,$D1173=""),"",$E1173/$D1173*100)</f>
        <v/>
      </c>
      <c r="G1173" s="8" t="n"/>
      <c r="H1173" s="49">
        <f>IF($F1173="","",REPT("■",ROUND($F1173/5,0)))</f>
        <v/>
      </c>
      <c r="I1173" s="7" t="n"/>
      <c r="J1173" s="7" t="n"/>
      <c r="K1173" s="7" t="n"/>
      <c r="L1173" s="7" t="n"/>
      <c r="M1173" s="7" t="n"/>
      <c r="N1173" s="7" t="n"/>
      <c r="O1173" s="7" t="n"/>
      <c r="P1173" s="8" t="n"/>
    </row>
    <row r="1175">
      <c r="A1175" s="12" t="inlineStr">
        <is>
          <t>4. 문항 채점표</t>
        </is>
      </c>
    </row>
    <row r="1176">
      <c r="A1176" s="50" t="inlineStr">
        <is>
          <t>문항 번호</t>
        </is>
      </c>
      <c r="B1176" s="51" t="n">
        <v>1</v>
      </c>
      <c r="C1176" s="51" t="n">
        <v>2</v>
      </c>
      <c r="D1176" s="51" t="n">
        <v>3</v>
      </c>
      <c r="E1176" s="51" t="n">
        <v>4</v>
      </c>
      <c r="F1176" s="51" t="n">
        <v>5</v>
      </c>
      <c r="G1176" s="51" t="n">
        <v>6</v>
      </c>
      <c r="H1176" s="51" t="n">
        <v>7</v>
      </c>
      <c r="I1176" s="51" t="n">
        <v>8</v>
      </c>
      <c r="J1176" s="51" t="n">
        <v>9</v>
      </c>
      <c r="K1176" s="51" t="n">
        <v>10</v>
      </c>
      <c r="L1176" s="51" t="n">
        <v>11</v>
      </c>
      <c r="M1176" s="51" t="n">
        <v>12</v>
      </c>
      <c r="N1176" s="51" t="n">
        <v>13</v>
      </c>
      <c r="O1176" s="51" t="n">
        <v>14</v>
      </c>
      <c r="P1176" s="51" t="n">
        <v>15</v>
      </c>
    </row>
    <row r="1177">
      <c r="A1177" s="52" t="inlineStr">
        <is>
          <t>정답</t>
        </is>
      </c>
      <c r="B1177" s="33">
        <f>IF($R$1152="","",IF($R$1152="언어와 매체",자동계산!$D$4,자동계산!$B$4))</f>
        <v/>
      </c>
      <c r="C1177" s="33">
        <f>IF($R$1152="","",IF($R$1152="언어와 매체",자동계산!$D$5,자동계산!$B$5))</f>
        <v/>
      </c>
      <c r="D1177" s="33">
        <f>IF($R$1152="","",IF($R$1152="언어와 매체",자동계산!$D$6,자동계산!$B$6))</f>
        <v/>
      </c>
      <c r="E1177" s="33">
        <f>IF($R$1152="","",IF($R$1152="언어와 매체",자동계산!$D$7,자동계산!$B$7))</f>
        <v/>
      </c>
      <c r="F1177" s="33">
        <f>IF($R$1152="","",IF($R$1152="언어와 매체",자동계산!$D$8,자동계산!$B$8))</f>
        <v/>
      </c>
      <c r="G1177" s="33">
        <f>IF($R$1152="","",IF($R$1152="언어와 매체",자동계산!$D$9,자동계산!$B$9))</f>
        <v/>
      </c>
      <c r="H1177" s="33">
        <f>IF($R$1152="","",IF($R$1152="언어와 매체",자동계산!$D$10,자동계산!$B$10))</f>
        <v/>
      </c>
      <c r="I1177" s="33">
        <f>IF($R$1152="","",IF($R$1152="언어와 매체",자동계산!$D$11,자동계산!$B$11))</f>
        <v/>
      </c>
      <c r="J1177" s="33">
        <f>IF($R$1152="","",IF($R$1152="언어와 매체",자동계산!$D$12,자동계산!$B$12))</f>
        <v/>
      </c>
      <c r="K1177" s="33">
        <f>IF($R$1152="","",IF($R$1152="언어와 매체",자동계산!$D$13,자동계산!$B$13))</f>
        <v/>
      </c>
      <c r="L1177" s="33">
        <f>IF($R$1152="","",IF($R$1152="언어와 매체",자동계산!$D$14,자동계산!$B$14))</f>
        <v/>
      </c>
      <c r="M1177" s="33">
        <f>IF($R$1152="","",IF($R$1152="언어와 매체",자동계산!$D$15,자동계산!$B$15))</f>
        <v/>
      </c>
      <c r="N1177" s="33">
        <f>IF($R$1152="","",IF($R$1152="언어와 매체",자동계산!$D$16,자동계산!$B$16))</f>
        <v/>
      </c>
      <c r="O1177" s="33">
        <f>IF($R$1152="","",IF($R$1152="언어와 매체",자동계산!$D$17,자동계산!$B$17))</f>
        <v/>
      </c>
      <c r="P1177" s="33">
        <f>IF($R$1152="","",IF($R$1152="언어와 매체",자동계산!$D$18,자동계산!$B$18))</f>
        <v/>
      </c>
    </row>
    <row r="1178">
      <c r="A1178" s="52" t="inlineStr">
        <is>
          <t>학생답안</t>
        </is>
      </c>
      <c r="B1178" s="33">
        <f>IF($R$1151="","",INDEX(전체채점!E$3:E$62,$R$1151))</f>
        <v/>
      </c>
      <c r="C1178" s="33">
        <f>IF($R$1151="","",INDEX(전체채점!F$3:F$62,$R$1151))</f>
        <v/>
      </c>
      <c r="D1178" s="33">
        <f>IF($R$1151="","",INDEX(전체채점!G$3:G$62,$R$1151))</f>
        <v/>
      </c>
      <c r="E1178" s="33">
        <f>IF($R$1151="","",INDEX(전체채점!H$3:H$62,$R$1151))</f>
        <v/>
      </c>
      <c r="F1178" s="33">
        <f>IF($R$1151="","",INDEX(전체채점!I$3:I$62,$R$1151))</f>
        <v/>
      </c>
      <c r="G1178" s="33">
        <f>IF($R$1151="","",INDEX(전체채점!J$3:J$62,$R$1151))</f>
        <v/>
      </c>
      <c r="H1178" s="33">
        <f>IF($R$1151="","",INDEX(전체채점!K$3:K$62,$R$1151))</f>
        <v/>
      </c>
      <c r="I1178" s="33">
        <f>IF($R$1151="","",INDEX(전체채점!L$3:L$62,$R$1151))</f>
        <v/>
      </c>
      <c r="J1178" s="33">
        <f>IF($R$1151="","",INDEX(전체채점!M$3:M$62,$R$1151))</f>
        <v/>
      </c>
      <c r="K1178" s="33">
        <f>IF($R$1151="","",INDEX(전체채점!N$3:N$62,$R$1151))</f>
        <v/>
      </c>
      <c r="L1178" s="33">
        <f>IF($R$1151="","",INDEX(전체채점!O$3:O$62,$R$1151))</f>
        <v/>
      </c>
      <c r="M1178" s="33">
        <f>IF($R$1151="","",INDEX(전체채점!P$3:P$62,$R$1151))</f>
        <v/>
      </c>
      <c r="N1178" s="33">
        <f>IF($R$1151="","",INDEX(전체채점!Q$3:Q$62,$R$1151))</f>
        <v/>
      </c>
      <c r="O1178" s="33">
        <f>IF($R$1151="","",INDEX(전체채점!R$3:R$62,$R$1151))</f>
        <v/>
      </c>
      <c r="P1178" s="33">
        <f>IF($R$1151="","",INDEX(전체채점!S$3:S$62,$R$1151))</f>
        <v/>
      </c>
    </row>
    <row r="1179">
      <c r="A1179" s="52" t="inlineStr">
        <is>
          <t>정오</t>
        </is>
      </c>
      <c r="B1179" s="33">
        <f>IF($R$1151="","",INDEX(전체채점!AX$3:AX$62,$R$1151))</f>
        <v/>
      </c>
      <c r="C1179" s="33">
        <f>IF($R$1151="","",INDEX(전체채점!AY$3:AY$62,$R$1151))</f>
        <v/>
      </c>
      <c r="D1179" s="33">
        <f>IF($R$1151="","",INDEX(전체채점!AZ$3:AZ$62,$R$1151))</f>
        <v/>
      </c>
      <c r="E1179" s="33">
        <f>IF($R$1151="","",INDEX(전체채점!BA$3:BA$62,$R$1151))</f>
        <v/>
      </c>
      <c r="F1179" s="33">
        <f>IF($R$1151="","",INDEX(전체채점!BB$3:BB$62,$R$1151))</f>
        <v/>
      </c>
      <c r="G1179" s="33">
        <f>IF($R$1151="","",INDEX(전체채점!BC$3:BC$62,$R$1151))</f>
        <v/>
      </c>
      <c r="H1179" s="33">
        <f>IF($R$1151="","",INDEX(전체채점!BD$3:BD$62,$R$1151))</f>
        <v/>
      </c>
      <c r="I1179" s="33">
        <f>IF($R$1151="","",INDEX(전체채점!BE$3:BE$62,$R$1151))</f>
        <v/>
      </c>
      <c r="J1179" s="33">
        <f>IF($R$1151="","",INDEX(전체채점!BF$3:BF$62,$R$1151))</f>
        <v/>
      </c>
      <c r="K1179" s="33">
        <f>IF($R$1151="","",INDEX(전체채점!BG$3:BG$62,$R$1151))</f>
        <v/>
      </c>
      <c r="L1179" s="33">
        <f>IF($R$1151="","",INDEX(전체채점!BH$3:BH$62,$R$1151))</f>
        <v/>
      </c>
      <c r="M1179" s="33">
        <f>IF($R$1151="","",INDEX(전체채점!BI$3:BI$62,$R$1151))</f>
        <v/>
      </c>
      <c r="N1179" s="33">
        <f>IF($R$1151="","",INDEX(전체채점!BJ$3:BJ$62,$R$1151))</f>
        <v/>
      </c>
      <c r="O1179" s="33">
        <f>IF($R$1151="","",INDEX(전체채점!BK$3:BK$62,$R$1151))</f>
        <v/>
      </c>
      <c r="P1179" s="33">
        <f>IF($R$1151="","",INDEX(전체채점!BL$3:BL$62,$R$1151))</f>
        <v/>
      </c>
    </row>
    <row r="1180">
      <c r="A1180" s="50" t="inlineStr">
        <is>
          <t>문항 번호</t>
        </is>
      </c>
      <c r="B1180" s="51" t="n">
        <v>16</v>
      </c>
      <c r="C1180" s="51" t="n">
        <v>17</v>
      </c>
      <c r="D1180" s="51" t="n">
        <v>18</v>
      </c>
      <c r="E1180" s="51" t="n">
        <v>19</v>
      </c>
      <c r="F1180" s="51" t="n">
        <v>20</v>
      </c>
      <c r="G1180" s="51" t="n">
        <v>21</v>
      </c>
      <c r="H1180" s="51" t="n">
        <v>22</v>
      </c>
      <c r="I1180" s="51" t="n">
        <v>23</v>
      </c>
      <c r="J1180" s="51" t="n">
        <v>24</v>
      </c>
      <c r="K1180" s="51" t="n">
        <v>25</v>
      </c>
      <c r="L1180" s="51" t="n">
        <v>26</v>
      </c>
      <c r="M1180" s="51" t="n">
        <v>27</v>
      </c>
      <c r="N1180" s="51" t="n">
        <v>28</v>
      </c>
      <c r="O1180" s="51" t="n">
        <v>29</v>
      </c>
      <c r="P1180" s="51" t="n">
        <v>30</v>
      </c>
    </row>
    <row r="1181">
      <c r="A1181" s="52" t="inlineStr">
        <is>
          <t>정답</t>
        </is>
      </c>
      <c r="B1181" s="33">
        <f>IF($R$1152="","",IF($R$1152="언어와 매체",자동계산!$D$19,자동계산!$B$19))</f>
        <v/>
      </c>
      <c r="C1181" s="33">
        <f>IF($R$1152="","",IF($R$1152="언어와 매체",자동계산!$D$20,자동계산!$B$20))</f>
        <v/>
      </c>
      <c r="D1181" s="33">
        <f>IF($R$1152="","",IF($R$1152="언어와 매체",자동계산!$D$21,자동계산!$B$21))</f>
        <v/>
      </c>
      <c r="E1181" s="33">
        <f>IF($R$1152="","",IF($R$1152="언어와 매체",자동계산!$D$22,자동계산!$B$22))</f>
        <v/>
      </c>
      <c r="F1181" s="33">
        <f>IF($R$1152="","",IF($R$1152="언어와 매체",자동계산!$D$23,자동계산!$B$23))</f>
        <v/>
      </c>
      <c r="G1181" s="33">
        <f>IF($R$1152="","",IF($R$1152="언어와 매체",자동계산!$D$24,자동계산!$B$24))</f>
        <v/>
      </c>
      <c r="H1181" s="33">
        <f>IF($R$1152="","",IF($R$1152="언어와 매체",자동계산!$D$25,자동계산!$B$25))</f>
        <v/>
      </c>
      <c r="I1181" s="33">
        <f>IF($R$1152="","",IF($R$1152="언어와 매체",자동계산!$D$26,자동계산!$B$26))</f>
        <v/>
      </c>
      <c r="J1181" s="33">
        <f>IF($R$1152="","",IF($R$1152="언어와 매체",자동계산!$D$27,자동계산!$B$27))</f>
        <v/>
      </c>
      <c r="K1181" s="33">
        <f>IF($R$1152="","",IF($R$1152="언어와 매체",자동계산!$D$28,자동계산!$B$28))</f>
        <v/>
      </c>
      <c r="L1181" s="33">
        <f>IF($R$1152="","",IF($R$1152="언어와 매체",자동계산!$D$29,자동계산!$B$29))</f>
        <v/>
      </c>
      <c r="M1181" s="33">
        <f>IF($R$1152="","",IF($R$1152="언어와 매체",자동계산!$D$30,자동계산!$B$30))</f>
        <v/>
      </c>
      <c r="N1181" s="33">
        <f>IF($R$1152="","",IF($R$1152="언어와 매체",자동계산!$D$31,자동계산!$B$31))</f>
        <v/>
      </c>
      <c r="O1181" s="33">
        <f>IF($R$1152="","",IF($R$1152="언어와 매체",자동계산!$D$32,자동계산!$B$32))</f>
        <v/>
      </c>
      <c r="P1181" s="33">
        <f>IF($R$1152="","",IF($R$1152="언어와 매체",자동계산!$D$33,자동계산!$B$33))</f>
        <v/>
      </c>
    </row>
    <row r="1182">
      <c r="A1182" s="52" t="inlineStr">
        <is>
          <t>학생답안</t>
        </is>
      </c>
      <c r="B1182" s="33">
        <f>IF($R$1151="","",INDEX(전체채점!T$3:T$62,$R$1151))</f>
        <v/>
      </c>
      <c r="C1182" s="33">
        <f>IF($R$1151="","",INDEX(전체채점!U$3:U$62,$R$1151))</f>
        <v/>
      </c>
      <c r="D1182" s="33">
        <f>IF($R$1151="","",INDEX(전체채점!V$3:V$62,$R$1151))</f>
        <v/>
      </c>
      <c r="E1182" s="33">
        <f>IF($R$1151="","",INDEX(전체채점!W$3:W$62,$R$1151))</f>
        <v/>
      </c>
      <c r="F1182" s="33">
        <f>IF($R$1151="","",INDEX(전체채점!X$3:X$62,$R$1151))</f>
        <v/>
      </c>
      <c r="G1182" s="33">
        <f>IF($R$1151="","",INDEX(전체채점!Y$3:Y$62,$R$1151))</f>
        <v/>
      </c>
      <c r="H1182" s="33">
        <f>IF($R$1151="","",INDEX(전체채점!Z$3:Z$62,$R$1151))</f>
        <v/>
      </c>
      <c r="I1182" s="33">
        <f>IF($R$1151="","",INDEX(전체채점!AA$3:AA$62,$R$1151))</f>
        <v/>
      </c>
      <c r="J1182" s="33">
        <f>IF($R$1151="","",INDEX(전체채점!AB$3:AB$62,$R$1151))</f>
        <v/>
      </c>
      <c r="K1182" s="33">
        <f>IF($R$1151="","",INDEX(전체채점!AC$3:AC$62,$R$1151))</f>
        <v/>
      </c>
      <c r="L1182" s="33">
        <f>IF($R$1151="","",INDEX(전체채점!AD$3:AD$62,$R$1151))</f>
        <v/>
      </c>
      <c r="M1182" s="33">
        <f>IF($R$1151="","",INDEX(전체채점!AE$3:AE$62,$R$1151))</f>
        <v/>
      </c>
      <c r="N1182" s="33">
        <f>IF($R$1151="","",INDEX(전체채점!AF$3:AF$62,$R$1151))</f>
        <v/>
      </c>
      <c r="O1182" s="33">
        <f>IF($R$1151="","",INDEX(전체채점!AG$3:AG$62,$R$1151))</f>
        <v/>
      </c>
      <c r="P1182" s="33">
        <f>IF($R$1151="","",INDEX(전체채점!AH$3:AH$62,$R$1151))</f>
        <v/>
      </c>
    </row>
    <row r="1183">
      <c r="A1183" s="52" t="inlineStr">
        <is>
          <t>정오</t>
        </is>
      </c>
      <c r="B1183" s="33">
        <f>IF($R$1151="","",INDEX(전체채점!BM$3:BM$62,$R$1151))</f>
        <v/>
      </c>
      <c r="C1183" s="33">
        <f>IF($R$1151="","",INDEX(전체채점!BN$3:BN$62,$R$1151))</f>
        <v/>
      </c>
      <c r="D1183" s="33">
        <f>IF($R$1151="","",INDEX(전체채점!BO$3:BO$62,$R$1151))</f>
        <v/>
      </c>
      <c r="E1183" s="33">
        <f>IF($R$1151="","",INDEX(전체채점!BP$3:BP$62,$R$1151))</f>
        <v/>
      </c>
      <c r="F1183" s="33">
        <f>IF($R$1151="","",INDEX(전체채점!BQ$3:BQ$62,$R$1151))</f>
        <v/>
      </c>
      <c r="G1183" s="33">
        <f>IF($R$1151="","",INDEX(전체채점!BR$3:BR$62,$R$1151))</f>
        <v/>
      </c>
      <c r="H1183" s="33">
        <f>IF($R$1151="","",INDEX(전체채점!BS$3:BS$62,$R$1151))</f>
        <v/>
      </c>
      <c r="I1183" s="33">
        <f>IF($R$1151="","",INDEX(전체채점!BT$3:BT$62,$R$1151))</f>
        <v/>
      </c>
      <c r="J1183" s="33">
        <f>IF($R$1151="","",INDEX(전체채점!BU$3:BU$62,$R$1151))</f>
        <v/>
      </c>
      <c r="K1183" s="33">
        <f>IF($R$1151="","",INDEX(전체채점!BV$3:BV$62,$R$1151))</f>
        <v/>
      </c>
      <c r="L1183" s="33">
        <f>IF($R$1151="","",INDEX(전체채점!BW$3:BW$62,$R$1151))</f>
        <v/>
      </c>
      <c r="M1183" s="33">
        <f>IF($R$1151="","",INDEX(전체채점!BX$3:BX$62,$R$1151))</f>
        <v/>
      </c>
      <c r="N1183" s="33">
        <f>IF($R$1151="","",INDEX(전체채점!BY$3:BY$62,$R$1151))</f>
        <v/>
      </c>
      <c r="O1183" s="33">
        <f>IF($R$1151="","",INDEX(전체채점!BZ$3:BZ$62,$R$1151))</f>
        <v/>
      </c>
      <c r="P1183" s="33">
        <f>IF($R$1151="","",INDEX(전체채점!CA$3:CA$62,$R$1151))</f>
        <v/>
      </c>
    </row>
    <row r="1184">
      <c r="A1184" s="50" t="inlineStr">
        <is>
          <t>문항 번호</t>
        </is>
      </c>
      <c r="B1184" s="51" t="n">
        <v>31</v>
      </c>
      <c r="C1184" s="51" t="n">
        <v>32</v>
      </c>
      <c r="D1184" s="51" t="n">
        <v>33</v>
      </c>
      <c r="E1184" s="51" t="n">
        <v>34</v>
      </c>
      <c r="F1184" s="51" t="n">
        <v>35</v>
      </c>
      <c r="G1184" s="51" t="n">
        <v>36</v>
      </c>
      <c r="H1184" s="51" t="n">
        <v>37</v>
      </c>
      <c r="I1184" s="51" t="n">
        <v>38</v>
      </c>
      <c r="J1184" s="51" t="n">
        <v>39</v>
      </c>
      <c r="K1184" s="51" t="n">
        <v>40</v>
      </c>
      <c r="L1184" s="51" t="n">
        <v>41</v>
      </c>
      <c r="M1184" s="51" t="n">
        <v>42</v>
      </c>
      <c r="N1184" s="51" t="n">
        <v>43</v>
      </c>
      <c r="O1184" s="51" t="n">
        <v>44</v>
      </c>
      <c r="P1184" s="51" t="n">
        <v>45</v>
      </c>
    </row>
    <row r="1185">
      <c r="A1185" s="52" t="inlineStr">
        <is>
          <t>정답</t>
        </is>
      </c>
      <c r="B1185" s="33">
        <f>IF($R$1152="","",IF($R$1152="언어와 매체",자동계산!$D$34,자동계산!$B$34))</f>
        <v/>
      </c>
      <c r="C1185" s="33">
        <f>IF($R$1152="","",IF($R$1152="언어와 매체",자동계산!$D$35,자동계산!$B$35))</f>
        <v/>
      </c>
      <c r="D1185" s="33">
        <f>IF($R$1152="","",IF($R$1152="언어와 매체",자동계산!$D$36,자동계산!$B$36))</f>
        <v/>
      </c>
      <c r="E1185" s="33">
        <f>IF($R$1152="","",IF($R$1152="언어와 매체",자동계산!$D$37,자동계산!$B$37))</f>
        <v/>
      </c>
      <c r="F1185" s="33">
        <f>IF($R$1152="","",IF($R$1152="언어와 매체",자동계산!$D$38,자동계산!$B$38))</f>
        <v/>
      </c>
      <c r="G1185" s="33">
        <f>IF($R$1152="","",IF($R$1152="언어와 매체",자동계산!$D$39,자동계산!$B$39))</f>
        <v/>
      </c>
      <c r="H1185" s="33">
        <f>IF($R$1152="","",IF($R$1152="언어와 매체",자동계산!$D$40,자동계산!$B$40))</f>
        <v/>
      </c>
      <c r="I1185" s="33">
        <f>IF($R$1152="","",IF($R$1152="언어와 매체",자동계산!$D$41,자동계산!$B$41))</f>
        <v/>
      </c>
      <c r="J1185" s="33">
        <f>IF($R$1152="","",IF($R$1152="언어와 매체",자동계산!$D$42,자동계산!$B$42))</f>
        <v/>
      </c>
      <c r="K1185" s="33">
        <f>IF($R$1152="","",IF($R$1152="언어와 매체",자동계산!$D$43,자동계산!$B$43))</f>
        <v/>
      </c>
      <c r="L1185" s="33">
        <f>IF($R$1152="","",IF($R$1152="언어와 매체",자동계산!$D$44,자동계산!$B$44))</f>
        <v/>
      </c>
      <c r="M1185" s="33">
        <f>IF($R$1152="","",IF($R$1152="언어와 매체",자동계산!$D$45,자동계산!$B$45))</f>
        <v/>
      </c>
      <c r="N1185" s="33">
        <f>IF($R$1152="","",IF($R$1152="언어와 매체",자동계산!$D$46,자동계산!$B$46))</f>
        <v/>
      </c>
      <c r="O1185" s="33">
        <f>IF($R$1152="","",IF($R$1152="언어와 매체",자동계산!$D$47,자동계산!$B$47))</f>
        <v/>
      </c>
      <c r="P1185" s="33">
        <f>IF($R$1152="","",IF($R$1152="언어와 매체",자동계산!$D$48,자동계산!$B$48))</f>
        <v/>
      </c>
    </row>
    <row r="1186">
      <c r="A1186" s="52" t="inlineStr">
        <is>
          <t>학생답안</t>
        </is>
      </c>
      <c r="B1186" s="33">
        <f>IF($R$1151="","",INDEX(전체채점!AI$3:AI$62,$R$1151))</f>
        <v/>
      </c>
      <c r="C1186" s="33">
        <f>IF($R$1151="","",INDEX(전체채점!AJ$3:AJ$62,$R$1151))</f>
        <v/>
      </c>
      <c r="D1186" s="33">
        <f>IF($R$1151="","",INDEX(전체채점!AK$3:AK$62,$R$1151))</f>
        <v/>
      </c>
      <c r="E1186" s="33">
        <f>IF($R$1151="","",INDEX(전체채점!AL$3:AL$62,$R$1151))</f>
        <v/>
      </c>
      <c r="F1186" s="33">
        <f>IF($R$1151="","",INDEX(전체채점!AM$3:AM$62,$R$1151))</f>
        <v/>
      </c>
      <c r="G1186" s="33">
        <f>IF($R$1151="","",INDEX(전체채점!AN$3:AN$62,$R$1151))</f>
        <v/>
      </c>
      <c r="H1186" s="33">
        <f>IF($R$1151="","",INDEX(전체채점!AO$3:AO$62,$R$1151))</f>
        <v/>
      </c>
      <c r="I1186" s="33">
        <f>IF($R$1151="","",INDEX(전체채점!AP$3:AP$62,$R$1151))</f>
        <v/>
      </c>
      <c r="J1186" s="33">
        <f>IF($R$1151="","",INDEX(전체채점!AQ$3:AQ$62,$R$1151))</f>
        <v/>
      </c>
      <c r="K1186" s="33">
        <f>IF($R$1151="","",INDEX(전체채점!AR$3:AR$62,$R$1151))</f>
        <v/>
      </c>
      <c r="L1186" s="33">
        <f>IF($R$1151="","",INDEX(전체채점!AS$3:AS$62,$R$1151))</f>
        <v/>
      </c>
      <c r="M1186" s="33">
        <f>IF($R$1151="","",INDEX(전체채점!AT$3:AT$62,$R$1151))</f>
        <v/>
      </c>
      <c r="N1186" s="33">
        <f>IF($R$1151="","",INDEX(전체채점!AU$3:AU$62,$R$1151))</f>
        <v/>
      </c>
      <c r="O1186" s="33">
        <f>IF($R$1151="","",INDEX(전체채점!AV$3:AV$62,$R$1151))</f>
        <v/>
      </c>
      <c r="P1186" s="33">
        <f>IF($R$1151="","",INDEX(전체채점!AW$3:AW$62,$R$1151))</f>
        <v/>
      </c>
    </row>
    <row r="1187">
      <c r="A1187" s="52" t="inlineStr">
        <is>
          <t>정오</t>
        </is>
      </c>
      <c r="B1187" s="33">
        <f>IF($R$1151="","",INDEX(전체채점!CB$3:CB$62,$R$1151))</f>
        <v/>
      </c>
      <c r="C1187" s="33">
        <f>IF($R$1151="","",INDEX(전체채점!CC$3:CC$62,$R$1151))</f>
        <v/>
      </c>
      <c r="D1187" s="33">
        <f>IF($R$1151="","",INDEX(전체채점!CD$3:CD$62,$R$1151))</f>
        <v/>
      </c>
      <c r="E1187" s="33">
        <f>IF($R$1151="","",INDEX(전체채점!CE$3:CE$62,$R$1151))</f>
        <v/>
      </c>
      <c r="F1187" s="33">
        <f>IF($R$1151="","",INDEX(전체채점!CF$3:CF$62,$R$1151))</f>
        <v/>
      </c>
      <c r="G1187" s="33">
        <f>IF($R$1151="","",INDEX(전체채점!CG$3:CG$62,$R$1151))</f>
        <v/>
      </c>
      <c r="H1187" s="33">
        <f>IF($R$1151="","",INDEX(전체채점!CH$3:CH$62,$R$1151))</f>
        <v/>
      </c>
      <c r="I1187" s="33">
        <f>IF($R$1151="","",INDEX(전체채점!CI$3:CI$62,$R$1151))</f>
        <v/>
      </c>
      <c r="J1187" s="33">
        <f>IF($R$1151="","",INDEX(전체채점!CJ$3:CJ$62,$R$1151))</f>
        <v/>
      </c>
      <c r="K1187" s="33">
        <f>IF($R$1151="","",INDEX(전체채점!CK$3:CK$62,$R$1151))</f>
        <v/>
      </c>
      <c r="L1187" s="33">
        <f>IF($R$1151="","",INDEX(전체채점!CL$3:CL$62,$R$1151))</f>
        <v/>
      </c>
      <c r="M1187" s="33">
        <f>IF($R$1151="","",INDEX(전체채점!CM$3:CM$62,$R$1151))</f>
        <v/>
      </c>
      <c r="N1187" s="33">
        <f>IF($R$1151="","",INDEX(전체채점!CN$3:CN$62,$R$1151))</f>
        <v/>
      </c>
      <c r="O1187" s="33">
        <f>IF($R$1151="","",INDEX(전체채점!CO$3:CO$62,$R$1151))</f>
        <v/>
      </c>
      <c r="P1187" s="33">
        <f>IF($R$1151="","",INDEX(전체채점!CP$3:CP$62,$R$1151))</f>
        <v/>
      </c>
    </row>
    <row r="1190" ht="34" customHeight="1">
      <c r="A1190" s="36">
        <f>IF($R$1192="","",회차설정!$B$2&amp;" 성적표")</f>
        <v/>
      </c>
    </row>
    <row r="1192">
      <c r="A1192" s="12" t="inlineStr">
        <is>
          <t>1. 학생정보</t>
        </is>
      </c>
      <c r="R1192" s="37">
        <f>IF(답안입력!$A$32="","",30)</f>
        <v/>
      </c>
      <c r="S1192" s="37">
        <f>IF($R$1193="","",IFERROR(IF($R$1193="언어와 매체",MATCH(1,회차설정!$G$13:$G$27,0),MATCH(1,회차설정!$F$13:$F$27,0)),""))</f>
        <v/>
      </c>
    </row>
    <row r="1193">
      <c r="A1193" s="13" t="inlineStr">
        <is>
          <t>성명</t>
        </is>
      </c>
      <c r="B1193" s="7" t="n"/>
      <c r="C1193" s="8" t="n"/>
      <c r="D1193" s="13" t="inlineStr">
        <is>
          <t>선택과목</t>
        </is>
      </c>
      <c r="E1193" s="7" t="n"/>
      <c r="F1193" s="7" t="n"/>
      <c r="G1193" s="8" t="n"/>
      <c r="H1193" s="13" t="inlineStr">
        <is>
          <t>학년</t>
        </is>
      </c>
      <c r="I1193" s="7" t="n"/>
      <c r="J1193" s="7" t="n"/>
      <c r="K1193" s="8" t="n"/>
      <c r="L1193" s="13" t="inlineStr">
        <is>
          <t>시행일</t>
        </is>
      </c>
      <c r="M1193" s="7" t="n"/>
      <c r="N1193" s="7" t="n"/>
      <c r="O1193" s="7" t="n"/>
      <c r="P1193" s="8" t="n"/>
      <c r="R1193" s="37">
        <f>IF($R$1192="","",INDEX(전체채점!$B$3:$B$62,$R$1192))</f>
        <v/>
      </c>
      <c r="S1193" s="37">
        <f>IF($R$1193="","",IFERROR(IF($R$1193="언어와 매체",MATCH(2,회차설정!$G$13:$G$27,0),MATCH(2,회차설정!$F$13:$F$27,0)),""))</f>
        <v/>
      </c>
    </row>
    <row r="1194" ht="26" customHeight="1">
      <c r="A1194" s="39">
        <f>IF($R$1192="","",INDEX(답안입력!$A$3:$A$62,$R$1192))</f>
        <v/>
      </c>
      <c r="B1194" s="7" t="n"/>
      <c r="C1194" s="8" t="n"/>
      <c r="D1194" s="39">
        <f>IF($R$1192="","",INDEX(답안입력!$C$3:$C$62,$R$1192))</f>
        <v/>
      </c>
      <c r="E1194" s="7" t="n"/>
      <c r="F1194" s="7" t="n"/>
      <c r="G1194" s="8" t="n"/>
      <c r="H1194" s="39">
        <f>IF($R$1192="","",INDEX(답안입력!$B$3:$B$62,$R$1192))</f>
        <v/>
      </c>
      <c r="I1194" s="7" t="n"/>
      <c r="J1194" s="7" t="n"/>
      <c r="K1194" s="8" t="n"/>
      <c r="L1194" s="40">
        <f>회차설정!$B$3</f>
        <v/>
      </c>
      <c r="M1194" s="7" t="n"/>
      <c r="N1194" s="7" t="n"/>
      <c r="O1194" s="7" t="n"/>
      <c r="P1194" s="8" t="n"/>
      <c r="R1194" s="37">
        <f>IF($R$1193="언어와 매체",회차설정!$B$9,회차설정!$B$8)</f>
        <v/>
      </c>
      <c r="S1194" s="37">
        <f>IF($R$1193="","",IFERROR(IF($R$1193="언어와 매체",MATCH(3,회차설정!$G$13:$G$27,0),MATCH(3,회차설정!$F$13:$F$27,0)),""))</f>
        <v/>
      </c>
    </row>
    <row r="1195">
      <c r="R1195" s="37">
        <f>IF($R$1193="언어와 매체",회차설정!$C$9,회차설정!$C$8)</f>
        <v/>
      </c>
      <c r="S1195" s="37">
        <f>IF($R$1193="","",IFERROR(IF($R$1193="언어와 매체",MATCH(4,회차설정!$G$13:$G$27,0),MATCH(4,회차설정!$F$13:$F$27,0)),""))</f>
        <v/>
      </c>
    </row>
    <row r="1196">
      <c r="A1196" s="12" t="inlineStr">
        <is>
          <t>2. 성적</t>
        </is>
      </c>
      <c r="R1196" s="37">
        <f>IF($R$1193="언어와 매체",회차설정!$D$9,회차설정!$D$8)</f>
        <v/>
      </c>
      <c r="S1196" s="37">
        <f>IF($R$1193="","",IFERROR(IF($R$1193="언어와 매체",MATCH(5,회차설정!$G$13:$G$27,0),MATCH(5,회차설정!$F$13:$F$27,0)),""))</f>
        <v/>
      </c>
    </row>
    <row r="1197">
      <c r="A1197" s="13" t="inlineStr">
        <is>
          <t>점수 (100점 만점)</t>
        </is>
      </c>
      <c r="B1197" s="7" t="n"/>
      <c r="C1197" s="7" t="n"/>
      <c r="D1197" s="7" t="n"/>
      <c r="E1197" s="8" t="n"/>
      <c r="F1197" s="13" t="inlineStr">
        <is>
          <t>등급</t>
        </is>
      </c>
      <c r="G1197" s="7" t="n"/>
      <c r="H1197" s="8" t="n"/>
      <c r="I1197" s="13" t="inlineStr">
        <is>
          <t>등급컷</t>
        </is>
      </c>
      <c r="J1197" s="7" t="n"/>
      <c r="K1197" s="7" t="n"/>
      <c r="L1197" s="8" t="n"/>
      <c r="M1197" s="13" t="inlineStr">
        <is>
          <t>같은 선택과목 평균</t>
        </is>
      </c>
      <c r="N1197" s="7" t="n"/>
      <c r="O1197" s="7" t="n"/>
      <c r="P1197" s="8" t="n"/>
      <c r="R1197" s="37">
        <f>IF($R$1193="언어와 매체",회차설정!$E$9,회차설정!$E$8)</f>
        <v/>
      </c>
      <c r="S1197" s="37">
        <f>IF($R$1193="","",IFERROR(IF($R$1193="언어와 매체",MATCH(6,회차설정!$G$13:$G$27,0),MATCH(6,회차설정!$F$13:$F$27,0)),""))</f>
        <v/>
      </c>
    </row>
    <row r="1198" ht="34" customHeight="1">
      <c r="A1198" s="41">
        <f>IF($R$1192="","",INDEX(전체채점!$C$3:$C$62,$R$1192))</f>
        <v/>
      </c>
      <c r="B1198" s="7" t="n"/>
      <c r="C1198" s="7" t="n"/>
      <c r="D1198" s="7" t="n"/>
      <c r="E1198" s="8" t="n"/>
      <c r="F1198" s="42">
        <f>IF($R$1192="","",INDEX(전체채점!$D$3:$D$62,$R$1192))</f>
        <v/>
      </c>
      <c r="G1198" s="7" t="n"/>
      <c r="H1198" s="8" t="n"/>
      <c r="I1198" s="43">
        <f>IF($R$1192="","",$R$1194&amp;"-"&amp;$R$1195&amp;"-"&amp;$R$1196&amp;"-"&amp;$R$1197)</f>
        <v/>
      </c>
      <c r="J1198" s="7" t="n"/>
      <c r="K1198" s="7" t="n"/>
      <c r="L1198" s="8" t="n"/>
      <c r="M1198" s="44">
        <f>IFERROR(AVERAGEIF(전체채점!$B$3:$B$62,$R$1193,전체채점!$C$3:$C$62),"")</f>
        <v/>
      </c>
      <c r="N1198" s="7" t="n"/>
      <c r="O1198" s="7" t="n"/>
      <c r="P1198" s="8" t="n"/>
      <c r="S1198" s="37">
        <f>IF($R$1193="","",IFERROR(IF($R$1193="언어와 매체",MATCH(7,회차설정!$G$13:$G$27,0),MATCH(7,회차설정!$F$13:$F$27,0)),""))</f>
        <v/>
      </c>
    </row>
    <row r="1199">
      <c r="S1199" s="37">
        <f>IF($R$1193="","",IFERROR(IF($R$1193="언어와 매체",MATCH(8,회차설정!$G$13:$G$27,0),MATCH(8,회차설정!$F$13:$F$27,0)),""))</f>
        <v/>
      </c>
    </row>
    <row r="1200">
      <c r="A1200" s="12" t="inlineStr">
        <is>
          <t>3. 영역분류별 성취도 분석</t>
        </is>
      </c>
      <c r="F1200" s="45">
        <f>IF(OR($R$1192="",$E1214=""),"",IF($E1214=INDEX(전체채점!$C$3:$C$62,$R$1192),"","※ 회차설정의 영역 표를 확인하세요 — 영역 합계와 점수가 다릅니다"))</f>
        <v/>
      </c>
      <c r="S1200" s="37">
        <f>IF($R$1193="","",IFERROR(IF($R$1193="언어와 매체",MATCH(9,회차설정!$G$13:$G$27,0),MATCH(9,회차설정!$F$13:$F$27,0)),""))</f>
        <v/>
      </c>
    </row>
    <row r="1201">
      <c r="A1201" s="13" t="inlineStr">
        <is>
          <t>분류</t>
        </is>
      </c>
      <c r="B1201" s="13" t="inlineStr">
        <is>
          <t>영역</t>
        </is>
      </c>
      <c r="C1201" s="8" t="n"/>
      <c r="D1201" s="13" t="inlineStr">
        <is>
          <t>배점</t>
        </is>
      </c>
      <c r="E1201" s="13" t="inlineStr">
        <is>
          <t>득점</t>
        </is>
      </c>
      <c r="F1201" s="13" t="inlineStr">
        <is>
          <t>성취도(%)</t>
        </is>
      </c>
      <c r="G1201" s="8" t="n"/>
      <c r="H1201" s="13" t="inlineStr"/>
      <c r="I1201" s="7" t="n"/>
      <c r="J1201" s="7" t="n"/>
      <c r="K1201" s="7" t="n"/>
      <c r="L1201" s="7" t="n"/>
      <c r="M1201" s="7" t="n"/>
      <c r="N1201" s="7" t="n"/>
      <c r="O1201" s="7" t="n"/>
      <c r="P1201" s="8" t="n"/>
      <c r="S1201" s="37">
        <f>IF($R$1193="","",IFERROR(IF($R$1193="언어와 매체",MATCH(10,회차설정!$G$13:$G$27,0),MATCH(10,회차설정!$F$13:$F$27,0)),""))</f>
        <v/>
      </c>
    </row>
    <row r="1202">
      <c r="A1202" s="14">
        <f>IF($S$1192="","",INDEX(회차설정!$A$13:$A$27,$S$1192))</f>
        <v/>
      </c>
      <c r="B1202" s="14">
        <f>IF($S$1192="","",INDEX(회차설정!$B$13:$B$27,$S$1192))</f>
        <v/>
      </c>
      <c r="C1202" s="8" t="n"/>
      <c r="D1202" s="14">
        <f>IF($S$1192="","",IF($R$1193="언어와 매체",SUMPRODUCT((자동계산!$A$4:$A$48&gt;=INDEX(회차설정!$C$13:$C$27,$S$1192))*(자동계산!$A$4:$A$48&lt;=INDEX(회차설정!$D$13:$D$27,$S$1192))*자동계산!$E$4:$E$48),SUMPRODUCT((자동계산!$A$4:$A$48&gt;=INDEX(회차설정!$C$13:$C$27,$S$1192))*(자동계산!$A$4:$A$48&lt;=INDEX(회차설정!$D$13:$D$27,$S$1192))*자동계산!$C$4:$C$48)))</f>
        <v/>
      </c>
      <c r="E1202" s="14">
        <f>IF(OR($S$1192="",$R$1192=""),"",SUM(OFFSET(전체채점!$AW$2,$R$1192,INDEX(회차설정!$C$13:$C$27,$S$1192),1,INDEX(회차설정!$D$13:$D$27,$S$1192)-INDEX(회차설정!$C$13:$C$27,$S$1192)+1)))</f>
        <v/>
      </c>
      <c r="F1202" s="46">
        <f>IF(OR($S$1192="",$D1202=0,$D1202="",$E1202=""),"",$E1202/$D1202*100)</f>
        <v/>
      </c>
      <c r="G1202" s="8" t="n"/>
      <c r="H1202" s="47">
        <f>IF($F1202="","",REPT("■",ROUND($F1202/5,0)))</f>
        <v/>
      </c>
      <c r="I1202" s="7" t="n"/>
      <c r="J1202" s="7" t="n"/>
      <c r="K1202" s="7" t="n"/>
      <c r="L1202" s="7" t="n"/>
      <c r="M1202" s="7" t="n"/>
      <c r="N1202" s="7" t="n"/>
      <c r="O1202" s="7" t="n"/>
      <c r="P1202" s="8" t="n"/>
      <c r="S1202" s="37">
        <f>IF($R$1193="","",IFERROR(IF($R$1193="언어와 매체",MATCH(11,회차설정!$G$13:$G$27,0),MATCH(11,회차설정!$F$13:$F$27,0)),""))</f>
        <v/>
      </c>
    </row>
    <row r="1203">
      <c r="A1203" s="14">
        <f>IF($S$1193="","",INDEX(회차설정!$A$13:$A$27,$S$1193))</f>
        <v/>
      </c>
      <c r="B1203" s="14">
        <f>IF($S$1193="","",INDEX(회차설정!$B$13:$B$27,$S$1193))</f>
        <v/>
      </c>
      <c r="C1203" s="8" t="n"/>
      <c r="D1203" s="14">
        <f>IF($S$1193="","",IF($R$1193="언어와 매체",SUMPRODUCT((자동계산!$A$4:$A$48&gt;=INDEX(회차설정!$C$13:$C$27,$S$1193))*(자동계산!$A$4:$A$48&lt;=INDEX(회차설정!$D$13:$D$27,$S$1193))*자동계산!$E$4:$E$48),SUMPRODUCT((자동계산!$A$4:$A$48&gt;=INDEX(회차설정!$C$13:$C$27,$S$1193))*(자동계산!$A$4:$A$48&lt;=INDEX(회차설정!$D$13:$D$27,$S$1193))*자동계산!$C$4:$C$48)))</f>
        <v/>
      </c>
      <c r="E1203" s="14">
        <f>IF(OR($S$1193="",$R$1192=""),"",SUM(OFFSET(전체채점!$AW$2,$R$1192,INDEX(회차설정!$C$13:$C$27,$S$1193),1,INDEX(회차설정!$D$13:$D$27,$S$1193)-INDEX(회차설정!$C$13:$C$27,$S$1193)+1)))</f>
        <v/>
      </c>
      <c r="F1203" s="46">
        <f>IF(OR($S$1193="",$D1203=0,$D1203="",$E1203=""),"",$E1203/$D1203*100)</f>
        <v/>
      </c>
      <c r="G1203" s="8" t="n"/>
      <c r="H1203" s="47">
        <f>IF($F1203="","",REPT("■",ROUND($F1203/5,0)))</f>
        <v/>
      </c>
      <c r="I1203" s="7" t="n"/>
      <c r="J1203" s="7" t="n"/>
      <c r="K1203" s="7" t="n"/>
      <c r="L1203" s="7" t="n"/>
      <c r="M1203" s="7" t="n"/>
      <c r="N1203" s="7" t="n"/>
      <c r="O1203" s="7" t="n"/>
      <c r="P1203" s="8" t="n"/>
      <c r="S1203" s="37">
        <f>IF($R$1193="","",IFERROR(IF($R$1193="언어와 매체",MATCH(12,회차설정!$G$13:$G$27,0),MATCH(12,회차설정!$F$13:$F$27,0)),""))</f>
        <v/>
      </c>
    </row>
    <row r="1204">
      <c r="A1204" s="14">
        <f>IF($S$1194="","",INDEX(회차설정!$A$13:$A$27,$S$1194))</f>
        <v/>
      </c>
      <c r="B1204" s="14">
        <f>IF($S$1194="","",INDEX(회차설정!$B$13:$B$27,$S$1194))</f>
        <v/>
      </c>
      <c r="C1204" s="8" t="n"/>
      <c r="D1204" s="14">
        <f>IF($S$1194="","",IF($R$1193="언어와 매체",SUMPRODUCT((자동계산!$A$4:$A$48&gt;=INDEX(회차설정!$C$13:$C$27,$S$1194))*(자동계산!$A$4:$A$48&lt;=INDEX(회차설정!$D$13:$D$27,$S$1194))*자동계산!$E$4:$E$48),SUMPRODUCT((자동계산!$A$4:$A$48&gt;=INDEX(회차설정!$C$13:$C$27,$S$1194))*(자동계산!$A$4:$A$48&lt;=INDEX(회차설정!$D$13:$D$27,$S$1194))*자동계산!$C$4:$C$48)))</f>
        <v/>
      </c>
      <c r="E1204" s="14">
        <f>IF(OR($S$1194="",$R$1192=""),"",SUM(OFFSET(전체채점!$AW$2,$R$1192,INDEX(회차설정!$C$13:$C$27,$S$1194),1,INDEX(회차설정!$D$13:$D$27,$S$1194)-INDEX(회차설정!$C$13:$C$27,$S$1194)+1)))</f>
        <v/>
      </c>
      <c r="F1204" s="46">
        <f>IF(OR($S$1194="",$D1204=0,$D1204="",$E1204=""),"",$E1204/$D1204*100)</f>
        <v/>
      </c>
      <c r="G1204" s="8" t="n"/>
      <c r="H1204" s="47">
        <f>IF($F1204="","",REPT("■",ROUND($F1204/5,0)))</f>
        <v/>
      </c>
      <c r="I1204" s="7" t="n"/>
      <c r="J1204" s="7" t="n"/>
      <c r="K1204" s="7" t="n"/>
      <c r="L1204" s="7" t="n"/>
      <c r="M1204" s="7" t="n"/>
      <c r="N1204" s="7" t="n"/>
      <c r="O1204" s="7" t="n"/>
      <c r="P1204" s="8" t="n"/>
    </row>
    <row r="1205">
      <c r="A1205" s="14">
        <f>IF($S$1195="","",INDEX(회차설정!$A$13:$A$27,$S$1195))</f>
        <v/>
      </c>
      <c r="B1205" s="14">
        <f>IF($S$1195="","",INDEX(회차설정!$B$13:$B$27,$S$1195))</f>
        <v/>
      </c>
      <c r="C1205" s="8" t="n"/>
      <c r="D1205" s="14">
        <f>IF($S$1195="","",IF($R$1193="언어와 매체",SUMPRODUCT((자동계산!$A$4:$A$48&gt;=INDEX(회차설정!$C$13:$C$27,$S$1195))*(자동계산!$A$4:$A$48&lt;=INDEX(회차설정!$D$13:$D$27,$S$1195))*자동계산!$E$4:$E$48),SUMPRODUCT((자동계산!$A$4:$A$48&gt;=INDEX(회차설정!$C$13:$C$27,$S$1195))*(자동계산!$A$4:$A$48&lt;=INDEX(회차설정!$D$13:$D$27,$S$1195))*자동계산!$C$4:$C$48)))</f>
        <v/>
      </c>
      <c r="E1205" s="14">
        <f>IF(OR($S$1195="",$R$1192=""),"",SUM(OFFSET(전체채점!$AW$2,$R$1192,INDEX(회차설정!$C$13:$C$27,$S$1195),1,INDEX(회차설정!$D$13:$D$27,$S$1195)-INDEX(회차설정!$C$13:$C$27,$S$1195)+1)))</f>
        <v/>
      </c>
      <c r="F1205" s="46">
        <f>IF(OR($S$1195="",$D1205=0,$D1205="",$E1205=""),"",$E1205/$D1205*100)</f>
        <v/>
      </c>
      <c r="G1205" s="8" t="n"/>
      <c r="H1205" s="47">
        <f>IF($F1205="","",REPT("■",ROUND($F1205/5,0)))</f>
        <v/>
      </c>
      <c r="I1205" s="7" t="n"/>
      <c r="J1205" s="7" t="n"/>
      <c r="K1205" s="7" t="n"/>
      <c r="L1205" s="7" t="n"/>
      <c r="M1205" s="7" t="n"/>
      <c r="N1205" s="7" t="n"/>
      <c r="O1205" s="7" t="n"/>
      <c r="P1205" s="8" t="n"/>
    </row>
    <row r="1206">
      <c r="A1206" s="14">
        <f>IF($S$1196="","",INDEX(회차설정!$A$13:$A$27,$S$1196))</f>
        <v/>
      </c>
      <c r="B1206" s="14">
        <f>IF($S$1196="","",INDEX(회차설정!$B$13:$B$27,$S$1196))</f>
        <v/>
      </c>
      <c r="C1206" s="8" t="n"/>
      <c r="D1206" s="14">
        <f>IF($S$1196="","",IF($R$1193="언어와 매체",SUMPRODUCT((자동계산!$A$4:$A$48&gt;=INDEX(회차설정!$C$13:$C$27,$S$1196))*(자동계산!$A$4:$A$48&lt;=INDEX(회차설정!$D$13:$D$27,$S$1196))*자동계산!$E$4:$E$48),SUMPRODUCT((자동계산!$A$4:$A$48&gt;=INDEX(회차설정!$C$13:$C$27,$S$1196))*(자동계산!$A$4:$A$48&lt;=INDEX(회차설정!$D$13:$D$27,$S$1196))*자동계산!$C$4:$C$48)))</f>
        <v/>
      </c>
      <c r="E1206" s="14">
        <f>IF(OR($S$1196="",$R$1192=""),"",SUM(OFFSET(전체채점!$AW$2,$R$1192,INDEX(회차설정!$C$13:$C$27,$S$1196),1,INDEX(회차설정!$D$13:$D$27,$S$1196)-INDEX(회차설정!$C$13:$C$27,$S$1196)+1)))</f>
        <v/>
      </c>
      <c r="F1206" s="46">
        <f>IF(OR($S$1196="",$D1206=0,$D1206="",$E1206=""),"",$E1206/$D1206*100)</f>
        <v/>
      </c>
      <c r="G1206" s="8" t="n"/>
      <c r="H1206" s="47">
        <f>IF($F1206="","",REPT("■",ROUND($F1206/5,0)))</f>
        <v/>
      </c>
      <c r="I1206" s="7" t="n"/>
      <c r="J1206" s="7" t="n"/>
      <c r="K1206" s="7" t="n"/>
      <c r="L1206" s="7" t="n"/>
      <c r="M1206" s="7" t="n"/>
      <c r="N1206" s="7" t="n"/>
      <c r="O1206" s="7" t="n"/>
      <c r="P1206" s="8" t="n"/>
    </row>
    <row r="1207">
      <c r="A1207" s="14">
        <f>IF($S$1197="","",INDEX(회차설정!$A$13:$A$27,$S$1197))</f>
        <v/>
      </c>
      <c r="B1207" s="14">
        <f>IF($S$1197="","",INDEX(회차설정!$B$13:$B$27,$S$1197))</f>
        <v/>
      </c>
      <c r="C1207" s="8" t="n"/>
      <c r="D1207" s="14">
        <f>IF($S$1197="","",IF($R$1193="언어와 매체",SUMPRODUCT((자동계산!$A$4:$A$48&gt;=INDEX(회차설정!$C$13:$C$27,$S$1197))*(자동계산!$A$4:$A$48&lt;=INDEX(회차설정!$D$13:$D$27,$S$1197))*자동계산!$E$4:$E$48),SUMPRODUCT((자동계산!$A$4:$A$48&gt;=INDEX(회차설정!$C$13:$C$27,$S$1197))*(자동계산!$A$4:$A$48&lt;=INDEX(회차설정!$D$13:$D$27,$S$1197))*자동계산!$C$4:$C$48)))</f>
        <v/>
      </c>
      <c r="E1207" s="14">
        <f>IF(OR($S$1197="",$R$1192=""),"",SUM(OFFSET(전체채점!$AW$2,$R$1192,INDEX(회차설정!$C$13:$C$27,$S$1197),1,INDEX(회차설정!$D$13:$D$27,$S$1197)-INDEX(회차설정!$C$13:$C$27,$S$1197)+1)))</f>
        <v/>
      </c>
      <c r="F1207" s="46">
        <f>IF(OR($S$1197="",$D1207=0,$D1207="",$E1207=""),"",$E1207/$D1207*100)</f>
        <v/>
      </c>
      <c r="G1207" s="8" t="n"/>
      <c r="H1207" s="47">
        <f>IF($F1207="","",REPT("■",ROUND($F1207/5,0)))</f>
        <v/>
      </c>
      <c r="I1207" s="7" t="n"/>
      <c r="J1207" s="7" t="n"/>
      <c r="K1207" s="7" t="n"/>
      <c r="L1207" s="7" t="n"/>
      <c r="M1207" s="7" t="n"/>
      <c r="N1207" s="7" t="n"/>
      <c r="O1207" s="7" t="n"/>
      <c r="P1207" s="8" t="n"/>
    </row>
    <row r="1208">
      <c r="A1208" s="14">
        <f>IF($S$1198="","",INDEX(회차설정!$A$13:$A$27,$S$1198))</f>
        <v/>
      </c>
      <c r="B1208" s="14">
        <f>IF($S$1198="","",INDEX(회차설정!$B$13:$B$27,$S$1198))</f>
        <v/>
      </c>
      <c r="C1208" s="8" t="n"/>
      <c r="D1208" s="14">
        <f>IF($S$1198="","",IF($R$1193="언어와 매체",SUMPRODUCT((자동계산!$A$4:$A$48&gt;=INDEX(회차설정!$C$13:$C$27,$S$1198))*(자동계산!$A$4:$A$48&lt;=INDEX(회차설정!$D$13:$D$27,$S$1198))*자동계산!$E$4:$E$48),SUMPRODUCT((자동계산!$A$4:$A$48&gt;=INDEX(회차설정!$C$13:$C$27,$S$1198))*(자동계산!$A$4:$A$48&lt;=INDEX(회차설정!$D$13:$D$27,$S$1198))*자동계산!$C$4:$C$48)))</f>
        <v/>
      </c>
      <c r="E1208" s="14">
        <f>IF(OR($S$1198="",$R$1192=""),"",SUM(OFFSET(전체채점!$AW$2,$R$1192,INDEX(회차설정!$C$13:$C$27,$S$1198),1,INDEX(회차설정!$D$13:$D$27,$S$1198)-INDEX(회차설정!$C$13:$C$27,$S$1198)+1)))</f>
        <v/>
      </c>
      <c r="F1208" s="46">
        <f>IF(OR($S$1198="",$D1208=0,$D1208="",$E1208=""),"",$E1208/$D1208*100)</f>
        <v/>
      </c>
      <c r="G1208" s="8" t="n"/>
      <c r="H1208" s="47">
        <f>IF($F1208="","",REPT("■",ROUND($F1208/5,0)))</f>
        <v/>
      </c>
      <c r="I1208" s="7" t="n"/>
      <c r="J1208" s="7" t="n"/>
      <c r="K1208" s="7" t="n"/>
      <c r="L1208" s="7" t="n"/>
      <c r="M1208" s="7" t="n"/>
      <c r="N1208" s="7" t="n"/>
      <c r="O1208" s="7" t="n"/>
      <c r="P1208" s="8" t="n"/>
    </row>
    <row r="1209">
      <c r="A1209" s="14">
        <f>IF($S$1199="","",INDEX(회차설정!$A$13:$A$27,$S$1199))</f>
        <v/>
      </c>
      <c r="B1209" s="14">
        <f>IF($S$1199="","",INDEX(회차설정!$B$13:$B$27,$S$1199))</f>
        <v/>
      </c>
      <c r="C1209" s="8" t="n"/>
      <c r="D1209" s="14">
        <f>IF($S$1199="","",IF($R$1193="언어와 매체",SUMPRODUCT((자동계산!$A$4:$A$48&gt;=INDEX(회차설정!$C$13:$C$27,$S$1199))*(자동계산!$A$4:$A$48&lt;=INDEX(회차설정!$D$13:$D$27,$S$1199))*자동계산!$E$4:$E$48),SUMPRODUCT((자동계산!$A$4:$A$48&gt;=INDEX(회차설정!$C$13:$C$27,$S$1199))*(자동계산!$A$4:$A$48&lt;=INDEX(회차설정!$D$13:$D$27,$S$1199))*자동계산!$C$4:$C$48)))</f>
        <v/>
      </c>
      <c r="E1209" s="14">
        <f>IF(OR($S$1199="",$R$1192=""),"",SUM(OFFSET(전체채점!$AW$2,$R$1192,INDEX(회차설정!$C$13:$C$27,$S$1199),1,INDEX(회차설정!$D$13:$D$27,$S$1199)-INDEX(회차설정!$C$13:$C$27,$S$1199)+1)))</f>
        <v/>
      </c>
      <c r="F1209" s="46">
        <f>IF(OR($S$1199="",$D1209=0,$D1209="",$E1209=""),"",$E1209/$D1209*100)</f>
        <v/>
      </c>
      <c r="G1209" s="8" t="n"/>
      <c r="H1209" s="47">
        <f>IF($F1209="","",REPT("■",ROUND($F1209/5,0)))</f>
        <v/>
      </c>
      <c r="I1209" s="7" t="n"/>
      <c r="J1209" s="7" t="n"/>
      <c r="K1209" s="7" t="n"/>
      <c r="L1209" s="7" t="n"/>
      <c r="M1209" s="7" t="n"/>
      <c r="N1209" s="7" t="n"/>
      <c r="O1209" s="7" t="n"/>
      <c r="P1209" s="8" t="n"/>
    </row>
    <row r="1210">
      <c r="A1210" s="14">
        <f>IF($S$1200="","",INDEX(회차설정!$A$13:$A$27,$S$1200))</f>
        <v/>
      </c>
      <c r="B1210" s="14">
        <f>IF($S$1200="","",INDEX(회차설정!$B$13:$B$27,$S$1200))</f>
        <v/>
      </c>
      <c r="C1210" s="8" t="n"/>
      <c r="D1210" s="14">
        <f>IF($S$1200="","",IF($R$1193="언어와 매체",SUMPRODUCT((자동계산!$A$4:$A$48&gt;=INDEX(회차설정!$C$13:$C$27,$S$1200))*(자동계산!$A$4:$A$48&lt;=INDEX(회차설정!$D$13:$D$27,$S$1200))*자동계산!$E$4:$E$48),SUMPRODUCT((자동계산!$A$4:$A$48&gt;=INDEX(회차설정!$C$13:$C$27,$S$1200))*(자동계산!$A$4:$A$48&lt;=INDEX(회차설정!$D$13:$D$27,$S$1200))*자동계산!$C$4:$C$48)))</f>
        <v/>
      </c>
      <c r="E1210" s="14">
        <f>IF(OR($S$1200="",$R$1192=""),"",SUM(OFFSET(전체채점!$AW$2,$R$1192,INDEX(회차설정!$C$13:$C$27,$S$1200),1,INDEX(회차설정!$D$13:$D$27,$S$1200)-INDEX(회차설정!$C$13:$C$27,$S$1200)+1)))</f>
        <v/>
      </c>
      <c r="F1210" s="46">
        <f>IF(OR($S$1200="",$D1210=0,$D1210="",$E1210=""),"",$E1210/$D1210*100)</f>
        <v/>
      </c>
      <c r="G1210" s="8" t="n"/>
      <c r="H1210" s="47">
        <f>IF($F1210="","",REPT("■",ROUND($F1210/5,0)))</f>
        <v/>
      </c>
      <c r="I1210" s="7" t="n"/>
      <c r="J1210" s="7" t="n"/>
      <c r="K1210" s="7" t="n"/>
      <c r="L1210" s="7" t="n"/>
      <c r="M1210" s="7" t="n"/>
      <c r="N1210" s="7" t="n"/>
      <c r="O1210" s="7" t="n"/>
      <c r="P1210" s="8" t="n"/>
    </row>
    <row r="1211">
      <c r="A1211" s="14">
        <f>IF($S$1201="","",INDEX(회차설정!$A$13:$A$27,$S$1201))</f>
        <v/>
      </c>
      <c r="B1211" s="14">
        <f>IF($S$1201="","",INDEX(회차설정!$B$13:$B$27,$S$1201))</f>
        <v/>
      </c>
      <c r="C1211" s="8" t="n"/>
      <c r="D1211" s="14">
        <f>IF($S$1201="","",IF($R$1193="언어와 매체",SUMPRODUCT((자동계산!$A$4:$A$48&gt;=INDEX(회차설정!$C$13:$C$27,$S$1201))*(자동계산!$A$4:$A$48&lt;=INDEX(회차설정!$D$13:$D$27,$S$1201))*자동계산!$E$4:$E$48),SUMPRODUCT((자동계산!$A$4:$A$48&gt;=INDEX(회차설정!$C$13:$C$27,$S$1201))*(자동계산!$A$4:$A$48&lt;=INDEX(회차설정!$D$13:$D$27,$S$1201))*자동계산!$C$4:$C$48)))</f>
        <v/>
      </c>
      <c r="E1211" s="14">
        <f>IF(OR($S$1201="",$R$1192=""),"",SUM(OFFSET(전체채점!$AW$2,$R$1192,INDEX(회차설정!$C$13:$C$27,$S$1201),1,INDEX(회차설정!$D$13:$D$27,$S$1201)-INDEX(회차설정!$C$13:$C$27,$S$1201)+1)))</f>
        <v/>
      </c>
      <c r="F1211" s="46">
        <f>IF(OR($S$1201="",$D1211=0,$D1211="",$E1211=""),"",$E1211/$D1211*100)</f>
        <v/>
      </c>
      <c r="G1211" s="8" t="n"/>
      <c r="H1211" s="47">
        <f>IF($F1211="","",REPT("■",ROUND($F1211/5,0)))</f>
        <v/>
      </c>
      <c r="I1211" s="7" t="n"/>
      <c r="J1211" s="7" t="n"/>
      <c r="K1211" s="7" t="n"/>
      <c r="L1211" s="7" t="n"/>
      <c r="M1211" s="7" t="n"/>
      <c r="N1211" s="7" t="n"/>
      <c r="O1211" s="7" t="n"/>
      <c r="P1211" s="8" t="n"/>
    </row>
    <row r="1212">
      <c r="A1212" s="14">
        <f>IF($S$1202="","",INDEX(회차설정!$A$13:$A$27,$S$1202))</f>
        <v/>
      </c>
      <c r="B1212" s="14">
        <f>IF($S$1202="","",INDEX(회차설정!$B$13:$B$27,$S$1202))</f>
        <v/>
      </c>
      <c r="C1212" s="8" t="n"/>
      <c r="D1212" s="14">
        <f>IF($S$1202="","",IF($R$1193="언어와 매체",SUMPRODUCT((자동계산!$A$4:$A$48&gt;=INDEX(회차설정!$C$13:$C$27,$S$1202))*(자동계산!$A$4:$A$48&lt;=INDEX(회차설정!$D$13:$D$27,$S$1202))*자동계산!$E$4:$E$48),SUMPRODUCT((자동계산!$A$4:$A$48&gt;=INDEX(회차설정!$C$13:$C$27,$S$1202))*(자동계산!$A$4:$A$48&lt;=INDEX(회차설정!$D$13:$D$27,$S$1202))*자동계산!$C$4:$C$48)))</f>
        <v/>
      </c>
      <c r="E1212" s="14">
        <f>IF(OR($S$1202="",$R$1192=""),"",SUM(OFFSET(전체채점!$AW$2,$R$1192,INDEX(회차설정!$C$13:$C$27,$S$1202),1,INDEX(회차설정!$D$13:$D$27,$S$1202)-INDEX(회차설정!$C$13:$C$27,$S$1202)+1)))</f>
        <v/>
      </c>
      <c r="F1212" s="46">
        <f>IF(OR($S$1202="",$D1212=0,$D1212="",$E1212=""),"",$E1212/$D1212*100)</f>
        <v/>
      </c>
      <c r="G1212" s="8" t="n"/>
      <c r="H1212" s="47">
        <f>IF($F1212="","",REPT("■",ROUND($F1212/5,0)))</f>
        <v/>
      </c>
      <c r="I1212" s="7" t="n"/>
      <c r="J1212" s="7" t="n"/>
      <c r="K1212" s="7" t="n"/>
      <c r="L1212" s="7" t="n"/>
      <c r="M1212" s="7" t="n"/>
      <c r="N1212" s="7" t="n"/>
      <c r="O1212" s="7" t="n"/>
      <c r="P1212" s="8" t="n"/>
    </row>
    <row r="1213">
      <c r="A1213" s="14">
        <f>IF($S$1203="","",INDEX(회차설정!$A$13:$A$27,$S$1203))</f>
        <v/>
      </c>
      <c r="B1213" s="14">
        <f>IF($S$1203="","",INDEX(회차설정!$B$13:$B$27,$S$1203))</f>
        <v/>
      </c>
      <c r="C1213" s="8" t="n"/>
      <c r="D1213" s="14">
        <f>IF($S$1203="","",IF($R$1193="언어와 매체",SUMPRODUCT((자동계산!$A$4:$A$48&gt;=INDEX(회차설정!$C$13:$C$27,$S$1203))*(자동계산!$A$4:$A$48&lt;=INDEX(회차설정!$D$13:$D$27,$S$1203))*자동계산!$E$4:$E$48),SUMPRODUCT((자동계산!$A$4:$A$48&gt;=INDEX(회차설정!$C$13:$C$27,$S$1203))*(자동계산!$A$4:$A$48&lt;=INDEX(회차설정!$D$13:$D$27,$S$1203))*자동계산!$C$4:$C$48)))</f>
        <v/>
      </c>
      <c r="E1213" s="14">
        <f>IF(OR($S$1203="",$R$1192=""),"",SUM(OFFSET(전체채점!$AW$2,$R$1192,INDEX(회차설정!$C$13:$C$27,$S$1203),1,INDEX(회차설정!$D$13:$D$27,$S$1203)-INDEX(회차설정!$C$13:$C$27,$S$1203)+1)))</f>
        <v/>
      </c>
      <c r="F1213" s="46">
        <f>IF(OR($S$1203="",$D1213=0,$D1213="",$E1213=""),"",$E1213/$D1213*100)</f>
        <v/>
      </c>
      <c r="G1213" s="8" t="n"/>
      <c r="H1213" s="47">
        <f>IF($F1213="","",REPT("■",ROUND($F1213/5,0)))</f>
        <v/>
      </c>
      <c r="I1213" s="7" t="n"/>
      <c r="J1213" s="7" t="n"/>
      <c r="K1213" s="7" t="n"/>
      <c r="L1213" s="7" t="n"/>
      <c r="M1213" s="7" t="n"/>
      <c r="N1213" s="7" t="n"/>
      <c r="O1213" s="7" t="n"/>
      <c r="P1213" s="8" t="n"/>
    </row>
    <row r="1214">
      <c r="A1214" s="5">
        <f>IF($R$1192="","","합계")</f>
        <v/>
      </c>
      <c r="B1214" s="7" t="n"/>
      <c r="C1214" s="8" t="n"/>
      <c r="D1214" s="5">
        <f>IF($R$1192="","",SUM(D1202:D1213))</f>
        <v/>
      </c>
      <c r="E1214" s="5">
        <f>IF($R$1192="","",SUM(E1202:E1213))</f>
        <v/>
      </c>
      <c r="F1214" s="48">
        <f>IF(OR($D1214=0,$D1214=""),"",$E1214/$D1214*100)</f>
        <v/>
      </c>
      <c r="G1214" s="8" t="n"/>
      <c r="H1214" s="49">
        <f>IF($F1214="","",REPT("■",ROUND($F1214/5,0)))</f>
        <v/>
      </c>
      <c r="I1214" s="7" t="n"/>
      <c r="J1214" s="7" t="n"/>
      <c r="K1214" s="7" t="n"/>
      <c r="L1214" s="7" t="n"/>
      <c r="M1214" s="7" t="n"/>
      <c r="N1214" s="7" t="n"/>
      <c r="O1214" s="7" t="n"/>
      <c r="P1214" s="8" t="n"/>
    </row>
    <row r="1216">
      <c r="A1216" s="12" t="inlineStr">
        <is>
          <t>4. 문항 채점표</t>
        </is>
      </c>
    </row>
    <row r="1217">
      <c r="A1217" s="50" t="inlineStr">
        <is>
          <t>문항 번호</t>
        </is>
      </c>
      <c r="B1217" s="51" t="n">
        <v>1</v>
      </c>
      <c r="C1217" s="51" t="n">
        <v>2</v>
      </c>
      <c r="D1217" s="51" t="n">
        <v>3</v>
      </c>
      <c r="E1217" s="51" t="n">
        <v>4</v>
      </c>
      <c r="F1217" s="51" t="n">
        <v>5</v>
      </c>
      <c r="G1217" s="51" t="n">
        <v>6</v>
      </c>
      <c r="H1217" s="51" t="n">
        <v>7</v>
      </c>
      <c r="I1217" s="51" t="n">
        <v>8</v>
      </c>
      <c r="J1217" s="51" t="n">
        <v>9</v>
      </c>
      <c r="K1217" s="51" t="n">
        <v>10</v>
      </c>
      <c r="L1217" s="51" t="n">
        <v>11</v>
      </c>
      <c r="M1217" s="51" t="n">
        <v>12</v>
      </c>
      <c r="N1217" s="51" t="n">
        <v>13</v>
      </c>
      <c r="O1217" s="51" t="n">
        <v>14</v>
      </c>
      <c r="P1217" s="51" t="n">
        <v>15</v>
      </c>
    </row>
    <row r="1218">
      <c r="A1218" s="52" t="inlineStr">
        <is>
          <t>정답</t>
        </is>
      </c>
      <c r="B1218" s="33">
        <f>IF($R$1193="","",IF($R$1193="언어와 매체",자동계산!$D$4,자동계산!$B$4))</f>
        <v/>
      </c>
      <c r="C1218" s="33">
        <f>IF($R$1193="","",IF($R$1193="언어와 매체",자동계산!$D$5,자동계산!$B$5))</f>
        <v/>
      </c>
      <c r="D1218" s="33">
        <f>IF($R$1193="","",IF($R$1193="언어와 매체",자동계산!$D$6,자동계산!$B$6))</f>
        <v/>
      </c>
      <c r="E1218" s="33">
        <f>IF($R$1193="","",IF($R$1193="언어와 매체",자동계산!$D$7,자동계산!$B$7))</f>
        <v/>
      </c>
      <c r="F1218" s="33">
        <f>IF($R$1193="","",IF($R$1193="언어와 매체",자동계산!$D$8,자동계산!$B$8))</f>
        <v/>
      </c>
      <c r="G1218" s="33">
        <f>IF($R$1193="","",IF($R$1193="언어와 매체",자동계산!$D$9,자동계산!$B$9))</f>
        <v/>
      </c>
      <c r="H1218" s="33">
        <f>IF($R$1193="","",IF($R$1193="언어와 매체",자동계산!$D$10,자동계산!$B$10))</f>
        <v/>
      </c>
      <c r="I1218" s="33">
        <f>IF($R$1193="","",IF($R$1193="언어와 매체",자동계산!$D$11,자동계산!$B$11))</f>
        <v/>
      </c>
      <c r="J1218" s="33">
        <f>IF($R$1193="","",IF($R$1193="언어와 매체",자동계산!$D$12,자동계산!$B$12))</f>
        <v/>
      </c>
      <c r="K1218" s="33">
        <f>IF($R$1193="","",IF($R$1193="언어와 매체",자동계산!$D$13,자동계산!$B$13))</f>
        <v/>
      </c>
      <c r="L1218" s="33">
        <f>IF($R$1193="","",IF($R$1193="언어와 매체",자동계산!$D$14,자동계산!$B$14))</f>
        <v/>
      </c>
      <c r="M1218" s="33">
        <f>IF($R$1193="","",IF($R$1193="언어와 매체",자동계산!$D$15,자동계산!$B$15))</f>
        <v/>
      </c>
      <c r="N1218" s="33">
        <f>IF($R$1193="","",IF($R$1193="언어와 매체",자동계산!$D$16,자동계산!$B$16))</f>
        <v/>
      </c>
      <c r="O1218" s="33">
        <f>IF($R$1193="","",IF($R$1193="언어와 매체",자동계산!$D$17,자동계산!$B$17))</f>
        <v/>
      </c>
      <c r="P1218" s="33">
        <f>IF($R$1193="","",IF($R$1193="언어와 매체",자동계산!$D$18,자동계산!$B$18))</f>
        <v/>
      </c>
    </row>
    <row r="1219">
      <c r="A1219" s="52" t="inlineStr">
        <is>
          <t>학생답안</t>
        </is>
      </c>
      <c r="B1219" s="33">
        <f>IF($R$1192="","",INDEX(전체채점!E$3:E$62,$R$1192))</f>
        <v/>
      </c>
      <c r="C1219" s="33">
        <f>IF($R$1192="","",INDEX(전체채점!F$3:F$62,$R$1192))</f>
        <v/>
      </c>
      <c r="D1219" s="33">
        <f>IF($R$1192="","",INDEX(전체채점!G$3:G$62,$R$1192))</f>
        <v/>
      </c>
      <c r="E1219" s="33">
        <f>IF($R$1192="","",INDEX(전체채점!H$3:H$62,$R$1192))</f>
        <v/>
      </c>
      <c r="F1219" s="33">
        <f>IF($R$1192="","",INDEX(전체채점!I$3:I$62,$R$1192))</f>
        <v/>
      </c>
      <c r="G1219" s="33">
        <f>IF($R$1192="","",INDEX(전체채점!J$3:J$62,$R$1192))</f>
        <v/>
      </c>
      <c r="H1219" s="33">
        <f>IF($R$1192="","",INDEX(전체채점!K$3:K$62,$R$1192))</f>
        <v/>
      </c>
      <c r="I1219" s="33">
        <f>IF($R$1192="","",INDEX(전체채점!L$3:L$62,$R$1192))</f>
        <v/>
      </c>
      <c r="J1219" s="33">
        <f>IF($R$1192="","",INDEX(전체채점!M$3:M$62,$R$1192))</f>
        <v/>
      </c>
      <c r="K1219" s="33">
        <f>IF($R$1192="","",INDEX(전체채점!N$3:N$62,$R$1192))</f>
        <v/>
      </c>
      <c r="L1219" s="33">
        <f>IF($R$1192="","",INDEX(전체채점!O$3:O$62,$R$1192))</f>
        <v/>
      </c>
      <c r="M1219" s="33">
        <f>IF($R$1192="","",INDEX(전체채점!P$3:P$62,$R$1192))</f>
        <v/>
      </c>
      <c r="N1219" s="33">
        <f>IF($R$1192="","",INDEX(전체채점!Q$3:Q$62,$R$1192))</f>
        <v/>
      </c>
      <c r="O1219" s="33">
        <f>IF($R$1192="","",INDEX(전체채점!R$3:R$62,$R$1192))</f>
        <v/>
      </c>
      <c r="P1219" s="33">
        <f>IF($R$1192="","",INDEX(전체채점!S$3:S$62,$R$1192))</f>
        <v/>
      </c>
    </row>
    <row r="1220">
      <c r="A1220" s="52" t="inlineStr">
        <is>
          <t>정오</t>
        </is>
      </c>
      <c r="B1220" s="33">
        <f>IF($R$1192="","",INDEX(전체채점!AX$3:AX$62,$R$1192))</f>
        <v/>
      </c>
      <c r="C1220" s="33">
        <f>IF($R$1192="","",INDEX(전체채점!AY$3:AY$62,$R$1192))</f>
        <v/>
      </c>
      <c r="D1220" s="33">
        <f>IF($R$1192="","",INDEX(전체채점!AZ$3:AZ$62,$R$1192))</f>
        <v/>
      </c>
      <c r="E1220" s="33">
        <f>IF($R$1192="","",INDEX(전체채점!BA$3:BA$62,$R$1192))</f>
        <v/>
      </c>
      <c r="F1220" s="33">
        <f>IF($R$1192="","",INDEX(전체채점!BB$3:BB$62,$R$1192))</f>
        <v/>
      </c>
      <c r="G1220" s="33">
        <f>IF($R$1192="","",INDEX(전체채점!BC$3:BC$62,$R$1192))</f>
        <v/>
      </c>
      <c r="H1220" s="33">
        <f>IF($R$1192="","",INDEX(전체채점!BD$3:BD$62,$R$1192))</f>
        <v/>
      </c>
      <c r="I1220" s="33">
        <f>IF($R$1192="","",INDEX(전체채점!BE$3:BE$62,$R$1192))</f>
        <v/>
      </c>
      <c r="J1220" s="33">
        <f>IF($R$1192="","",INDEX(전체채점!BF$3:BF$62,$R$1192))</f>
        <v/>
      </c>
      <c r="K1220" s="33">
        <f>IF($R$1192="","",INDEX(전체채점!BG$3:BG$62,$R$1192))</f>
        <v/>
      </c>
      <c r="L1220" s="33">
        <f>IF($R$1192="","",INDEX(전체채점!BH$3:BH$62,$R$1192))</f>
        <v/>
      </c>
      <c r="M1220" s="33">
        <f>IF($R$1192="","",INDEX(전체채점!BI$3:BI$62,$R$1192))</f>
        <v/>
      </c>
      <c r="N1220" s="33">
        <f>IF($R$1192="","",INDEX(전체채점!BJ$3:BJ$62,$R$1192))</f>
        <v/>
      </c>
      <c r="O1220" s="33">
        <f>IF($R$1192="","",INDEX(전체채점!BK$3:BK$62,$R$1192))</f>
        <v/>
      </c>
      <c r="P1220" s="33">
        <f>IF($R$1192="","",INDEX(전체채점!BL$3:BL$62,$R$1192))</f>
        <v/>
      </c>
    </row>
    <row r="1221">
      <c r="A1221" s="50" t="inlineStr">
        <is>
          <t>문항 번호</t>
        </is>
      </c>
      <c r="B1221" s="51" t="n">
        <v>16</v>
      </c>
      <c r="C1221" s="51" t="n">
        <v>17</v>
      </c>
      <c r="D1221" s="51" t="n">
        <v>18</v>
      </c>
      <c r="E1221" s="51" t="n">
        <v>19</v>
      </c>
      <c r="F1221" s="51" t="n">
        <v>20</v>
      </c>
      <c r="G1221" s="51" t="n">
        <v>21</v>
      </c>
      <c r="H1221" s="51" t="n">
        <v>22</v>
      </c>
      <c r="I1221" s="51" t="n">
        <v>23</v>
      </c>
      <c r="J1221" s="51" t="n">
        <v>24</v>
      </c>
      <c r="K1221" s="51" t="n">
        <v>25</v>
      </c>
      <c r="L1221" s="51" t="n">
        <v>26</v>
      </c>
      <c r="M1221" s="51" t="n">
        <v>27</v>
      </c>
      <c r="N1221" s="51" t="n">
        <v>28</v>
      </c>
      <c r="O1221" s="51" t="n">
        <v>29</v>
      </c>
      <c r="P1221" s="51" t="n">
        <v>30</v>
      </c>
    </row>
    <row r="1222">
      <c r="A1222" s="52" t="inlineStr">
        <is>
          <t>정답</t>
        </is>
      </c>
      <c r="B1222" s="33">
        <f>IF($R$1193="","",IF($R$1193="언어와 매체",자동계산!$D$19,자동계산!$B$19))</f>
        <v/>
      </c>
      <c r="C1222" s="33">
        <f>IF($R$1193="","",IF($R$1193="언어와 매체",자동계산!$D$20,자동계산!$B$20))</f>
        <v/>
      </c>
      <c r="D1222" s="33">
        <f>IF($R$1193="","",IF($R$1193="언어와 매체",자동계산!$D$21,자동계산!$B$21))</f>
        <v/>
      </c>
      <c r="E1222" s="33">
        <f>IF($R$1193="","",IF($R$1193="언어와 매체",자동계산!$D$22,자동계산!$B$22))</f>
        <v/>
      </c>
      <c r="F1222" s="33">
        <f>IF($R$1193="","",IF($R$1193="언어와 매체",자동계산!$D$23,자동계산!$B$23))</f>
        <v/>
      </c>
      <c r="G1222" s="33">
        <f>IF($R$1193="","",IF($R$1193="언어와 매체",자동계산!$D$24,자동계산!$B$24))</f>
        <v/>
      </c>
      <c r="H1222" s="33">
        <f>IF($R$1193="","",IF($R$1193="언어와 매체",자동계산!$D$25,자동계산!$B$25))</f>
        <v/>
      </c>
      <c r="I1222" s="33">
        <f>IF($R$1193="","",IF($R$1193="언어와 매체",자동계산!$D$26,자동계산!$B$26))</f>
        <v/>
      </c>
      <c r="J1222" s="33">
        <f>IF($R$1193="","",IF($R$1193="언어와 매체",자동계산!$D$27,자동계산!$B$27))</f>
        <v/>
      </c>
      <c r="K1222" s="33">
        <f>IF($R$1193="","",IF($R$1193="언어와 매체",자동계산!$D$28,자동계산!$B$28))</f>
        <v/>
      </c>
      <c r="L1222" s="33">
        <f>IF($R$1193="","",IF($R$1193="언어와 매체",자동계산!$D$29,자동계산!$B$29))</f>
        <v/>
      </c>
      <c r="M1222" s="33">
        <f>IF($R$1193="","",IF($R$1193="언어와 매체",자동계산!$D$30,자동계산!$B$30))</f>
        <v/>
      </c>
      <c r="N1222" s="33">
        <f>IF($R$1193="","",IF($R$1193="언어와 매체",자동계산!$D$31,자동계산!$B$31))</f>
        <v/>
      </c>
      <c r="O1222" s="33">
        <f>IF($R$1193="","",IF($R$1193="언어와 매체",자동계산!$D$32,자동계산!$B$32))</f>
        <v/>
      </c>
      <c r="P1222" s="33">
        <f>IF($R$1193="","",IF($R$1193="언어와 매체",자동계산!$D$33,자동계산!$B$33))</f>
        <v/>
      </c>
    </row>
    <row r="1223">
      <c r="A1223" s="52" t="inlineStr">
        <is>
          <t>학생답안</t>
        </is>
      </c>
      <c r="B1223" s="33">
        <f>IF($R$1192="","",INDEX(전체채점!T$3:T$62,$R$1192))</f>
        <v/>
      </c>
      <c r="C1223" s="33">
        <f>IF($R$1192="","",INDEX(전체채점!U$3:U$62,$R$1192))</f>
        <v/>
      </c>
      <c r="D1223" s="33">
        <f>IF($R$1192="","",INDEX(전체채점!V$3:V$62,$R$1192))</f>
        <v/>
      </c>
      <c r="E1223" s="33">
        <f>IF($R$1192="","",INDEX(전체채점!W$3:W$62,$R$1192))</f>
        <v/>
      </c>
      <c r="F1223" s="33">
        <f>IF($R$1192="","",INDEX(전체채점!X$3:X$62,$R$1192))</f>
        <v/>
      </c>
      <c r="G1223" s="33">
        <f>IF($R$1192="","",INDEX(전체채점!Y$3:Y$62,$R$1192))</f>
        <v/>
      </c>
      <c r="H1223" s="33">
        <f>IF($R$1192="","",INDEX(전체채점!Z$3:Z$62,$R$1192))</f>
        <v/>
      </c>
      <c r="I1223" s="33">
        <f>IF($R$1192="","",INDEX(전체채점!AA$3:AA$62,$R$1192))</f>
        <v/>
      </c>
      <c r="J1223" s="33">
        <f>IF($R$1192="","",INDEX(전체채점!AB$3:AB$62,$R$1192))</f>
        <v/>
      </c>
      <c r="K1223" s="33">
        <f>IF($R$1192="","",INDEX(전체채점!AC$3:AC$62,$R$1192))</f>
        <v/>
      </c>
      <c r="L1223" s="33">
        <f>IF($R$1192="","",INDEX(전체채점!AD$3:AD$62,$R$1192))</f>
        <v/>
      </c>
      <c r="M1223" s="33">
        <f>IF($R$1192="","",INDEX(전체채점!AE$3:AE$62,$R$1192))</f>
        <v/>
      </c>
      <c r="N1223" s="33">
        <f>IF($R$1192="","",INDEX(전체채점!AF$3:AF$62,$R$1192))</f>
        <v/>
      </c>
      <c r="O1223" s="33">
        <f>IF($R$1192="","",INDEX(전체채점!AG$3:AG$62,$R$1192))</f>
        <v/>
      </c>
      <c r="P1223" s="33">
        <f>IF($R$1192="","",INDEX(전체채점!AH$3:AH$62,$R$1192))</f>
        <v/>
      </c>
    </row>
    <row r="1224">
      <c r="A1224" s="52" t="inlineStr">
        <is>
          <t>정오</t>
        </is>
      </c>
      <c r="B1224" s="33">
        <f>IF($R$1192="","",INDEX(전체채점!BM$3:BM$62,$R$1192))</f>
        <v/>
      </c>
      <c r="C1224" s="33">
        <f>IF($R$1192="","",INDEX(전체채점!BN$3:BN$62,$R$1192))</f>
        <v/>
      </c>
      <c r="D1224" s="33">
        <f>IF($R$1192="","",INDEX(전체채점!BO$3:BO$62,$R$1192))</f>
        <v/>
      </c>
      <c r="E1224" s="33">
        <f>IF($R$1192="","",INDEX(전체채점!BP$3:BP$62,$R$1192))</f>
        <v/>
      </c>
      <c r="F1224" s="33">
        <f>IF($R$1192="","",INDEX(전체채점!BQ$3:BQ$62,$R$1192))</f>
        <v/>
      </c>
      <c r="G1224" s="33">
        <f>IF($R$1192="","",INDEX(전체채점!BR$3:BR$62,$R$1192))</f>
        <v/>
      </c>
      <c r="H1224" s="33">
        <f>IF($R$1192="","",INDEX(전체채점!BS$3:BS$62,$R$1192))</f>
        <v/>
      </c>
      <c r="I1224" s="33">
        <f>IF($R$1192="","",INDEX(전체채점!BT$3:BT$62,$R$1192))</f>
        <v/>
      </c>
      <c r="J1224" s="33">
        <f>IF($R$1192="","",INDEX(전체채점!BU$3:BU$62,$R$1192))</f>
        <v/>
      </c>
      <c r="K1224" s="33">
        <f>IF($R$1192="","",INDEX(전체채점!BV$3:BV$62,$R$1192))</f>
        <v/>
      </c>
      <c r="L1224" s="33">
        <f>IF($R$1192="","",INDEX(전체채점!BW$3:BW$62,$R$1192))</f>
        <v/>
      </c>
      <c r="M1224" s="33">
        <f>IF($R$1192="","",INDEX(전체채점!BX$3:BX$62,$R$1192))</f>
        <v/>
      </c>
      <c r="N1224" s="33">
        <f>IF($R$1192="","",INDEX(전체채점!BY$3:BY$62,$R$1192))</f>
        <v/>
      </c>
      <c r="O1224" s="33">
        <f>IF($R$1192="","",INDEX(전체채점!BZ$3:BZ$62,$R$1192))</f>
        <v/>
      </c>
      <c r="P1224" s="33">
        <f>IF($R$1192="","",INDEX(전체채점!CA$3:CA$62,$R$1192))</f>
        <v/>
      </c>
    </row>
    <row r="1225">
      <c r="A1225" s="50" t="inlineStr">
        <is>
          <t>문항 번호</t>
        </is>
      </c>
      <c r="B1225" s="51" t="n">
        <v>31</v>
      </c>
      <c r="C1225" s="51" t="n">
        <v>32</v>
      </c>
      <c r="D1225" s="51" t="n">
        <v>33</v>
      </c>
      <c r="E1225" s="51" t="n">
        <v>34</v>
      </c>
      <c r="F1225" s="51" t="n">
        <v>35</v>
      </c>
      <c r="G1225" s="51" t="n">
        <v>36</v>
      </c>
      <c r="H1225" s="51" t="n">
        <v>37</v>
      </c>
      <c r="I1225" s="51" t="n">
        <v>38</v>
      </c>
      <c r="J1225" s="51" t="n">
        <v>39</v>
      </c>
      <c r="K1225" s="51" t="n">
        <v>40</v>
      </c>
      <c r="L1225" s="51" t="n">
        <v>41</v>
      </c>
      <c r="M1225" s="51" t="n">
        <v>42</v>
      </c>
      <c r="N1225" s="51" t="n">
        <v>43</v>
      </c>
      <c r="O1225" s="51" t="n">
        <v>44</v>
      </c>
      <c r="P1225" s="51" t="n">
        <v>45</v>
      </c>
    </row>
    <row r="1226">
      <c r="A1226" s="52" t="inlineStr">
        <is>
          <t>정답</t>
        </is>
      </c>
      <c r="B1226" s="33">
        <f>IF($R$1193="","",IF($R$1193="언어와 매체",자동계산!$D$34,자동계산!$B$34))</f>
        <v/>
      </c>
      <c r="C1226" s="33">
        <f>IF($R$1193="","",IF($R$1193="언어와 매체",자동계산!$D$35,자동계산!$B$35))</f>
        <v/>
      </c>
      <c r="D1226" s="33">
        <f>IF($R$1193="","",IF($R$1193="언어와 매체",자동계산!$D$36,자동계산!$B$36))</f>
        <v/>
      </c>
      <c r="E1226" s="33">
        <f>IF($R$1193="","",IF($R$1193="언어와 매체",자동계산!$D$37,자동계산!$B$37))</f>
        <v/>
      </c>
      <c r="F1226" s="33">
        <f>IF($R$1193="","",IF($R$1193="언어와 매체",자동계산!$D$38,자동계산!$B$38))</f>
        <v/>
      </c>
      <c r="G1226" s="33">
        <f>IF($R$1193="","",IF($R$1193="언어와 매체",자동계산!$D$39,자동계산!$B$39))</f>
        <v/>
      </c>
      <c r="H1226" s="33">
        <f>IF($R$1193="","",IF($R$1193="언어와 매체",자동계산!$D$40,자동계산!$B$40))</f>
        <v/>
      </c>
      <c r="I1226" s="33">
        <f>IF($R$1193="","",IF($R$1193="언어와 매체",자동계산!$D$41,자동계산!$B$41))</f>
        <v/>
      </c>
      <c r="J1226" s="33">
        <f>IF($R$1193="","",IF($R$1193="언어와 매체",자동계산!$D$42,자동계산!$B$42))</f>
        <v/>
      </c>
      <c r="K1226" s="33">
        <f>IF($R$1193="","",IF($R$1193="언어와 매체",자동계산!$D$43,자동계산!$B$43))</f>
        <v/>
      </c>
      <c r="L1226" s="33">
        <f>IF($R$1193="","",IF($R$1193="언어와 매체",자동계산!$D$44,자동계산!$B$44))</f>
        <v/>
      </c>
      <c r="M1226" s="33">
        <f>IF($R$1193="","",IF($R$1193="언어와 매체",자동계산!$D$45,자동계산!$B$45))</f>
        <v/>
      </c>
      <c r="N1226" s="33">
        <f>IF($R$1193="","",IF($R$1193="언어와 매체",자동계산!$D$46,자동계산!$B$46))</f>
        <v/>
      </c>
      <c r="O1226" s="33">
        <f>IF($R$1193="","",IF($R$1193="언어와 매체",자동계산!$D$47,자동계산!$B$47))</f>
        <v/>
      </c>
      <c r="P1226" s="33">
        <f>IF($R$1193="","",IF($R$1193="언어와 매체",자동계산!$D$48,자동계산!$B$48))</f>
        <v/>
      </c>
    </row>
    <row r="1227">
      <c r="A1227" s="52" t="inlineStr">
        <is>
          <t>학생답안</t>
        </is>
      </c>
      <c r="B1227" s="33">
        <f>IF($R$1192="","",INDEX(전체채점!AI$3:AI$62,$R$1192))</f>
        <v/>
      </c>
      <c r="C1227" s="33">
        <f>IF($R$1192="","",INDEX(전체채점!AJ$3:AJ$62,$R$1192))</f>
        <v/>
      </c>
      <c r="D1227" s="33">
        <f>IF($R$1192="","",INDEX(전체채점!AK$3:AK$62,$R$1192))</f>
        <v/>
      </c>
      <c r="E1227" s="33">
        <f>IF($R$1192="","",INDEX(전체채점!AL$3:AL$62,$R$1192))</f>
        <v/>
      </c>
      <c r="F1227" s="33">
        <f>IF($R$1192="","",INDEX(전체채점!AM$3:AM$62,$R$1192))</f>
        <v/>
      </c>
      <c r="G1227" s="33">
        <f>IF($R$1192="","",INDEX(전체채점!AN$3:AN$62,$R$1192))</f>
        <v/>
      </c>
      <c r="H1227" s="33">
        <f>IF($R$1192="","",INDEX(전체채점!AO$3:AO$62,$R$1192))</f>
        <v/>
      </c>
      <c r="I1227" s="33">
        <f>IF($R$1192="","",INDEX(전체채점!AP$3:AP$62,$R$1192))</f>
        <v/>
      </c>
      <c r="J1227" s="33">
        <f>IF($R$1192="","",INDEX(전체채점!AQ$3:AQ$62,$R$1192))</f>
        <v/>
      </c>
      <c r="K1227" s="33">
        <f>IF($R$1192="","",INDEX(전체채점!AR$3:AR$62,$R$1192))</f>
        <v/>
      </c>
      <c r="L1227" s="33">
        <f>IF($R$1192="","",INDEX(전체채점!AS$3:AS$62,$R$1192))</f>
        <v/>
      </c>
      <c r="M1227" s="33">
        <f>IF($R$1192="","",INDEX(전체채점!AT$3:AT$62,$R$1192))</f>
        <v/>
      </c>
      <c r="N1227" s="33">
        <f>IF($R$1192="","",INDEX(전체채점!AU$3:AU$62,$R$1192))</f>
        <v/>
      </c>
      <c r="O1227" s="33">
        <f>IF($R$1192="","",INDEX(전체채점!AV$3:AV$62,$R$1192))</f>
        <v/>
      </c>
      <c r="P1227" s="33">
        <f>IF($R$1192="","",INDEX(전체채점!AW$3:AW$62,$R$1192))</f>
        <v/>
      </c>
    </row>
    <row r="1228">
      <c r="A1228" s="52" t="inlineStr">
        <is>
          <t>정오</t>
        </is>
      </c>
      <c r="B1228" s="33">
        <f>IF($R$1192="","",INDEX(전체채점!CB$3:CB$62,$R$1192))</f>
        <v/>
      </c>
      <c r="C1228" s="33">
        <f>IF($R$1192="","",INDEX(전체채점!CC$3:CC$62,$R$1192))</f>
        <v/>
      </c>
      <c r="D1228" s="33">
        <f>IF($R$1192="","",INDEX(전체채점!CD$3:CD$62,$R$1192))</f>
        <v/>
      </c>
      <c r="E1228" s="33">
        <f>IF($R$1192="","",INDEX(전체채점!CE$3:CE$62,$R$1192))</f>
        <v/>
      </c>
      <c r="F1228" s="33">
        <f>IF($R$1192="","",INDEX(전체채점!CF$3:CF$62,$R$1192))</f>
        <v/>
      </c>
      <c r="G1228" s="33">
        <f>IF($R$1192="","",INDEX(전체채점!CG$3:CG$62,$R$1192))</f>
        <v/>
      </c>
      <c r="H1228" s="33">
        <f>IF($R$1192="","",INDEX(전체채점!CH$3:CH$62,$R$1192))</f>
        <v/>
      </c>
      <c r="I1228" s="33">
        <f>IF($R$1192="","",INDEX(전체채점!CI$3:CI$62,$R$1192))</f>
        <v/>
      </c>
      <c r="J1228" s="33">
        <f>IF($R$1192="","",INDEX(전체채점!CJ$3:CJ$62,$R$1192))</f>
        <v/>
      </c>
      <c r="K1228" s="33">
        <f>IF($R$1192="","",INDEX(전체채점!CK$3:CK$62,$R$1192))</f>
        <v/>
      </c>
      <c r="L1228" s="33">
        <f>IF($R$1192="","",INDEX(전체채점!CL$3:CL$62,$R$1192))</f>
        <v/>
      </c>
      <c r="M1228" s="33">
        <f>IF($R$1192="","",INDEX(전체채점!CM$3:CM$62,$R$1192))</f>
        <v/>
      </c>
      <c r="N1228" s="33">
        <f>IF($R$1192="","",INDEX(전체채점!CN$3:CN$62,$R$1192))</f>
        <v/>
      </c>
      <c r="O1228" s="33">
        <f>IF($R$1192="","",INDEX(전체채점!CO$3:CO$62,$R$1192))</f>
        <v/>
      </c>
      <c r="P1228" s="33">
        <f>IF($R$1192="","",INDEX(전체채점!CP$3:CP$62,$R$1192))</f>
        <v/>
      </c>
    </row>
    <row r="1231" ht="34" customHeight="1">
      <c r="A1231" s="36">
        <f>IF($R$1233="","",회차설정!$B$2&amp;" 성적표")</f>
        <v/>
      </c>
    </row>
    <row r="1233">
      <c r="A1233" s="12" t="inlineStr">
        <is>
          <t>1. 학생정보</t>
        </is>
      </c>
      <c r="R1233" s="37">
        <f>IF(답안입력!$A$33="","",31)</f>
        <v/>
      </c>
      <c r="S1233" s="37">
        <f>IF($R$1234="","",IFERROR(IF($R$1234="언어와 매체",MATCH(1,회차설정!$G$13:$G$27,0),MATCH(1,회차설정!$F$13:$F$27,0)),""))</f>
        <v/>
      </c>
    </row>
    <row r="1234">
      <c r="A1234" s="13" t="inlineStr">
        <is>
          <t>성명</t>
        </is>
      </c>
      <c r="B1234" s="7" t="n"/>
      <c r="C1234" s="8" t="n"/>
      <c r="D1234" s="13" t="inlineStr">
        <is>
          <t>선택과목</t>
        </is>
      </c>
      <c r="E1234" s="7" t="n"/>
      <c r="F1234" s="7" t="n"/>
      <c r="G1234" s="8" t="n"/>
      <c r="H1234" s="13" t="inlineStr">
        <is>
          <t>학년</t>
        </is>
      </c>
      <c r="I1234" s="7" t="n"/>
      <c r="J1234" s="7" t="n"/>
      <c r="K1234" s="8" t="n"/>
      <c r="L1234" s="13" t="inlineStr">
        <is>
          <t>시행일</t>
        </is>
      </c>
      <c r="M1234" s="7" t="n"/>
      <c r="N1234" s="7" t="n"/>
      <c r="O1234" s="7" t="n"/>
      <c r="P1234" s="8" t="n"/>
      <c r="R1234" s="37">
        <f>IF($R$1233="","",INDEX(전체채점!$B$3:$B$62,$R$1233))</f>
        <v/>
      </c>
      <c r="S1234" s="37">
        <f>IF($R$1234="","",IFERROR(IF($R$1234="언어와 매체",MATCH(2,회차설정!$G$13:$G$27,0),MATCH(2,회차설정!$F$13:$F$27,0)),""))</f>
        <v/>
      </c>
    </row>
    <row r="1235" ht="26" customHeight="1">
      <c r="A1235" s="39">
        <f>IF($R$1233="","",INDEX(답안입력!$A$3:$A$62,$R$1233))</f>
        <v/>
      </c>
      <c r="B1235" s="7" t="n"/>
      <c r="C1235" s="8" t="n"/>
      <c r="D1235" s="39">
        <f>IF($R$1233="","",INDEX(답안입력!$C$3:$C$62,$R$1233))</f>
        <v/>
      </c>
      <c r="E1235" s="7" t="n"/>
      <c r="F1235" s="7" t="n"/>
      <c r="G1235" s="8" t="n"/>
      <c r="H1235" s="39">
        <f>IF($R$1233="","",INDEX(답안입력!$B$3:$B$62,$R$1233))</f>
        <v/>
      </c>
      <c r="I1235" s="7" t="n"/>
      <c r="J1235" s="7" t="n"/>
      <c r="K1235" s="8" t="n"/>
      <c r="L1235" s="40">
        <f>회차설정!$B$3</f>
        <v/>
      </c>
      <c r="M1235" s="7" t="n"/>
      <c r="N1235" s="7" t="n"/>
      <c r="O1235" s="7" t="n"/>
      <c r="P1235" s="8" t="n"/>
      <c r="R1235" s="37">
        <f>IF($R$1234="언어와 매체",회차설정!$B$9,회차설정!$B$8)</f>
        <v/>
      </c>
      <c r="S1235" s="37">
        <f>IF($R$1234="","",IFERROR(IF($R$1234="언어와 매체",MATCH(3,회차설정!$G$13:$G$27,0),MATCH(3,회차설정!$F$13:$F$27,0)),""))</f>
        <v/>
      </c>
    </row>
    <row r="1236">
      <c r="R1236" s="37">
        <f>IF($R$1234="언어와 매체",회차설정!$C$9,회차설정!$C$8)</f>
        <v/>
      </c>
      <c r="S1236" s="37">
        <f>IF($R$1234="","",IFERROR(IF($R$1234="언어와 매체",MATCH(4,회차설정!$G$13:$G$27,0),MATCH(4,회차설정!$F$13:$F$27,0)),""))</f>
        <v/>
      </c>
    </row>
    <row r="1237">
      <c r="A1237" s="12" t="inlineStr">
        <is>
          <t>2. 성적</t>
        </is>
      </c>
      <c r="R1237" s="37">
        <f>IF($R$1234="언어와 매체",회차설정!$D$9,회차설정!$D$8)</f>
        <v/>
      </c>
      <c r="S1237" s="37">
        <f>IF($R$1234="","",IFERROR(IF($R$1234="언어와 매체",MATCH(5,회차설정!$G$13:$G$27,0),MATCH(5,회차설정!$F$13:$F$27,0)),""))</f>
        <v/>
      </c>
    </row>
    <row r="1238">
      <c r="A1238" s="13" t="inlineStr">
        <is>
          <t>점수 (100점 만점)</t>
        </is>
      </c>
      <c r="B1238" s="7" t="n"/>
      <c r="C1238" s="7" t="n"/>
      <c r="D1238" s="7" t="n"/>
      <c r="E1238" s="8" t="n"/>
      <c r="F1238" s="13" t="inlineStr">
        <is>
          <t>등급</t>
        </is>
      </c>
      <c r="G1238" s="7" t="n"/>
      <c r="H1238" s="8" t="n"/>
      <c r="I1238" s="13" t="inlineStr">
        <is>
          <t>등급컷</t>
        </is>
      </c>
      <c r="J1238" s="7" t="n"/>
      <c r="K1238" s="7" t="n"/>
      <c r="L1238" s="8" t="n"/>
      <c r="M1238" s="13" t="inlineStr">
        <is>
          <t>같은 선택과목 평균</t>
        </is>
      </c>
      <c r="N1238" s="7" t="n"/>
      <c r="O1238" s="7" t="n"/>
      <c r="P1238" s="8" t="n"/>
      <c r="R1238" s="37">
        <f>IF($R$1234="언어와 매체",회차설정!$E$9,회차설정!$E$8)</f>
        <v/>
      </c>
      <c r="S1238" s="37">
        <f>IF($R$1234="","",IFERROR(IF($R$1234="언어와 매체",MATCH(6,회차설정!$G$13:$G$27,0),MATCH(6,회차설정!$F$13:$F$27,0)),""))</f>
        <v/>
      </c>
    </row>
    <row r="1239" ht="34" customHeight="1">
      <c r="A1239" s="41">
        <f>IF($R$1233="","",INDEX(전체채점!$C$3:$C$62,$R$1233))</f>
        <v/>
      </c>
      <c r="B1239" s="7" t="n"/>
      <c r="C1239" s="7" t="n"/>
      <c r="D1239" s="7" t="n"/>
      <c r="E1239" s="8" t="n"/>
      <c r="F1239" s="42">
        <f>IF($R$1233="","",INDEX(전체채점!$D$3:$D$62,$R$1233))</f>
        <v/>
      </c>
      <c r="G1239" s="7" t="n"/>
      <c r="H1239" s="8" t="n"/>
      <c r="I1239" s="43">
        <f>IF($R$1233="","",$R$1235&amp;"-"&amp;$R$1236&amp;"-"&amp;$R$1237&amp;"-"&amp;$R$1238)</f>
        <v/>
      </c>
      <c r="J1239" s="7" t="n"/>
      <c r="K1239" s="7" t="n"/>
      <c r="L1239" s="8" t="n"/>
      <c r="M1239" s="44">
        <f>IFERROR(AVERAGEIF(전체채점!$B$3:$B$62,$R$1234,전체채점!$C$3:$C$62),"")</f>
        <v/>
      </c>
      <c r="N1239" s="7" t="n"/>
      <c r="O1239" s="7" t="n"/>
      <c r="P1239" s="8" t="n"/>
      <c r="S1239" s="37">
        <f>IF($R$1234="","",IFERROR(IF($R$1234="언어와 매체",MATCH(7,회차설정!$G$13:$G$27,0),MATCH(7,회차설정!$F$13:$F$27,0)),""))</f>
        <v/>
      </c>
    </row>
    <row r="1240">
      <c r="S1240" s="37">
        <f>IF($R$1234="","",IFERROR(IF($R$1234="언어와 매체",MATCH(8,회차설정!$G$13:$G$27,0),MATCH(8,회차설정!$F$13:$F$27,0)),""))</f>
        <v/>
      </c>
    </row>
    <row r="1241">
      <c r="A1241" s="12" t="inlineStr">
        <is>
          <t>3. 영역분류별 성취도 분석</t>
        </is>
      </c>
      <c r="F1241" s="45">
        <f>IF(OR($R$1233="",$E1255=""),"",IF($E1255=INDEX(전체채점!$C$3:$C$62,$R$1233),"","※ 회차설정의 영역 표를 확인하세요 — 영역 합계와 점수가 다릅니다"))</f>
        <v/>
      </c>
      <c r="S1241" s="37">
        <f>IF($R$1234="","",IFERROR(IF($R$1234="언어와 매체",MATCH(9,회차설정!$G$13:$G$27,0),MATCH(9,회차설정!$F$13:$F$27,0)),""))</f>
        <v/>
      </c>
    </row>
    <row r="1242">
      <c r="A1242" s="13" t="inlineStr">
        <is>
          <t>분류</t>
        </is>
      </c>
      <c r="B1242" s="13" t="inlineStr">
        <is>
          <t>영역</t>
        </is>
      </c>
      <c r="C1242" s="8" t="n"/>
      <c r="D1242" s="13" t="inlineStr">
        <is>
          <t>배점</t>
        </is>
      </c>
      <c r="E1242" s="13" t="inlineStr">
        <is>
          <t>득점</t>
        </is>
      </c>
      <c r="F1242" s="13" t="inlineStr">
        <is>
          <t>성취도(%)</t>
        </is>
      </c>
      <c r="G1242" s="8" t="n"/>
      <c r="H1242" s="13" t="inlineStr"/>
      <c r="I1242" s="7" t="n"/>
      <c r="J1242" s="7" t="n"/>
      <c r="K1242" s="7" t="n"/>
      <c r="L1242" s="7" t="n"/>
      <c r="M1242" s="7" t="n"/>
      <c r="N1242" s="7" t="n"/>
      <c r="O1242" s="7" t="n"/>
      <c r="P1242" s="8" t="n"/>
      <c r="S1242" s="37">
        <f>IF($R$1234="","",IFERROR(IF($R$1234="언어와 매체",MATCH(10,회차설정!$G$13:$G$27,0),MATCH(10,회차설정!$F$13:$F$27,0)),""))</f>
        <v/>
      </c>
    </row>
    <row r="1243">
      <c r="A1243" s="14">
        <f>IF($S$1233="","",INDEX(회차설정!$A$13:$A$27,$S$1233))</f>
        <v/>
      </c>
      <c r="B1243" s="14">
        <f>IF($S$1233="","",INDEX(회차설정!$B$13:$B$27,$S$1233))</f>
        <v/>
      </c>
      <c r="C1243" s="8" t="n"/>
      <c r="D1243" s="14">
        <f>IF($S$1233="","",IF($R$1234="언어와 매체",SUMPRODUCT((자동계산!$A$4:$A$48&gt;=INDEX(회차설정!$C$13:$C$27,$S$1233))*(자동계산!$A$4:$A$48&lt;=INDEX(회차설정!$D$13:$D$27,$S$1233))*자동계산!$E$4:$E$48),SUMPRODUCT((자동계산!$A$4:$A$48&gt;=INDEX(회차설정!$C$13:$C$27,$S$1233))*(자동계산!$A$4:$A$48&lt;=INDEX(회차설정!$D$13:$D$27,$S$1233))*자동계산!$C$4:$C$48)))</f>
        <v/>
      </c>
      <c r="E1243" s="14">
        <f>IF(OR($S$1233="",$R$1233=""),"",SUM(OFFSET(전체채점!$AW$2,$R$1233,INDEX(회차설정!$C$13:$C$27,$S$1233),1,INDEX(회차설정!$D$13:$D$27,$S$1233)-INDEX(회차설정!$C$13:$C$27,$S$1233)+1)))</f>
        <v/>
      </c>
      <c r="F1243" s="46">
        <f>IF(OR($S$1233="",$D1243=0,$D1243="",$E1243=""),"",$E1243/$D1243*100)</f>
        <v/>
      </c>
      <c r="G1243" s="8" t="n"/>
      <c r="H1243" s="47">
        <f>IF($F1243="","",REPT("■",ROUND($F1243/5,0)))</f>
        <v/>
      </c>
      <c r="I1243" s="7" t="n"/>
      <c r="J1243" s="7" t="n"/>
      <c r="K1243" s="7" t="n"/>
      <c r="L1243" s="7" t="n"/>
      <c r="M1243" s="7" t="n"/>
      <c r="N1243" s="7" t="n"/>
      <c r="O1243" s="7" t="n"/>
      <c r="P1243" s="8" t="n"/>
      <c r="S1243" s="37">
        <f>IF($R$1234="","",IFERROR(IF($R$1234="언어와 매체",MATCH(11,회차설정!$G$13:$G$27,0),MATCH(11,회차설정!$F$13:$F$27,0)),""))</f>
        <v/>
      </c>
    </row>
    <row r="1244">
      <c r="A1244" s="14">
        <f>IF($S$1234="","",INDEX(회차설정!$A$13:$A$27,$S$1234))</f>
        <v/>
      </c>
      <c r="B1244" s="14">
        <f>IF($S$1234="","",INDEX(회차설정!$B$13:$B$27,$S$1234))</f>
        <v/>
      </c>
      <c r="C1244" s="8" t="n"/>
      <c r="D1244" s="14">
        <f>IF($S$1234="","",IF($R$1234="언어와 매체",SUMPRODUCT((자동계산!$A$4:$A$48&gt;=INDEX(회차설정!$C$13:$C$27,$S$1234))*(자동계산!$A$4:$A$48&lt;=INDEX(회차설정!$D$13:$D$27,$S$1234))*자동계산!$E$4:$E$48),SUMPRODUCT((자동계산!$A$4:$A$48&gt;=INDEX(회차설정!$C$13:$C$27,$S$1234))*(자동계산!$A$4:$A$48&lt;=INDEX(회차설정!$D$13:$D$27,$S$1234))*자동계산!$C$4:$C$48)))</f>
        <v/>
      </c>
      <c r="E1244" s="14">
        <f>IF(OR($S$1234="",$R$1233=""),"",SUM(OFFSET(전체채점!$AW$2,$R$1233,INDEX(회차설정!$C$13:$C$27,$S$1234),1,INDEX(회차설정!$D$13:$D$27,$S$1234)-INDEX(회차설정!$C$13:$C$27,$S$1234)+1)))</f>
        <v/>
      </c>
      <c r="F1244" s="46">
        <f>IF(OR($S$1234="",$D1244=0,$D1244="",$E1244=""),"",$E1244/$D1244*100)</f>
        <v/>
      </c>
      <c r="G1244" s="8" t="n"/>
      <c r="H1244" s="47">
        <f>IF($F1244="","",REPT("■",ROUND($F1244/5,0)))</f>
        <v/>
      </c>
      <c r="I1244" s="7" t="n"/>
      <c r="J1244" s="7" t="n"/>
      <c r="K1244" s="7" t="n"/>
      <c r="L1244" s="7" t="n"/>
      <c r="M1244" s="7" t="n"/>
      <c r="N1244" s="7" t="n"/>
      <c r="O1244" s="7" t="n"/>
      <c r="P1244" s="8" t="n"/>
      <c r="S1244" s="37">
        <f>IF($R$1234="","",IFERROR(IF($R$1234="언어와 매체",MATCH(12,회차설정!$G$13:$G$27,0),MATCH(12,회차설정!$F$13:$F$27,0)),""))</f>
        <v/>
      </c>
    </row>
    <row r="1245">
      <c r="A1245" s="14">
        <f>IF($S$1235="","",INDEX(회차설정!$A$13:$A$27,$S$1235))</f>
        <v/>
      </c>
      <c r="B1245" s="14">
        <f>IF($S$1235="","",INDEX(회차설정!$B$13:$B$27,$S$1235))</f>
        <v/>
      </c>
      <c r="C1245" s="8" t="n"/>
      <c r="D1245" s="14">
        <f>IF($S$1235="","",IF($R$1234="언어와 매체",SUMPRODUCT((자동계산!$A$4:$A$48&gt;=INDEX(회차설정!$C$13:$C$27,$S$1235))*(자동계산!$A$4:$A$48&lt;=INDEX(회차설정!$D$13:$D$27,$S$1235))*자동계산!$E$4:$E$48),SUMPRODUCT((자동계산!$A$4:$A$48&gt;=INDEX(회차설정!$C$13:$C$27,$S$1235))*(자동계산!$A$4:$A$48&lt;=INDEX(회차설정!$D$13:$D$27,$S$1235))*자동계산!$C$4:$C$48)))</f>
        <v/>
      </c>
      <c r="E1245" s="14">
        <f>IF(OR($S$1235="",$R$1233=""),"",SUM(OFFSET(전체채점!$AW$2,$R$1233,INDEX(회차설정!$C$13:$C$27,$S$1235),1,INDEX(회차설정!$D$13:$D$27,$S$1235)-INDEX(회차설정!$C$13:$C$27,$S$1235)+1)))</f>
        <v/>
      </c>
      <c r="F1245" s="46">
        <f>IF(OR($S$1235="",$D1245=0,$D1245="",$E1245=""),"",$E1245/$D1245*100)</f>
        <v/>
      </c>
      <c r="G1245" s="8" t="n"/>
      <c r="H1245" s="47">
        <f>IF($F1245="","",REPT("■",ROUND($F1245/5,0)))</f>
        <v/>
      </c>
      <c r="I1245" s="7" t="n"/>
      <c r="J1245" s="7" t="n"/>
      <c r="K1245" s="7" t="n"/>
      <c r="L1245" s="7" t="n"/>
      <c r="M1245" s="7" t="n"/>
      <c r="N1245" s="7" t="n"/>
      <c r="O1245" s="7" t="n"/>
      <c r="P1245" s="8" t="n"/>
    </row>
    <row r="1246">
      <c r="A1246" s="14">
        <f>IF($S$1236="","",INDEX(회차설정!$A$13:$A$27,$S$1236))</f>
        <v/>
      </c>
      <c r="B1246" s="14">
        <f>IF($S$1236="","",INDEX(회차설정!$B$13:$B$27,$S$1236))</f>
        <v/>
      </c>
      <c r="C1246" s="8" t="n"/>
      <c r="D1246" s="14">
        <f>IF($S$1236="","",IF($R$1234="언어와 매체",SUMPRODUCT((자동계산!$A$4:$A$48&gt;=INDEX(회차설정!$C$13:$C$27,$S$1236))*(자동계산!$A$4:$A$48&lt;=INDEX(회차설정!$D$13:$D$27,$S$1236))*자동계산!$E$4:$E$48),SUMPRODUCT((자동계산!$A$4:$A$48&gt;=INDEX(회차설정!$C$13:$C$27,$S$1236))*(자동계산!$A$4:$A$48&lt;=INDEX(회차설정!$D$13:$D$27,$S$1236))*자동계산!$C$4:$C$48)))</f>
        <v/>
      </c>
      <c r="E1246" s="14">
        <f>IF(OR($S$1236="",$R$1233=""),"",SUM(OFFSET(전체채점!$AW$2,$R$1233,INDEX(회차설정!$C$13:$C$27,$S$1236),1,INDEX(회차설정!$D$13:$D$27,$S$1236)-INDEX(회차설정!$C$13:$C$27,$S$1236)+1)))</f>
        <v/>
      </c>
      <c r="F1246" s="46">
        <f>IF(OR($S$1236="",$D1246=0,$D1246="",$E1246=""),"",$E1246/$D1246*100)</f>
        <v/>
      </c>
      <c r="G1246" s="8" t="n"/>
      <c r="H1246" s="47">
        <f>IF($F1246="","",REPT("■",ROUND($F1246/5,0)))</f>
        <v/>
      </c>
      <c r="I1246" s="7" t="n"/>
      <c r="J1246" s="7" t="n"/>
      <c r="K1246" s="7" t="n"/>
      <c r="L1246" s="7" t="n"/>
      <c r="M1246" s="7" t="n"/>
      <c r="N1246" s="7" t="n"/>
      <c r="O1246" s="7" t="n"/>
      <c r="P1246" s="8" t="n"/>
    </row>
    <row r="1247">
      <c r="A1247" s="14">
        <f>IF($S$1237="","",INDEX(회차설정!$A$13:$A$27,$S$1237))</f>
        <v/>
      </c>
      <c r="B1247" s="14">
        <f>IF($S$1237="","",INDEX(회차설정!$B$13:$B$27,$S$1237))</f>
        <v/>
      </c>
      <c r="C1247" s="8" t="n"/>
      <c r="D1247" s="14">
        <f>IF($S$1237="","",IF($R$1234="언어와 매체",SUMPRODUCT((자동계산!$A$4:$A$48&gt;=INDEX(회차설정!$C$13:$C$27,$S$1237))*(자동계산!$A$4:$A$48&lt;=INDEX(회차설정!$D$13:$D$27,$S$1237))*자동계산!$E$4:$E$48),SUMPRODUCT((자동계산!$A$4:$A$48&gt;=INDEX(회차설정!$C$13:$C$27,$S$1237))*(자동계산!$A$4:$A$48&lt;=INDEX(회차설정!$D$13:$D$27,$S$1237))*자동계산!$C$4:$C$48)))</f>
        <v/>
      </c>
      <c r="E1247" s="14">
        <f>IF(OR($S$1237="",$R$1233=""),"",SUM(OFFSET(전체채점!$AW$2,$R$1233,INDEX(회차설정!$C$13:$C$27,$S$1237),1,INDEX(회차설정!$D$13:$D$27,$S$1237)-INDEX(회차설정!$C$13:$C$27,$S$1237)+1)))</f>
        <v/>
      </c>
      <c r="F1247" s="46">
        <f>IF(OR($S$1237="",$D1247=0,$D1247="",$E1247=""),"",$E1247/$D1247*100)</f>
        <v/>
      </c>
      <c r="G1247" s="8" t="n"/>
      <c r="H1247" s="47">
        <f>IF($F1247="","",REPT("■",ROUND($F1247/5,0)))</f>
        <v/>
      </c>
      <c r="I1247" s="7" t="n"/>
      <c r="J1247" s="7" t="n"/>
      <c r="K1247" s="7" t="n"/>
      <c r="L1247" s="7" t="n"/>
      <c r="M1247" s="7" t="n"/>
      <c r="N1247" s="7" t="n"/>
      <c r="O1247" s="7" t="n"/>
      <c r="P1247" s="8" t="n"/>
    </row>
    <row r="1248">
      <c r="A1248" s="14">
        <f>IF($S$1238="","",INDEX(회차설정!$A$13:$A$27,$S$1238))</f>
        <v/>
      </c>
      <c r="B1248" s="14">
        <f>IF($S$1238="","",INDEX(회차설정!$B$13:$B$27,$S$1238))</f>
        <v/>
      </c>
      <c r="C1248" s="8" t="n"/>
      <c r="D1248" s="14">
        <f>IF($S$1238="","",IF($R$1234="언어와 매체",SUMPRODUCT((자동계산!$A$4:$A$48&gt;=INDEX(회차설정!$C$13:$C$27,$S$1238))*(자동계산!$A$4:$A$48&lt;=INDEX(회차설정!$D$13:$D$27,$S$1238))*자동계산!$E$4:$E$48),SUMPRODUCT((자동계산!$A$4:$A$48&gt;=INDEX(회차설정!$C$13:$C$27,$S$1238))*(자동계산!$A$4:$A$48&lt;=INDEX(회차설정!$D$13:$D$27,$S$1238))*자동계산!$C$4:$C$48)))</f>
        <v/>
      </c>
      <c r="E1248" s="14">
        <f>IF(OR($S$1238="",$R$1233=""),"",SUM(OFFSET(전체채점!$AW$2,$R$1233,INDEX(회차설정!$C$13:$C$27,$S$1238),1,INDEX(회차설정!$D$13:$D$27,$S$1238)-INDEX(회차설정!$C$13:$C$27,$S$1238)+1)))</f>
        <v/>
      </c>
      <c r="F1248" s="46">
        <f>IF(OR($S$1238="",$D1248=0,$D1248="",$E1248=""),"",$E1248/$D1248*100)</f>
        <v/>
      </c>
      <c r="G1248" s="8" t="n"/>
      <c r="H1248" s="47">
        <f>IF($F1248="","",REPT("■",ROUND($F1248/5,0)))</f>
        <v/>
      </c>
      <c r="I1248" s="7" t="n"/>
      <c r="J1248" s="7" t="n"/>
      <c r="K1248" s="7" t="n"/>
      <c r="L1248" s="7" t="n"/>
      <c r="M1248" s="7" t="n"/>
      <c r="N1248" s="7" t="n"/>
      <c r="O1248" s="7" t="n"/>
      <c r="P1248" s="8" t="n"/>
    </row>
    <row r="1249">
      <c r="A1249" s="14">
        <f>IF($S$1239="","",INDEX(회차설정!$A$13:$A$27,$S$1239))</f>
        <v/>
      </c>
      <c r="B1249" s="14">
        <f>IF($S$1239="","",INDEX(회차설정!$B$13:$B$27,$S$1239))</f>
        <v/>
      </c>
      <c r="C1249" s="8" t="n"/>
      <c r="D1249" s="14">
        <f>IF($S$1239="","",IF($R$1234="언어와 매체",SUMPRODUCT((자동계산!$A$4:$A$48&gt;=INDEX(회차설정!$C$13:$C$27,$S$1239))*(자동계산!$A$4:$A$48&lt;=INDEX(회차설정!$D$13:$D$27,$S$1239))*자동계산!$E$4:$E$48),SUMPRODUCT((자동계산!$A$4:$A$48&gt;=INDEX(회차설정!$C$13:$C$27,$S$1239))*(자동계산!$A$4:$A$48&lt;=INDEX(회차설정!$D$13:$D$27,$S$1239))*자동계산!$C$4:$C$48)))</f>
        <v/>
      </c>
      <c r="E1249" s="14">
        <f>IF(OR($S$1239="",$R$1233=""),"",SUM(OFFSET(전체채점!$AW$2,$R$1233,INDEX(회차설정!$C$13:$C$27,$S$1239),1,INDEX(회차설정!$D$13:$D$27,$S$1239)-INDEX(회차설정!$C$13:$C$27,$S$1239)+1)))</f>
        <v/>
      </c>
      <c r="F1249" s="46">
        <f>IF(OR($S$1239="",$D1249=0,$D1249="",$E1249=""),"",$E1249/$D1249*100)</f>
        <v/>
      </c>
      <c r="G1249" s="8" t="n"/>
      <c r="H1249" s="47">
        <f>IF($F1249="","",REPT("■",ROUND($F1249/5,0)))</f>
        <v/>
      </c>
      <c r="I1249" s="7" t="n"/>
      <c r="J1249" s="7" t="n"/>
      <c r="K1249" s="7" t="n"/>
      <c r="L1249" s="7" t="n"/>
      <c r="M1249" s="7" t="n"/>
      <c r="N1249" s="7" t="n"/>
      <c r="O1249" s="7" t="n"/>
      <c r="P1249" s="8" t="n"/>
    </row>
    <row r="1250">
      <c r="A1250" s="14">
        <f>IF($S$1240="","",INDEX(회차설정!$A$13:$A$27,$S$1240))</f>
        <v/>
      </c>
      <c r="B1250" s="14">
        <f>IF($S$1240="","",INDEX(회차설정!$B$13:$B$27,$S$1240))</f>
        <v/>
      </c>
      <c r="C1250" s="8" t="n"/>
      <c r="D1250" s="14">
        <f>IF($S$1240="","",IF($R$1234="언어와 매체",SUMPRODUCT((자동계산!$A$4:$A$48&gt;=INDEX(회차설정!$C$13:$C$27,$S$1240))*(자동계산!$A$4:$A$48&lt;=INDEX(회차설정!$D$13:$D$27,$S$1240))*자동계산!$E$4:$E$48),SUMPRODUCT((자동계산!$A$4:$A$48&gt;=INDEX(회차설정!$C$13:$C$27,$S$1240))*(자동계산!$A$4:$A$48&lt;=INDEX(회차설정!$D$13:$D$27,$S$1240))*자동계산!$C$4:$C$48)))</f>
        <v/>
      </c>
      <c r="E1250" s="14">
        <f>IF(OR($S$1240="",$R$1233=""),"",SUM(OFFSET(전체채점!$AW$2,$R$1233,INDEX(회차설정!$C$13:$C$27,$S$1240),1,INDEX(회차설정!$D$13:$D$27,$S$1240)-INDEX(회차설정!$C$13:$C$27,$S$1240)+1)))</f>
        <v/>
      </c>
      <c r="F1250" s="46">
        <f>IF(OR($S$1240="",$D1250=0,$D1250="",$E1250=""),"",$E1250/$D1250*100)</f>
        <v/>
      </c>
      <c r="G1250" s="8" t="n"/>
      <c r="H1250" s="47">
        <f>IF($F1250="","",REPT("■",ROUND($F1250/5,0)))</f>
        <v/>
      </c>
      <c r="I1250" s="7" t="n"/>
      <c r="J1250" s="7" t="n"/>
      <c r="K1250" s="7" t="n"/>
      <c r="L1250" s="7" t="n"/>
      <c r="M1250" s="7" t="n"/>
      <c r="N1250" s="7" t="n"/>
      <c r="O1250" s="7" t="n"/>
      <c r="P1250" s="8" t="n"/>
    </row>
    <row r="1251">
      <c r="A1251" s="14">
        <f>IF($S$1241="","",INDEX(회차설정!$A$13:$A$27,$S$1241))</f>
        <v/>
      </c>
      <c r="B1251" s="14">
        <f>IF($S$1241="","",INDEX(회차설정!$B$13:$B$27,$S$1241))</f>
        <v/>
      </c>
      <c r="C1251" s="8" t="n"/>
      <c r="D1251" s="14">
        <f>IF($S$1241="","",IF($R$1234="언어와 매체",SUMPRODUCT((자동계산!$A$4:$A$48&gt;=INDEX(회차설정!$C$13:$C$27,$S$1241))*(자동계산!$A$4:$A$48&lt;=INDEX(회차설정!$D$13:$D$27,$S$1241))*자동계산!$E$4:$E$48),SUMPRODUCT((자동계산!$A$4:$A$48&gt;=INDEX(회차설정!$C$13:$C$27,$S$1241))*(자동계산!$A$4:$A$48&lt;=INDEX(회차설정!$D$13:$D$27,$S$1241))*자동계산!$C$4:$C$48)))</f>
        <v/>
      </c>
      <c r="E1251" s="14">
        <f>IF(OR($S$1241="",$R$1233=""),"",SUM(OFFSET(전체채점!$AW$2,$R$1233,INDEX(회차설정!$C$13:$C$27,$S$1241),1,INDEX(회차설정!$D$13:$D$27,$S$1241)-INDEX(회차설정!$C$13:$C$27,$S$1241)+1)))</f>
        <v/>
      </c>
      <c r="F1251" s="46">
        <f>IF(OR($S$1241="",$D1251=0,$D1251="",$E1251=""),"",$E1251/$D1251*100)</f>
        <v/>
      </c>
      <c r="G1251" s="8" t="n"/>
      <c r="H1251" s="47">
        <f>IF($F1251="","",REPT("■",ROUND($F1251/5,0)))</f>
        <v/>
      </c>
      <c r="I1251" s="7" t="n"/>
      <c r="J1251" s="7" t="n"/>
      <c r="K1251" s="7" t="n"/>
      <c r="L1251" s="7" t="n"/>
      <c r="M1251" s="7" t="n"/>
      <c r="N1251" s="7" t="n"/>
      <c r="O1251" s="7" t="n"/>
      <c r="P1251" s="8" t="n"/>
    </row>
    <row r="1252">
      <c r="A1252" s="14">
        <f>IF($S$1242="","",INDEX(회차설정!$A$13:$A$27,$S$1242))</f>
        <v/>
      </c>
      <c r="B1252" s="14">
        <f>IF($S$1242="","",INDEX(회차설정!$B$13:$B$27,$S$1242))</f>
        <v/>
      </c>
      <c r="C1252" s="8" t="n"/>
      <c r="D1252" s="14">
        <f>IF($S$1242="","",IF($R$1234="언어와 매체",SUMPRODUCT((자동계산!$A$4:$A$48&gt;=INDEX(회차설정!$C$13:$C$27,$S$1242))*(자동계산!$A$4:$A$48&lt;=INDEX(회차설정!$D$13:$D$27,$S$1242))*자동계산!$E$4:$E$48),SUMPRODUCT((자동계산!$A$4:$A$48&gt;=INDEX(회차설정!$C$13:$C$27,$S$1242))*(자동계산!$A$4:$A$48&lt;=INDEX(회차설정!$D$13:$D$27,$S$1242))*자동계산!$C$4:$C$48)))</f>
        <v/>
      </c>
      <c r="E1252" s="14">
        <f>IF(OR($S$1242="",$R$1233=""),"",SUM(OFFSET(전체채점!$AW$2,$R$1233,INDEX(회차설정!$C$13:$C$27,$S$1242),1,INDEX(회차설정!$D$13:$D$27,$S$1242)-INDEX(회차설정!$C$13:$C$27,$S$1242)+1)))</f>
        <v/>
      </c>
      <c r="F1252" s="46">
        <f>IF(OR($S$1242="",$D1252=0,$D1252="",$E1252=""),"",$E1252/$D1252*100)</f>
        <v/>
      </c>
      <c r="G1252" s="8" t="n"/>
      <c r="H1252" s="47">
        <f>IF($F1252="","",REPT("■",ROUND($F1252/5,0)))</f>
        <v/>
      </c>
      <c r="I1252" s="7" t="n"/>
      <c r="J1252" s="7" t="n"/>
      <c r="K1252" s="7" t="n"/>
      <c r="L1252" s="7" t="n"/>
      <c r="M1252" s="7" t="n"/>
      <c r="N1252" s="7" t="n"/>
      <c r="O1252" s="7" t="n"/>
      <c r="P1252" s="8" t="n"/>
    </row>
    <row r="1253">
      <c r="A1253" s="14">
        <f>IF($S$1243="","",INDEX(회차설정!$A$13:$A$27,$S$1243))</f>
        <v/>
      </c>
      <c r="B1253" s="14">
        <f>IF($S$1243="","",INDEX(회차설정!$B$13:$B$27,$S$1243))</f>
        <v/>
      </c>
      <c r="C1253" s="8" t="n"/>
      <c r="D1253" s="14">
        <f>IF($S$1243="","",IF($R$1234="언어와 매체",SUMPRODUCT((자동계산!$A$4:$A$48&gt;=INDEX(회차설정!$C$13:$C$27,$S$1243))*(자동계산!$A$4:$A$48&lt;=INDEX(회차설정!$D$13:$D$27,$S$1243))*자동계산!$E$4:$E$48),SUMPRODUCT((자동계산!$A$4:$A$48&gt;=INDEX(회차설정!$C$13:$C$27,$S$1243))*(자동계산!$A$4:$A$48&lt;=INDEX(회차설정!$D$13:$D$27,$S$1243))*자동계산!$C$4:$C$48)))</f>
        <v/>
      </c>
      <c r="E1253" s="14">
        <f>IF(OR($S$1243="",$R$1233=""),"",SUM(OFFSET(전체채점!$AW$2,$R$1233,INDEX(회차설정!$C$13:$C$27,$S$1243),1,INDEX(회차설정!$D$13:$D$27,$S$1243)-INDEX(회차설정!$C$13:$C$27,$S$1243)+1)))</f>
        <v/>
      </c>
      <c r="F1253" s="46">
        <f>IF(OR($S$1243="",$D1253=0,$D1253="",$E1253=""),"",$E1253/$D1253*100)</f>
        <v/>
      </c>
      <c r="G1253" s="8" t="n"/>
      <c r="H1253" s="47">
        <f>IF($F1253="","",REPT("■",ROUND($F1253/5,0)))</f>
        <v/>
      </c>
      <c r="I1253" s="7" t="n"/>
      <c r="J1253" s="7" t="n"/>
      <c r="K1253" s="7" t="n"/>
      <c r="L1253" s="7" t="n"/>
      <c r="M1253" s="7" t="n"/>
      <c r="N1253" s="7" t="n"/>
      <c r="O1253" s="7" t="n"/>
      <c r="P1253" s="8" t="n"/>
    </row>
    <row r="1254">
      <c r="A1254" s="14">
        <f>IF($S$1244="","",INDEX(회차설정!$A$13:$A$27,$S$1244))</f>
        <v/>
      </c>
      <c r="B1254" s="14">
        <f>IF($S$1244="","",INDEX(회차설정!$B$13:$B$27,$S$1244))</f>
        <v/>
      </c>
      <c r="C1254" s="8" t="n"/>
      <c r="D1254" s="14">
        <f>IF($S$1244="","",IF($R$1234="언어와 매체",SUMPRODUCT((자동계산!$A$4:$A$48&gt;=INDEX(회차설정!$C$13:$C$27,$S$1244))*(자동계산!$A$4:$A$48&lt;=INDEX(회차설정!$D$13:$D$27,$S$1244))*자동계산!$E$4:$E$48),SUMPRODUCT((자동계산!$A$4:$A$48&gt;=INDEX(회차설정!$C$13:$C$27,$S$1244))*(자동계산!$A$4:$A$48&lt;=INDEX(회차설정!$D$13:$D$27,$S$1244))*자동계산!$C$4:$C$48)))</f>
        <v/>
      </c>
      <c r="E1254" s="14">
        <f>IF(OR($S$1244="",$R$1233=""),"",SUM(OFFSET(전체채점!$AW$2,$R$1233,INDEX(회차설정!$C$13:$C$27,$S$1244),1,INDEX(회차설정!$D$13:$D$27,$S$1244)-INDEX(회차설정!$C$13:$C$27,$S$1244)+1)))</f>
        <v/>
      </c>
      <c r="F1254" s="46">
        <f>IF(OR($S$1244="",$D1254=0,$D1254="",$E1254=""),"",$E1254/$D1254*100)</f>
        <v/>
      </c>
      <c r="G1254" s="8" t="n"/>
      <c r="H1254" s="47">
        <f>IF($F1254="","",REPT("■",ROUND($F1254/5,0)))</f>
        <v/>
      </c>
      <c r="I1254" s="7" t="n"/>
      <c r="J1254" s="7" t="n"/>
      <c r="K1254" s="7" t="n"/>
      <c r="L1254" s="7" t="n"/>
      <c r="M1254" s="7" t="n"/>
      <c r="N1254" s="7" t="n"/>
      <c r="O1254" s="7" t="n"/>
      <c r="P1254" s="8" t="n"/>
    </row>
    <row r="1255">
      <c r="A1255" s="5">
        <f>IF($R$1233="","","합계")</f>
        <v/>
      </c>
      <c r="B1255" s="7" t="n"/>
      <c r="C1255" s="8" t="n"/>
      <c r="D1255" s="5">
        <f>IF($R$1233="","",SUM(D1243:D1254))</f>
        <v/>
      </c>
      <c r="E1255" s="5">
        <f>IF($R$1233="","",SUM(E1243:E1254))</f>
        <v/>
      </c>
      <c r="F1255" s="48">
        <f>IF(OR($D1255=0,$D1255=""),"",$E1255/$D1255*100)</f>
        <v/>
      </c>
      <c r="G1255" s="8" t="n"/>
      <c r="H1255" s="49">
        <f>IF($F1255="","",REPT("■",ROUND($F1255/5,0)))</f>
        <v/>
      </c>
      <c r="I1255" s="7" t="n"/>
      <c r="J1255" s="7" t="n"/>
      <c r="K1255" s="7" t="n"/>
      <c r="L1255" s="7" t="n"/>
      <c r="M1255" s="7" t="n"/>
      <c r="N1255" s="7" t="n"/>
      <c r="O1255" s="7" t="n"/>
      <c r="P1255" s="8" t="n"/>
    </row>
    <row r="1257">
      <c r="A1257" s="12" t="inlineStr">
        <is>
          <t>4. 문항 채점표</t>
        </is>
      </c>
    </row>
    <row r="1258">
      <c r="A1258" s="50" t="inlineStr">
        <is>
          <t>문항 번호</t>
        </is>
      </c>
      <c r="B1258" s="51" t="n">
        <v>1</v>
      </c>
      <c r="C1258" s="51" t="n">
        <v>2</v>
      </c>
      <c r="D1258" s="51" t="n">
        <v>3</v>
      </c>
      <c r="E1258" s="51" t="n">
        <v>4</v>
      </c>
      <c r="F1258" s="51" t="n">
        <v>5</v>
      </c>
      <c r="G1258" s="51" t="n">
        <v>6</v>
      </c>
      <c r="H1258" s="51" t="n">
        <v>7</v>
      </c>
      <c r="I1258" s="51" t="n">
        <v>8</v>
      </c>
      <c r="J1258" s="51" t="n">
        <v>9</v>
      </c>
      <c r="K1258" s="51" t="n">
        <v>10</v>
      </c>
      <c r="L1258" s="51" t="n">
        <v>11</v>
      </c>
      <c r="M1258" s="51" t="n">
        <v>12</v>
      </c>
      <c r="N1258" s="51" t="n">
        <v>13</v>
      </c>
      <c r="O1258" s="51" t="n">
        <v>14</v>
      </c>
      <c r="P1258" s="51" t="n">
        <v>15</v>
      </c>
    </row>
    <row r="1259">
      <c r="A1259" s="52" t="inlineStr">
        <is>
          <t>정답</t>
        </is>
      </c>
      <c r="B1259" s="33">
        <f>IF($R$1234="","",IF($R$1234="언어와 매체",자동계산!$D$4,자동계산!$B$4))</f>
        <v/>
      </c>
      <c r="C1259" s="33">
        <f>IF($R$1234="","",IF($R$1234="언어와 매체",자동계산!$D$5,자동계산!$B$5))</f>
        <v/>
      </c>
      <c r="D1259" s="33">
        <f>IF($R$1234="","",IF($R$1234="언어와 매체",자동계산!$D$6,자동계산!$B$6))</f>
        <v/>
      </c>
      <c r="E1259" s="33">
        <f>IF($R$1234="","",IF($R$1234="언어와 매체",자동계산!$D$7,자동계산!$B$7))</f>
        <v/>
      </c>
      <c r="F1259" s="33">
        <f>IF($R$1234="","",IF($R$1234="언어와 매체",자동계산!$D$8,자동계산!$B$8))</f>
        <v/>
      </c>
      <c r="G1259" s="33">
        <f>IF($R$1234="","",IF($R$1234="언어와 매체",자동계산!$D$9,자동계산!$B$9))</f>
        <v/>
      </c>
      <c r="H1259" s="33">
        <f>IF($R$1234="","",IF($R$1234="언어와 매체",자동계산!$D$10,자동계산!$B$10))</f>
        <v/>
      </c>
      <c r="I1259" s="33">
        <f>IF($R$1234="","",IF($R$1234="언어와 매체",자동계산!$D$11,자동계산!$B$11))</f>
        <v/>
      </c>
      <c r="J1259" s="33">
        <f>IF($R$1234="","",IF($R$1234="언어와 매체",자동계산!$D$12,자동계산!$B$12))</f>
        <v/>
      </c>
      <c r="K1259" s="33">
        <f>IF($R$1234="","",IF($R$1234="언어와 매체",자동계산!$D$13,자동계산!$B$13))</f>
        <v/>
      </c>
      <c r="L1259" s="33">
        <f>IF($R$1234="","",IF($R$1234="언어와 매체",자동계산!$D$14,자동계산!$B$14))</f>
        <v/>
      </c>
      <c r="M1259" s="33">
        <f>IF($R$1234="","",IF($R$1234="언어와 매체",자동계산!$D$15,자동계산!$B$15))</f>
        <v/>
      </c>
      <c r="N1259" s="33">
        <f>IF($R$1234="","",IF($R$1234="언어와 매체",자동계산!$D$16,자동계산!$B$16))</f>
        <v/>
      </c>
      <c r="O1259" s="33">
        <f>IF($R$1234="","",IF($R$1234="언어와 매체",자동계산!$D$17,자동계산!$B$17))</f>
        <v/>
      </c>
      <c r="P1259" s="33">
        <f>IF($R$1234="","",IF($R$1234="언어와 매체",자동계산!$D$18,자동계산!$B$18))</f>
        <v/>
      </c>
    </row>
    <row r="1260">
      <c r="A1260" s="52" t="inlineStr">
        <is>
          <t>학생답안</t>
        </is>
      </c>
      <c r="B1260" s="33">
        <f>IF($R$1233="","",INDEX(전체채점!E$3:E$62,$R$1233))</f>
        <v/>
      </c>
      <c r="C1260" s="33">
        <f>IF($R$1233="","",INDEX(전체채점!F$3:F$62,$R$1233))</f>
        <v/>
      </c>
      <c r="D1260" s="33">
        <f>IF($R$1233="","",INDEX(전체채점!G$3:G$62,$R$1233))</f>
        <v/>
      </c>
      <c r="E1260" s="33">
        <f>IF($R$1233="","",INDEX(전체채점!H$3:H$62,$R$1233))</f>
        <v/>
      </c>
      <c r="F1260" s="33">
        <f>IF($R$1233="","",INDEX(전체채점!I$3:I$62,$R$1233))</f>
        <v/>
      </c>
      <c r="G1260" s="33">
        <f>IF($R$1233="","",INDEX(전체채점!J$3:J$62,$R$1233))</f>
        <v/>
      </c>
      <c r="H1260" s="33">
        <f>IF($R$1233="","",INDEX(전체채점!K$3:K$62,$R$1233))</f>
        <v/>
      </c>
      <c r="I1260" s="33">
        <f>IF($R$1233="","",INDEX(전체채점!L$3:L$62,$R$1233))</f>
        <v/>
      </c>
      <c r="J1260" s="33">
        <f>IF($R$1233="","",INDEX(전체채점!M$3:M$62,$R$1233))</f>
        <v/>
      </c>
      <c r="K1260" s="33">
        <f>IF($R$1233="","",INDEX(전체채점!N$3:N$62,$R$1233))</f>
        <v/>
      </c>
      <c r="L1260" s="33">
        <f>IF($R$1233="","",INDEX(전체채점!O$3:O$62,$R$1233))</f>
        <v/>
      </c>
      <c r="M1260" s="33">
        <f>IF($R$1233="","",INDEX(전체채점!P$3:P$62,$R$1233))</f>
        <v/>
      </c>
      <c r="N1260" s="33">
        <f>IF($R$1233="","",INDEX(전체채점!Q$3:Q$62,$R$1233))</f>
        <v/>
      </c>
      <c r="O1260" s="33">
        <f>IF($R$1233="","",INDEX(전체채점!R$3:R$62,$R$1233))</f>
        <v/>
      </c>
      <c r="P1260" s="33">
        <f>IF($R$1233="","",INDEX(전체채점!S$3:S$62,$R$1233))</f>
        <v/>
      </c>
    </row>
    <row r="1261">
      <c r="A1261" s="52" t="inlineStr">
        <is>
          <t>정오</t>
        </is>
      </c>
      <c r="B1261" s="33">
        <f>IF($R$1233="","",INDEX(전체채점!AX$3:AX$62,$R$1233))</f>
        <v/>
      </c>
      <c r="C1261" s="33">
        <f>IF($R$1233="","",INDEX(전체채점!AY$3:AY$62,$R$1233))</f>
        <v/>
      </c>
      <c r="D1261" s="33">
        <f>IF($R$1233="","",INDEX(전체채점!AZ$3:AZ$62,$R$1233))</f>
        <v/>
      </c>
      <c r="E1261" s="33">
        <f>IF($R$1233="","",INDEX(전체채점!BA$3:BA$62,$R$1233))</f>
        <v/>
      </c>
      <c r="F1261" s="33">
        <f>IF($R$1233="","",INDEX(전체채점!BB$3:BB$62,$R$1233))</f>
        <v/>
      </c>
      <c r="G1261" s="33">
        <f>IF($R$1233="","",INDEX(전체채점!BC$3:BC$62,$R$1233))</f>
        <v/>
      </c>
      <c r="H1261" s="33">
        <f>IF($R$1233="","",INDEX(전체채점!BD$3:BD$62,$R$1233))</f>
        <v/>
      </c>
      <c r="I1261" s="33">
        <f>IF($R$1233="","",INDEX(전체채점!BE$3:BE$62,$R$1233))</f>
        <v/>
      </c>
      <c r="J1261" s="33">
        <f>IF($R$1233="","",INDEX(전체채점!BF$3:BF$62,$R$1233))</f>
        <v/>
      </c>
      <c r="K1261" s="33">
        <f>IF($R$1233="","",INDEX(전체채점!BG$3:BG$62,$R$1233))</f>
        <v/>
      </c>
      <c r="L1261" s="33">
        <f>IF($R$1233="","",INDEX(전체채점!BH$3:BH$62,$R$1233))</f>
        <v/>
      </c>
      <c r="M1261" s="33">
        <f>IF($R$1233="","",INDEX(전체채점!BI$3:BI$62,$R$1233))</f>
        <v/>
      </c>
      <c r="N1261" s="33">
        <f>IF($R$1233="","",INDEX(전체채점!BJ$3:BJ$62,$R$1233))</f>
        <v/>
      </c>
      <c r="O1261" s="33">
        <f>IF($R$1233="","",INDEX(전체채점!BK$3:BK$62,$R$1233))</f>
        <v/>
      </c>
      <c r="P1261" s="33">
        <f>IF($R$1233="","",INDEX(전체채점!BL$3:BL$62,$R$1233))</f>
        <v/>
      </c>
    </row>
    <row r="1262">
      <c r="A1262" s="50" t="inlineStr">
        <is>
          <t>문항 번호</t>
        </is>
      </c>
      <c r="B1262" s="51" t="n">
        <v>16</v>
      </c>
      <c r="C1262" s="51" t="n">
        <v>17</v>
      </c>
      <c r="D1262" s="51" t="n">
        <v>18</v>
      </c>
      <c r="E1262" s="51" t="n">
        <v>19</v>
      </c>
      <c r="F1262" s="51" t="n">
        <v>20</v>
      </c>
      <c r="G1262" s="51" t="n">
        <v>21</v>
      </c>
      <c r="H1262" s="51" t="n">
        <v>22</v>
      </c>
      <c r="I1262" s="51" t="n">
        <v>23</v>
      </c>
      <c r="J1262" s="51" t="n">
        <v>24</v>
      </c>
      <c r="K1262" s="51" t="n">
        <v>25</v>
      </c>
      <c r="L1262" s="51" t="n">
        <v>26</v>
      </c>
      <c r="M1262" s="51" t="n">
        <v>27</v>
      </c>
      <c r="N1262" s="51" t="n">
        <v>28</v>
      </c>
      <c r="O1262" s="51" t="n">
        <v>29</v>
      </c>
      <c r="P1262" s="51" t="n">
        <v>30</v>
      </c>
    </row>
    <row r="1263">
      <c r="A1263" s="52" t="inlineStr">
        <is>
          <t>정답</t>
        </is>
      </c>
      <c r="B1263" s="33">
        <f>IF($R$1234="","",IF($R$1234="언어와 매체",자동계산!$D$19,자동계산!$B$19))</f>
        <v/>
      </c>
      <c r="C1263" s="33">
        <f>IF($R$1234="","",IF($R$1234="언어와 매체",자동계산!$D$20,자동계산!$B$20))</f>
        <v/>
      </c>
      <c r="D1263" s="33">
        <f>IF($R$1234="","",IF($R$1234="언어와 매체",자동계산!$D$21,자동계산!$B$21))</f>
        <v/>
      </c>
      <c r="E1263" s="33">
        <f>IF($R$1234="","",IF($R$1234="언어와 매체",자동계산!$D$22,자동계산!$B$22))</f>
        <v/>
      </c>
      <c r="F1263" s="33">
        <f>IF($R$1234="","",IF($R$1234="언어와 매체",자동계산!$D$23,자동계산!$B$23))</f>
        <v/>
      </c>
      <c r="G1263" s="33">
        <f>IF($R$1234="","",IF($R$1234="언어와 매체",자동계산!$D$24,자동계산!$B$24))</f>
        <v/>
      </c>
      <c r="H1263" s="33">
        <f>IF($R$1234="","",IF($R$1234="언어와 매체",자동계산!$D$25,자동계산!$B$25))</f>
        <v/>
      </c>
      <c r="I1263" s="33">
        <f>IF($R$1234="","",IF($R$1234="언어와 매체",자동계산!$D$26,자동계산!$B$26))</f>
        <v/>
      </c>
      <c r="J1263" s="33">
        <f>IF($R$1234="","",IF($R$1234="언어와 매체",자동계산!$D$27,자동계산!$B$27))</f>
        <v/>
      </c>
      <c r="K1263" s="33">
        <f>IF($R$1234="","",IF($R$1234="언어와 매체",자동계산!$D$28,자동계산!$B$28))</f>
        <v/>
      </c>
      <c r="L1263" s="33">
        <f>IF($R$1234="","",IF($R$1234="언어와 매체",자동계산!$D$29,자동계산!$B$29))</f>
        <v/>
      </c>
      <c r="M1263" s="33">
        <f>IF($R$1234="","",IF($R$1234="언어와 매체",자동계산!$D$30,자동계산!$B$30))</f>
        <v/>
      </c>
      <c r="N1263" s="33">
        <f>IF($R$1234="","",IF($R$1234="언어와 매체",자동계산!$D$31,자동계산!$B$31))</f>
        <v/>
      </c>
      <c r="O1263" s="33">
        <f>IF($R$1234="","",IF($R$1234="언어와 매체",자동계산!$D$32,자동계산!$B$32))</f>
        <v/>
      </c>
      <c r="P1263" s="33">
        <f>IF($R$1234="","",IF($R$1234="언어와 매체",자동계산!$D$33,자동계산!$B$33))</f>
        <v/>
      </c>
    </row>
    <row r="1264">
      <c r="A1264" s="52" t="inlineStr">
        <is>
          <t>학생답안</t>
        </is>
      </c>
      <c r="B1264" s="33">
        <f>IF($R$1233="","",INDEX(전체채점!T$3:T$62,$R$1233))</f>
        <v/>
      </c>
      <c r="C1264" s="33">
        <f>IF($R$1233="","",INDEX(전체채점!U$3:U$62,$R$1233))</f>
        <v/>
      </c>
      <c r="D1264" s="33">
        <f>IF($R$1233="","",INDEX(전체채점!V$3:V$62,$R$1233))</f>
        <v/>
      </c>
      <c r="E1264" s="33">
        <f>IF($R$1233="","",INDEX(전체채점!W$3:W$62,$R$1233))</f>
        <v/>
      </c>
      <c r="F1264" s="33">
        <f>IF($R$1233="","",INDEX(전체채점!X$3:X$62,$R$1233))</f>
        <v/>
      </c>
      <c r="G1264" s="33">
        <f>IF($R$1233="","",INDEX(전체채점!Y$3:Y$62,$R$1233))</f>
        <v/>
      </c>
      <c r="H1264" s="33">
        <f>IF($R$1233="","",INDEX(전체채점!Z$3:Z$62,$R$1233))</f>
        <v/>
      </c>
      <c r="I1264" s="33">
        <f>IF($R$1233="","",INDEX(전체채점!AA$3:AA$62,$R$1233))</f>
        <v/>
      </c>
      <c r="J1264" s="33">
        <f>IF($R$1233="","",INDEX(전체채점!AB$3:AB$62,$R$1233))</f>
        <v/>
      </c>
      <c r="K1264" s="33">
        <f>IF($R$1233="","",INDEX(전체채점!AC$3:AC$62,$R$1233))</f>
        <v/>
      </c>
      <c r="L1264" s="33">
        <f>IF($R$1233="","",INDEX(전체채점!AD$3:AD$62,$R$1233))</f>
        <v/>
      </c>
      <c r="M1264" s="33">
        <f>IF($R$1233="","",INDEX(전체채점!AE$3:AE$62,$R$1233))</f>
        <v/>
      </c>
      <c r="N1264" s="33">
        <f>IF($R$1233="","",INDEX(전체채점!AF$3:AF$62,$R$1233))</f>
        <v/>
      </c>
      <c r="O1264" s="33">
        <f>IF($R$1233="","",INDEX(전체채점!AG$3:AG$62,$R$1233))</f>
        <v/>
      </c>
      <c r="P1264" s="33">
        <f>IF($R$1233="","",INDEX(전체채점!AH$3:AH$62,$R$1233))</f>
        <v/>
      </c>
    </row>
    <row r="1265">
      <c r="A1265" s="52" t="inlineStr">
        <is>
          <t>정오</t>
        </is>
      </c>
      <c r="B1265" s="33">
        <f>IF($R$1233="","",INDEX(전체채점!BM$3:BM$62,$R$1233))</f>
        <v/>
      </c>
      <c r="C1265" s="33">
        <f>IF($R$1233="","",INDEX(전체채점!BN$3:BN$62,$R$1233))</f>
        <v/>
      </c>
      <c r="D1265" s="33">
        <f>IF($R$1233="","",INDEX(전체채점!BO$3:BO$62,$R$1233))</f>
        <v/>
      </c>
      <c r="E1265" s="33">
        <f>IF($R$1233="","",INDEX(전체채점!BP$3:BP$62,$R$1233))</f>
        <v/>
      </c>
      <c r="F1265" s="33">
        <f>IF($R$1233="","",INDEX(전체채점!BQ$3:BQ$62,$R$1233))</f>
        <v/>
      </c>
      <c r="G1265" s="33">
        <f>IF($R$1233="","",INDEX(전체채점!BR$3:BR$62,$R$1233))</f>
        <v/>
      </c>
      <c r="H1265" s="33">
        <f>IF($R$1233="","",INDEX(전체채점!BS$3:BS$62,$R$1233))</f>
        <v/>
      </c>
      <c r="I1265" s="33">
        <f>IF($R$1233="","",INDEX(전체채점!BT$3:BT$62,$R$1233))</f>
        <v/>
      </c>
      <c r="J1265" s="33">
        <f>IF($R$1233="","",INDEX(전체채점!BU$3:BU$62,$R$1233))</f>
        <v/>
      </c>
      <c r="K1265" s="33">
        <f>IF($R$1233="","",INDEX(전체채점!BV$3:BV$62,$R$1233))</f>
        <v/>
      </c>
      <c r="L1265" s="33">
        <f>IF($R$1233="","",INDEX(전체채점!BW$3:BW$62,$R$1233))</f>
        <v/>
      </c>
      <c r="M1265" s="33">
        <f>IF($R$1233="","",INDEX(전체채점!BX$3:BX$62,$R$1233))</f>
        <v/>
      </c>
      <c r="N1265" s="33">
        <f>IF($R$1233="","",INDEX(전체채점!BY$3:BY$62,$R$1233))</f>
        <v/>
      </c>
      <c r="O1265" s="33">
        <f>IF($R$1233="","",INDEX(전체채점!BZ$3:BZ$62,$R$1233))</f>
        <v/>
      </c>
      <c r="P1265" s="33">
        <f>IF($R$1233="","",INDEX(전체채점!CA$3:CA$62,$R$1233))</f>
        <v/>
      </c>
    </row>
    <row r="1266">
      <c r="A1266" s="50" t="inlineStr">
        <is>
          <t>문항 번호</t>
        </is>
      </c>
      <c r="B1266" s="51" t="n">
        <v>31</v>
      </c>
      <c r="C1266" s="51" t="n">
        <v>32</v>
      </c>
      <c r="D1266" s="51" t="n">
        <v>33</v>
      </c>
      <c r="E1266" s="51" t="n">
        <v>34</v>
      </c>
      <c r="F1266" s="51" t="n">
        <v>35</v>
      </c>
      <c r="G1266" s="51" t="n">
        <v>36</v>
      </c>
      <c r="H1266" s="51" t="n">
        <v>37</v>
      </c>
      <c r="I1266" s="51" t="n">
        <v>38</v>
      </c>
      <c r="J1266" s="51" t="n">
        <v>39</v>
      </c>
      <c r="K1266" s="51" t="n">
        <v>40</v>
      </c>
      <c r="L1266" s="51" t="n">
        <v>41</v>
      </c>
      <c r="M1266" s="51" t="n">
        <v>42</v>
      </c>
      <c r="N1266" s="51" t="n">
        <v>43</v>
      </c>
      <c r="O1266" s="51" t="n">
        <v>44</v>
      </c>
      <c r="P1266" s="51" t="n">
        <v>45</v>
      </c>
    </row>
    <row r="1267">
      <c r="A1267" s="52" t="inlineStr">
        <is>
          <t>정답</t>
        </is>
      </c>
      <c r="B1267" s="33">
        <f>IF($R$1234="","",IF($R$1234="언어와 매체",자동계산!$D$34,자동계산!$B$34))</f>
        <v/>
      </c>
      <c r="C1267" s="33">
        <f>IF($R$1234="","",IF($R$1234="언어와 매체",자동계산!$D$35,자동계산!$B$35))</f>
        <v/>
      </c>
      <c r="D1267" s="33">
        <f>IF($R$1234="","",IF($R$1234="언어와 매체",자동계산!$D$36,자동계산!$B$36))</f>
        <v/>
      </c>
      <c r="E1267" s="33">
        <f>IF($R$1234="","",IF($R$1234="언어와 매체",자동계산!$D$37,자동계산!$B$37))</f>
        <v/>
      </c>
      <c r="F1267" s="33">
        <f>IF($R$1234="","",IF($R$1234="언어와 매체",자동계산!$D$38,자동계산!$B$38))</f>
        <v/>
      </c>
      <c r="G1267" s="33">
        <f>IF($R$1234="","",IF($R$1234="언어와 매체",자동계산!$D$39,자동계산!$B$39))</f>
        <v/>
      </c>
      <c r="H1267" s="33">
        <f>IF($R$1234="","",IF($R$1234="언어와 매체",자동계산!$D$40,자동계산!$B$40))</f>
        <v/>
      </c>
      <c r="I1267" s="33">
        <f>IF($R$1234="","",IF($R$1234="언어와 매체",자동계산!$D$41,자동계산!$B$41))</f>
        <v/>
      </c>
      <c r="J1267" s="33">
        <f>IF($R$1234="","",IF($R$1234="언어와 매체",자동계산!$D$42,자동계산!$B$42))</f>
        <v/>
      </c>
      <c r="K1267" s="33">
        <f>IF($R$1234="","",IF($R$1234="언어와 매체",자동계산!$D$43,자동계산!$B$43))</f>
        <v/>
      </c>
      <c r="L1267" s="33">
        <f>IF($R$1234="","",IF($R$1234="언어와 매체",자동계산!$D$44,자동계산!$B$44))</f>
        <v/>
      </c>
      <c r="M1267" s="33">
        <f>IF($R$1234="","",IF($R$1234="언어와 매체",자동계산!$D$45,자동계산!$B$45))</f>
        <v/>
      </c>
      <c r="N1267" s="33">
        <f>IF($R$1234="","",IF($R$1234="언어와 매체",자동계산!$D$46,자동계산!$B$46))</f>
        <v/>
      </c>
      <c r="O1267" s="33">
        <f>IF($R$1234="","",IF($R$1234="언어와 매체",자동계산!$D$47,자동계산!$B$47))</f>
        <v/>
      </c>
      <c r="P1267" s="33">
        <f>IF($R$1234="","",IF($R$1234="언어와 매체",자동계산!$D$48,자동계산!$B$48))</f>
        <v/>
      </c>
    </row>
    <row r="1268">
      <c r="A1268" s="52" t="inlineStr">
        <is>
          <t>학생답안</t>
        </is>
      </c>
      <c r="B1268" s="33">
        <f>IF($R$1233="","",INDEX(전체채점!AI$3:AI$62,$R$1233))</f>
        <v/>
      </c>
      <c r="C1268" s="33">
        <f>IF($R$1233="","",INDEX(전체채점!AJ$3:AJ$62,$R$1233))</f>
        <v/>
      </c>
      <c r="D1268" s="33">
        <f>IF($R$1233="","",INDEX(전체채점!AK$3:AK$62,$R$1233))</f>
        <v/>
      </c>
      <c r="E1268" s="33">
        <f>IF($R$1233="","",INDEX(전체채점!AL$3:AL$62,$R$1233))</f>
        <v/>
      </c>
      <c r="F1268" s="33">
        <f>IF($R$1233="","",INDEX(전체채점!AM$3:AM$62,$R$1233))</f>
        <v/>
      </c>
      <c r="G1268" s="33">
        <f>IF($R$1233="","",INDEX(전체채점!AN$3:AN$62,$R$1233))</f>
        <v/>
      </c>
      <c r="H1268" s="33">
        <f>IF($R$1233="","",INDEX(전체채점!AO$3:AO$62,$R$1233))</f>
        <v/>
      </c>
      <c r="I1268" s="33">
        <f>IF($R$1233="","",INDEX(전체채점!AP$3:AP$62,$R$1233))</f>
        <v/>
      </c>
      <c r="J1268" s="33">
        <f>IF($R$1233="","",INDEX(전체채점!AQ$3:AQ$62,$R$1233))</f>
        <v/>
      </c>
      <c r="K1268" s="33">
        <f>IF($R$1233="","",INDEX(전체채점!AR$3:AR$62,$R$1233))</f>
        <v/>
      </c>
      <c r="L1268" s="33">
        <f>IF($R$1233="","",INDEX(전체채점!AS$3:AS$62,$R$1233))</f>
        <v/>
      </c>
      <c r="M1268" s="33">
        <f>IF($R$1233="","",INDEX(전체채점!AT$3:AT$62,$R$1233))</f>
        <v/>
      </c>
      <c r="N1268" s="33">
        <f>IF($R$1233="","",INDEX(전체채점!AU$3:AU$62,$R$1233))</f>
        <v/>
      </c>
      <c r="O1268" s="33">
        <f>IF($R$1233="","",INDEX(전체채점!AV$3:AV$62,$R$1233))</f>
        <v/>
      </c>
      <c r="P1268" s="33">
        <f>IF($R$1233="","",INDEX(전체채점!AW$3:AW$62,$R$1233))</f>
        <v/>
      </c>
    </row>
    <row r="1269">
      <c r="A1269" s="52" t="inlineStr">
        <is>
          <t>정오</t>
        </is>
      </c>
      <c r="B1269" s="33">
        <f>IF($R$1233="","",INDEX(전체채점!CB$3:CB$62,$R$1233))</f>
        <v/>
      </c>
      <c r="C1269" s="33">
        <f>IF($R$1233="","",INDEX(전체채점!CC$3:CC$62,$R$1233))</f>
        <v/>
      </c>
      <c r="D1269" s="33">
        <f>IF($R$1233="","",INDEX(전체채점!CD$3:CD$62,$R$1233))</f>
        <v/>
      </c>
      <c r="E1269" s="33">
        <f>IF($R$1233="","",INDEX(전체채점!CE$3:CE$62,$R$1233))</f>
        <v/>
      </c>
      <c r="F1269" s="33">
        <f>IF($R$1233="","",INDEX(전체채점!CF$3:CF$62,$R$1233))</f>
        <v/>
      </c>
      <c r="G1269" s="33">
        <f>IF($R$1233="","",INDEX(전체채점!CG$3:CG$62,$R$1233))</f>
        <v/>
      </c>
      <c r="H1269" s="33">
        <f>IF($R$1233="","",INDEX(전체채점!CH$3:CH$62,$R$1233))</f>
        <v/>
      </c>
      <c r="I1269" s="33">
        <f>IF($R$1233="","",INDEX(전체채점!CI$3:CI$62,$R$1233))</f>
        <v/>
      </c>
      <c r="J1269" s="33">
        <f>IF($R$1233="","",INDEX(전체채점!CJ$3:CJ$62,$R$1233))</f>
        <v/>
      </c>
      <c r="K1269" s="33">
        <f>IF($R$1233="","",INDEX(전체채점!CK$3:CK$62,$R$1233))</f>
        <v/>
      </c>
      <c r="L1269" s="33">
        <f>IF($R$1233="","",INDEX(전체채점!CL$3:CL$62,$R$1233))</f>
        <v/>
      </c>
      <c r="M1269" s="33">
        <f>IF($R$1233="","",INDEX(전체채점!CM$3:CM$62,$R$1233))</f>
        <v/>
      </c>
      <c r="N1269" s="33">
        <f>IF($R$1233="","",INDEX(전체채점!CN$3:CN$62,$R$1233))</f>
        <v/>
      </c>
      <c r="O1269" s="33">
        <f>IF($R$1233="","",INDEX(전체채점!CO$3:CO$62,$R$1233))</f>
        <v/>
      </c>
      <c r="P1269" s="33">
        <f>IF($R$1233="","",INDEX(전체채점!CP$3:CP$62,$R$1233))</f>
        <v/>
      </c>
    </row>
    <row r="1272" ht="34" customHeight="1">
      <c r="A1272" s="36">
        <f>IF($R$1274="","",회차설정!$B$2&amp;" 성적표")</f>
        <v/>
      </c>
    </row>
    <row r="1274">
      <c r="A1274" s="12" t="inlineStr">
        <is>
          <t>1. 학생정보</t>
        </is>
      </c>
      <c r="R1274" s="37">
        <f>IF(답안입력!$A$34="","",32)</f>
        <v/>
      </c>
      <c r="S1274" s="37">
        <f>IF($R$1275="","",IFERROR(IF($R$1275="언어와 매체",MATCH(1,회차설정!$G$13:$G$27,0),MATCH(1,회차설정!$F$13:$F$27,0)),""))</f>
        <v/>
      </c>
    </row>
    <row r="1275">
      <c r="A1275" s="13" t="inlineStr">
        <is>
          <t>성명</t>
        </is>
      </c>
      <c r="B1275" s="7" t="n"/>
      <c r="C1275" s="8" t="n"/>
      <c r="D1275" s="13" t="inlineStr">
        <is>
          <t>선택과목</t>
        </is>
      </c>
      <c r="E1275" s="7" t="n"/>
      <c r="F1275" s="7" t="n"/>
      <c r="G1275" s="8" t="n"/>
      <c r="H1275" s="13" t="inlineStr">
        <is>
          <t>학년</t>
        </is>
      </c>
      <c r="I1275" s="7" t="n"/>
      <c r="J1275" s="7" t="n"/>
      <c r="K1275" s="8" t="n"/>
      <c r="L1275" s="13" t="inlineStr">
        <is>
          <t>시행일</t>
        </is>
      </c>
      <c r="M1275" s="7" t="n"/>
      <c r="N1275" s="7" t="n"/>
      <c r="O1275" s="7" t="n"/>
      <c r="P1275" s="8" t="n"/>
      <c r="R1275" s="37">
        <f>IF($R$1274="","",INDEX(전체채점!$B$3:$B$62,$R$1274))</f>
        <v/>
      </c>
      <c r="S1275" s="37">
        <f>IF($R$1275="","",IFERROR(IF($R$1275="언어와 매체",MATCH(2,회차설정!$G$13:$G$27,0),MATCH(2,회차설정!$F$13:$F$27,0)),""))</f>
        <v/>
      </c>
    </row>
    <row r="1276" ht="26" customHeight="1">
      <c r="A1276" s="39">
        <f>IF($R$1274="","",INDEX(답안입력!$A$3:$A$62,$R$1274))</f>
        <v/>
      </c>
      <c r="B1276" s="7" t="n"/>
      <c r="C1276" s="8" t="n"/>
      <c r="D1276" s="39">
        <f>IF($R$1274="","",INDEX(답안입력!$C$3:$C$62,$R$1274))</f>
        <v/>
      </c>
      <c r="E1276" s="7" t="n"/>
      <c r="F1276" s="7" t="n"/>
      <c r="G1276" s="8" t="n"/>
      <c r="H1276" s="39">
        <f>IF($R$1274="","",INDEX(답안입력!$B$3:$B$62,$R$1274))</f>
        <v/>
      </c>
      <c r="I1276" s="7" t="n"/>
      <c r="J1276" s="7" t="n"/>
      <c r="K1276" s="8" t="n"/>
      <c r="L1276" s="40">
        <f>회차설정!$B$3</f>
        <v/>
      </c>
      <c r="M1276" s="7" t="n"/>
      <c r="N1276" s="7" t="n"/>
      <c r="O1276" s="7" t="n"/>
      <c r="P1276" s="8" t="n"/>
      <c r="R1276" s="37">
        <f>IF($R$1275="언어와 매체",회차설정!$B$9,회차설정!$B$8)</f>
        <v/>
      </c>
      <c r="S1276" s="37">
        <f>IF($R$1275="","",IFERROR(IF($R$1275="언어와 매체",MATCH(3,회차설정!$G$13:$G$27,0),MATCH(3,회차설정!$F$13:$F$27,0)),""))</f>
        <v/>
      </c>
    </row>
    <row r="1277">
      <c r="R1277" s="37">
        <f>IF($R$1275="언어와 매체",회차설정!$C$9,회차설정!$C$8)</f>
        <v/>
      </c>
      <c r="S1277" s="37">
        <f>IF($R$1275="","",IFERROR(IF($R$1275="언어와 매체",MATCH(4,회차설정!$G$13:$G$27,0),MATCH(4,회차설정!$F$13:$F$27,0)),""))</f>
        <v/>
      </c>
    </row>
    <row r="1278">
      <c r="A1278" s="12" t="inlineStr">
        <is>
          <t>2. 성적</t>
        </is>
      </c>
      <c r="R1278" s="37">
        <f>IF($R$1275="언어와 매체",회차설정!$D$9,회차설정!$D$8)</f>
        <v/>
      </c>
      <c r="S1278" s="37">
        <f>IF($R$1275="","",IFERROR(IF($R$1275="언어와 매체",MATCH(5,회차설정!$G$13:$G$27,0),MATCH(5,회차설정!$F$13:$F$27,0)),""))</f>
        <v/>
      </c>
    </row>
    <row r="1279">
      <c r="A1279" s="13" t="inlineStr">
        <is>
          <t>점수 (100점 만점)</t>
        </is>
      </c>
      <c r="B1279" s="7" t="n"/>
      <c r="C1279" s="7" t="n"/>
      <c r="D1279" s="7" t="n"/>
      <c r="E1279" s="8" t="n"/>
      <c r="F1279" s="13" t="inlineStr">
        <is>
          <t>등급</t>
        </is>
      </c>
      <c r="G1279" s="7" t="n"/>
      <c r="H1279" s="8" t="n"/>
      <c r="I1279" s="13" t="inlineStr">
        <is>
          <t>등급컷</t>
        </is>
      </c>
      <c r="J1279" s="7" t="n"/>
      <c r="K1279" s="7" t="n"/>
      <c r="L1279" s="8" t="n"/>
      <c r="M1279" s="13" t="inlineStr">
        <is>
          <t>같은 선택과목 평균</t>
        </is>
      </c>
      <c r="N1279" s="7" t="n"/>
      <c r="O1279" s="7" t="n"/>
      <c r="P1279" s="8" t="n"/>
      <c r="R1279" s="37">
        <f>IF($R$1275="언어와 매체",회차설정!$E$9,회차설정!$E$8)</f>
        <v/>
      </c>
      <c r="S1279" s="37">
        <f>IF($R$1275="","",IFERROR(IF($R$1275="언어와 매체",MATCH(6,회차설정!$G$13:$G$27,0),MATCH(6,회차설정!$F$13:$F$27,0)),""))</f>
        <v/>
      </c>
    </row>
    <row r="1280" ht="34" customHeight="1">
      <c r="A1280" s="41">
        <f>IF($R$1274="","",INDEX(전체채점!$C$3:$C$62,$R$1274))</f>
        <v/>
      </c>
      <c r="B1280" s="7" t="n"/>
      <c r="C1280" s="7" t="n"/>
      <c r="D1280" s="7" t="n"/>
      <c r="E1280" s="8" t="n"/>
      <c r="F1280" s="42">
        <f>IF($R$1274="","",INDEX(전체채점!$D$3:$D$62,$R$1274))</f>
        <v/>
      </c>
      <c r="G1280" s="7" t="n"/>
      <c r="H1280" s="8" t="n"/>
      <c r="I1280" s="43">
        <f>IF($R$1274="","",$R$1276&amp;"-"&amp;$R$1277&amp;"-"&amp;$R$1278&amp;"-"&amp;$R$1279)</f>
        <v/>
      </c>
      <c r="J1280" s="7" t="n"/>
      <c r="K1280" s="7" t="n"/>
      <c r="L1280" s="8" t="n"/>
      <c r="M1280" s="44">
        <f>IFERROR(AVERAGEIF(전체채점!$B$3:$B$62,$R$1275,전체채점!$C$3:$C$62),"")</f>
        <v/>
      </c>
      <c r="N1280" s="7" t="n"/>
      <c r="O1280" s="7" t="n"/>
      <c r="P1280" s="8" t="n"/>
      <c r="S1280" s="37">
        <f>IF($R$1275="","",IFERROR(IF($R$1275="언어와 매체",MATCH(7,회차설정!$G$13:$G$27,0),MATCH(7,회차설정!$F$13:$F$27,0)),""))</f>
        <v/>
      </c>
    </row>
    <row r="1281">
      <c r="S1281" s="37">
        <f>IF($R$1275="","",IFERROR(IF($R$1275="언어와 매체",MATCH(8,회차설정!$G$13:$G$27,0),MATCH(8,회차설정!$F$13:$F$27,0)),""))</f>
        <v/>
      </c>
    </row>
    <row r="1282">
      <c r="A1282" s="12" t="inlineStr">
        <is>
          <t>3. 영역분류별 성취도 분석</t>
        </is>
      </c>
      <c r="F1282" s="45">
        <f>IF(OR($R$1274="",$E1296=""),"",IF($E1296=INDEX(전체채점!$C$3:$C$62,$R$1274),"","※ 회차설정의 영역 표를 확인하세요 — 영역 합계와 점수가 다릅니다"))</f>
        <v/>
      </c>
      <c r="S1282" s="37">
        <f>IF($R$1275="","",IFERROR(IF($R$1275="언어와 매체",MATCH(9,회차설정!$G$13:$G$27,0),MATCH(9,회차설정!$F$13:$F$27,0)),""))</f>
        <v/>
      </c>
    </row>
    <row r="1283">
      <c r="A1283" s="13" t="inlineStr">
        <is>
          <t>분류</t>
        </is>
      </c>
      <c r="B1283" s="13" t="inlineStr">
        <is>
          <t>영역</t>
        </is>
      </c>
      <c r="C1283" s="8" t="n"/>
      <c r="D1283" s="13" t="inlineStr">
        <is>
          <t>배점</t>
        </is>
      </c>
      <c r="E1283" s="13" t="inlineStr">
        <is>
          <t>득점</t>
        </is>
      </c>
      <c r="F1283" s="13" t="inlineStr">
        <is>
          <t>성취도(%)</t>
        </is>
      </c>
      <c r="G1283" s="8" t="n"/>
      <c r="H1283" s="13" t="inlineStr"/>
      <c r="I1283" s="7" t="n"/>
      <c r="J1283" s="7" t="n"/>
      <c r="K1283" s="7" t="n"/>
      <c r="L1283" s="7" t="n"/>
      <c r="M1283" s="7" t="n"/>
      <c r="N1283" s="7" t="n"/>
      <c r="O1283" s="7" t="n"/>
      <c r="P1283" s="8" t="n"/>
      <c r="S1283" s="37">
        <f>IF($R$1275="","",IFERROR(IF($R$1275="언어와 매체",MATCH(10,회차설정!$G$13:$G$27,0),MATCH(10,회차설정!$F$13:$F$27,0)),""))</f>
        <v/>
      </c>
    </row>
    <row r="1284">
      <c r="A1284" s="14">
        <f>IF($S$1274="","",INDEX(회차설정!$A$13:$A$27,$S$1274))</f>
        <v/>
      </c>
      <c r="B1284" s="14">
        <f>IF($S$1274="","",INDEX(회차설정!$B$13:$B$27,$S$1274))</f>
        <v/>
      </c>
      <c r="C1284" s="8" t="n"/>
      <c r="D1284" s="14">
        <f>IF($S$1274="","",IF($R$1275="언어와 매체",SUMPRODUCT((자동계산!$A$4:$A$48&gt;=INDEX(회차설정!$C$13:$C$27,$S$1274))*(자동계산!$A$4:$A$48&lt;=INDEX(회차설정!$D$13:$D$27,$S$1274))*자동계산!$E$4:$E$48),SUMPRODUCT((자동계산!$A$4:$A$48&gt;=INDEX(회차설정!$C$13:$C$27,$S$1274))*(자동계산!$A$4:$A$48&lt;=INDEX(회차설정!$D$13:$D$27,$S$1274))*자동계산!$C$4:$C$48)))</f>
        <v/>
      </c>
      <c r="E1284" s="14">
        <f>IF(OR($S$1274="",$R$1274=""),"",SUM(OFFSET(전체채점!$AW$2,$R$1274,INDEX(회차설정!$C$13:$C$27,$S$1274),1,INDEX(회차설정!$D$13:$D$27,$S$1274)-INDEX(회차설정!$C$13:$C$27,$S$1274)+1)))</f>
        <v/>
      </c>
      <c r="F1284" s="46">
        <f>IF(OR($S$1274="",$D1284=0,$D1284="",$E1284=""),"",$E1284/$D1284*100)</f>
        <v/>
      </c>
      <c r="G1284" s="8" t="n"/>
      <c r="H1284" s="47">
        <f>IF($F1284="","",REPT("■",ROUND($F1284/5,0)))</f>
        <v/>
      </c>
      <c r="I1284" s="7" t="n"/>
      <c r="J1284" s="7" t="n"/>
      <c r="K1284" s="7" t="n"/>
      <c r="L1284" s="7" t="n"/>
      <c r="M1284" s="7" t="n"/>
      <c r="N1284" s="7" t="n"/>
      <c r="O1284" s="7" t="n"/>
      <c r="P1284" s="8" t="n"/>
      <c r="S1284" s="37">
        <f>IF($R$1275="","",IFERROR(IF($R$1275="언어와 매체",MATCH(11,회차설정!$G$13:$G$27,0),MATCH(11,회차설정!$F$13:$F$27,0)),""))</f>
        <v/>
      </c>
    </row>
    <row r="1285">
      <c r="A1285" s="14">
        <f>IF($S$1275="","",INDEX(회차설정!$A$13:$A$27,$S$1275))</f>
        <v/>
      </c>
      <c r="B1285" s="14">
        <f>IF($S$1275="","",INDEX(회차설정!$B$13:$B$27,$S$1275))</f>
        <v/>
      </c>
      <c r="C1285" s="8" t="n"/>
      <c r="D1285" s="14">
        <f>IF($S$1275="","",IF($R$1275="언어와 매체",SUMPRODUCT((자동계산!$A$4:$A$48&gt;=INDEX(회차설정!$C$13:$C$27,$S$1275))*(자동계산!$A$4:$A$48&lt;=INDEX(회차설정!$D$13:$D$27,$S$1275))*자동계산!$E$4:$E$48),SUMPRODUCT((자동계산!$A$4:$A$48&gt;=INDEX(회차설정!$C$13:$C$27,$S$1275))*(자동계산!$A$4:$A$48&lt;=INDEX(회차설정!$D$13:$D$27,$S$1275))*자동계산!$C$4:$C$48)))</f>
        <v/>
      </c>
      <c r="E1285" s="14">
        <f>IF(OR($S$1275="",$R$1274=""),"",SUM(OFFSET(전체채점!$AW$2,$R$1274,INDEX(회차설정!$C$13:$C$27,$S$1275),1,INDEX(회차설정!$D$13:$D$27,$S$1275)-INDEX(회차설정!$C$13:$C$27,$S$1275)+1)))</f>
        <v/>
      </c>
      <c r="F1285" s="46">
        <f>IF(OR($S$1275="",$D1285=0,$D1285="",$E1285=""),"",$E1285/$D1285*100)</f>
        <v/>
      </c>
      <c r="G1285" s="8" t="n"/>
      <c r="H1285" s="47">
        <f>IF($F1285="","",REPT("■",ROUND($F1285/5,0)))</f>
        <v/>
      </c>
      <c r="I1285" s="7" t="n"/>
      <c r="J1285" s="7" t="n"/>
      <c r="K1285" s="7" t="n"/>
      <c r="L1285" s="7" t="n"/>
      <c r="M1285" s="7" t="n"/>
      <c r="N1285" s="7" t="n"/>
      <c r="O1285" s="7" t="n"/>
      <c r="P1285" s="8" t="n"/>
      <c r="S1285" s="37">
        <f>IF($R$1275="","",IFERROR(IF($R$1275="언어와 매체",MATCH(12,회차설정!$G$13:$G$27,0),MATCH(12,회차설정!$F$13:$F$27,0)),""))</f>
        <v/>
      </c>
    </row>
    <row r="1286">
      <c r="A1286" s="14">
        <f>IF($S$1276="","",INDEX(회차설정!$A$13:$A$27,$S$1276))</f>
        <v/>
      </c>
      <c r="B1286" s="14">
        <f>IF($S$1276="","",INDEX(회차설정!$B$13:$B$27,$S$1276))</f>
        <v/>
      </c>
      <c r="C1286" s="8" t="n"/>
      <c r="D1286" s="14">
        <f>IF($S$1276="","",IF($R$1275="언어와 매체",SUMPRODUCT((자동계산!$A$4:$A$48&gt;=INDEX(회차설정!$C$13:$C$27,$S$1276))*(자동계산!$A$4:$A$48&lt;=INDEX(회차설정!$D$13:$D$27,$S$1276))*자동계산!$E$4:$E$48),SUMPRODUCT((자동계산!$A$4:$A$48&gt;=INDEX(회차설정!$C$13:$C$27,$S$1276))*(자동계산!$A$4:$A$48&lt;=INDEX(회차설정!$D$13:$D$27,$S$1276))*자동계산!$C$4:$C$48)))</f>
        <v/>
      </c>
      <c r="E1286" s="14">
        <f>IF(OR($S$1276="",$R$1274=""),"",SUM(OFFSET(전체채점!$AW$2,$R$1274,INDEX(회차설정!$C$13:$C$27,$S$1276),1,INDEX(회차설정!$D$13:$D$27,$S$1276)-INDEX(회차설정!$C$13:$C$27,$S$1276)+1)))</f>
        <v/>
      </c>
      <c r="F1286" s="46">
        <f>IF(OR($S$1276="",$D1286=0,$D1286="",$E1286=""),"",$E1286/$D1286*100)</f>
        <v/>
      </c>
      <c r="G1286" s="8" t="n"/>
      <c r="H1286" s="47">
        <f>IF($F1286="","",REPT("■",ROUND($F1286/5,0)))</f>
        <v/>
      </c>
      <c r="I1286" s="7" t="n"/>
      <c r="J1286" s="7" t="n"/>
      <c r="K1286" s="7" t="n"/>
      <c r="L1286" s="7" t="n"/>
      <c r="M1286" s="7" t="n"/>
      <c r="N1286" s="7" t="n"/>
      <c r="O1286" s="7" t="n"/>
      <c r="P1286" s="8" t="n"/>
    </row>
    <row r="1287">
      <c r="A1287" s="14">
        <f>IF($S$1277="","",INDEX(회차설정!$A$13:$A$27,$S$1277))</f>
        <v/>
      </c>
      <c r="B1287" s="14">
        <f>IF($S$1277="","",INDEX(회차설정!$B$13:$B$27,$S$1277))</f>
        <v/>
      </c>
      <c r="C1287" s="8" t="n"/>
      <c r="D1287" s="14">
        <f>IF($S$1277="","",IF($R$1275="언어와 매체",SUMPRODUCT((자동계산!$A$4:$A$48&gt;=INDEX(회차설정!$C$13:$C$27,$S$1277))*(자동계산!$A$4:$A$48&lt;=INDEX(회차설정!$D$13:$D$27,$S$1277))*자동계산!$E$4:$E$48),SUMPRODUCT((자동계산!$A$4:$A$48&gt;=INDEX(회차설정!$C$13:$C$27,$S$1277))*(자동계산!$A$4:$A$48&lt;=INDEX(회차설정!$D$13:$D$27,$S$1277))*자동계산!$C$4:$C$48)))</f>
        <v/>
      </c>
      <c r="E1287" s="14">
        <f>IF(OR($S$1277="",$R$1274=""),"",SUM(OFFSET(전체채점!$AW$2,$R$1274,INDEX(회차설정!$C$13:$C$27,$S$1277),1,INDEX(회차설정!$D$13:$D$27,$S$1277)-INDEX(회차설정!$C$13:$C$27,$S$1277)+1)))</f>
        <v/>
      </c>
      <c r="F1287" s="46">
        <f>IF(OR($S$1277="",$D1287=0,$D1287="",$E1287=""),"",$E1287/$D1287*100)</f>
        <v/>
      </c>
      <c r="G1287" s="8" t="n"/>
      <c r="H1287" s="47">
        <f>IF($F1287="","",REPT("■",ROUND($F1287/5,0)))</f>
        <v/>
      </c>
      <c r="I1287" s="7" t="n"/>
      <c r="J1287" s="7" t="n"/>
      <c r="K1287" s="7" t="n"/>
      <c r="L1287" s="7" t="n"/>
      <c r="M1287" s="7" t="n"/>
      <c r="N1287" s="7" t="n"/>
      <c r="O1287" s="7" t="n"/>
      <c r="P1287" s="8" t="n"/>
    </row>
    <row r="1288">
      <c r="A1288" s="14">
        <f>IF($S$1278="","",INDEX(회차설정!$A$13:$A$27,$S$1278))</f>
        <v/>
      </c>
      <c r="B1288" s="14">
        <f>IF($S$1278="","",INDEX(회차설정!$B$13:$B$27,$S$1278))</f>
        <v/>
      </c>
      <c r="C1288" s="8" t="n"/>
      <c r="D1288" s="14">
        <f>IF($S$1278="","",IF($R$1275="언어와 매체",SUMPRODUCT((자동계산!$A$4:$A$48&gt;=INDEX(회차설정!$C$13:$C$27,$S$1278))*(자동계산!$A$4:$A$48&lt;=INDEX(회차설정!$D$13:$D$27,$S$1278))*자동계산!$E$4:$E$48),SUMPRODUCT((자동계산!$A$4:$A$48&gt;=INDEX(회차설정!$C$13:$C$27,$S$1278))*(자동계산!$A$4:$A$48&lt;=INDEX(회차설정!$D$13:$D$27,$S$1278))*자동계산!$C$4:$C$48)))</f>
        <v/>
      </c>
      <c r="E1288" s="14">
        <f>IF(OR($S$1278="",$R$1274=""),"",SUM(OFFSET(전체채점!$AW$2,$R$1274,INDEX(회차설정!$C$13:$C$27,$S$1278),1,INDEX(회차설정!$D$13:$D$27,$S$1278)-INDEX(회차설정!$C$13:$C$27,$S$1278)+1)))</f>
        <v/>
      </c>
      <c r="F1288" s="46">
        <f>IF(OR($S$1278="",$D1288=0,$D1288="",$E1288=""),"",$E1288/$D1288*100)</f>
        <v/>
      </c>
      <c r="G1288" s="8" t="n"/>
      <c r="H1288" s="47">
        <f>IF($F1288="","",REPT("■",ROUND($F1288/5,0)))</f>
        <v/>
      </c>
      <c r="I1288" s="7" t="n"/>
      <c r="J1288" s="7" t="n"/>
      <c r="K1288" s="7" t="n"/>
      <c r="L1288" s="7" t="n"/>
      <c r="M1288" s="7" t="n"/>
      <c r="N1288" s="7" t="n"/>
      <c r="O1288" s="7" t="n"/>
      <c r="P1288" s="8" t="n"/>
    </row>
    <row r="1289">
      <c r="A1289" s="14">
        <f>IF($S$1279="","",INDEX(회차설정!$A$13:$A$27,$S$1279))</f>
        <v/>
      </c>
      <c r="B1289" s="14">
        <f>IF($S$1279="","",INDEX(회차설정!$B$13:$B$27,$S$1279))</f>
        <v/>
      </c>
      <c r="C1289" s="8" t="n"/>
      <c r="D1289" s="14">
        <f>IF($S$1279="","",IF($R$1275="언어와 매체",SUMPRODUCT((자동계산!$A$4:$A$48&gt;=INDEX(회차설정!$C$13:$C$27,$S$1279))*(자동계산!$A$4:$A$48&lt;=INDEX(회차설정!$D$13:$D$27,$S$1279))*자동계산!$E$4:$E$48),SUMPRODUCT((자동계산!$A$4:$A$48&gt;=INDEX(회차설정!$C$13:$C$27,$S$1279))*(자동계산!$A$4:$A$48&lt;=INDEX(회차설정!$D$13:$D$27,$S$1279))*자동계산!$C$4:$C$48)))</f>
        <v/>
      </c>
      <c r="E1289" s="14">
        <f>IF(OR($S$1279="",$R$1274=""),"",SUM(OFFSET(전체채점!$AW$2,$R$1274,INDEX(회차설정!$C$13:$C$27,$S$1279),1,INDEX(회차설정!$D$13:$D$27,$S$1279)-INDEX(회차설정!$C$13:$C$27,$S$1279)+1)))</f>
        <v/>
      </c>
      <c r="F1289" s="46">
        <f>IF(OR($S$1279="",$D1289=0,$D1289="",$E1289=""),"",$E1289/$D1289*100)</f>
        <v/>
      </c>
      <c r="G1289" s="8" t="n"/>
      <c r="H1289" s="47">
        <f>IF($F1289="","",REPT("■",ROUND($F1289/5,0)))</f>
        <v/>
      </c>
      <c r="I1289" s="7" t="n"/>
      <c r="J1289" s="7" t="n"/>
      <c r="K1289" s="7" t="n"/>
      <c r="L1289" s="7" t="n"/>
      <c r="M1289" s="7" t="n"/>
      <c r="N1289" s="7" t="n"/>
      <c r="O1289" s="7" t="n"/>
      <c r="P1289" s="8" t="n"/>
    </row>
    <row r="1290">
      <c r="A1290" s="14">
        <f>IF($S$1280="","",INDEX(회차설정!$A$13:$A$27,$S$1280))</f>
        <v/>
      </c>
      <c r="B1290" s="14">
        <f>IF($S$1280="","",INDEX(회차설정!$B$13:$B$27,$S$1280))</f>
        <v/>
      </c>
      <c r="C1290" s="8" t="n"/>
      <c r="D1290" s="14">
        <f>IF($S$1280="","",IF($R$1275="언어와 매체",SUMPRODUCT((자동계산!$A$4:$A$48&gt;=INDEX(회차설정!$C$13:$C$27,$S$1280))*(자동계산!$A$4:$A$48&lt;=INDEX(회차설정!$D$13:$D$27,$S$1280))*자동계산!$E$4:$E$48),SUMPRODUCT((자동계산!$A$4:$A$48&gt;=INDEX(회차설정!$C$13:$C$27,$S$1280))*(자동계산!$A$4:$A$48&lt;=INDEX(회차설정!$D$13:$D$27,$S$1280))*자동계산!$C$4:$C$48)))</f>
        <v/>
      </c>
      <c r="E1290" s="14">
        <f>IF(OR($S$1280="",$R$1274=""),"",SUM(OFFSET(전체채점!$AW$2,$R$1274,INDEX(회차설정!$C$13:$C$27,$S$1280),1,INDEX(회차설정!$D$13:$D$27,$S$1280)-INDEX(회차설정!$C$13:$C$27,$S$1280)+1)))</f>
        <v/>
      </c>
      <c r="F1290" s="46">
        <f>IF(OR($S$1280="",$D1290=0,$D1290="",$E1290=""),"",$E1290/$D1290*100)</f>
        <v/>
      </c>
      <c r="G1290" s="8" t="n"/>
      <c r="H1290" s="47">
        <f>IF($F1290="","",REPT("■",ROUND($F1290/5,0)))</f>
        <v/>
      </c>
      <c r="I1290" s="7" t="n"/>
      <c r="J1290" s="7" t="n"/>
      <c r="K1290" s="7" t="n"/>
      <c r="L1290" s="7" t="n"/>
      <c r="M1290" s="7" t="n"/>
      <c r="N1290" s="7" t="n"/>
      <c r="O1290" s="7" t="n"/>
      <c r="P1290" s="8" t="n"/>
    </row>
    <row r="1291">
      <c r="A1291" s="14">
        <f>IF($S$1281="","",INDEX(회차설정!$A$13:$A$27,$S$1281))</f>
        <v/>
      </c>
      <c r="B1291" s="14">
        <f>IF($S$1281="","",INDEX(회차설정!$B$13:$B$27,$S$1281))</f>
        <v/>
      </c>
      <c r="C1291" s="8" t="n"/>
      <c r="D1291" s="14">
        <f>IF($S$1281="","",IF($R$1275="언어와 매체",SUMPRODUCT((자동계산!$A$4:$A$48&gt;=INDEX(회차설정!$C$13:$C$27,$S$1281))*(자동계산!$A$4:$A$48&lt;=INDEX(회차설정!$D$13:$D$27,$S$1281))*자동계산!$E$4:$E$48),SUMPRODUCT((자동계산!$A$4:$A$48&gt;=INDEX(회차설정!$C$13:$C$27,$S$1281))*(자동계산!$A$4:$A$48&lt;=INDEX(회차설정!$D$13:$D$27,$S$1281))*자동계산!$C$4:$C$48)))</f>
        <v/>
      </c>
      <c r="E1291" s="14">
        <f>IF(OR($S$1281="",$R$1274=""),"",SUM(OFFSET(전체채점!$AW$2,$R$1274,INDEX(회차설정!$C$13:$C$27,$S$1281),1,INDEX(회차설정!$D$13:$D$27,$S$1281)-INDEX(회차설정!$C$13:$C$27,$S$1281)+1)))</f>
        <v/>
      </c>
      <c r="F1291" s="46">
        <f>IF(OR($S$1281="",$D1291=0,$D1291="",$E1291=""),"",$E1291/$D1291*100)</f>
        <v/>
      </c>
      <c r="G1291" s="8" t="n"/>
      <c r="H1291" s="47">
        <f>IF($F1291="","",REPT("■",ROUND($F1291/5,0)))</f>
        <v/>
      </c>
      <c r="I1291" s="7" t="n"/>
      <c r="J1291" s="7" t="n"/>
      <c r="K1291" s="7" t="n"/>
      <c r="L1291" s="7" t="n"/>
      <c r="M1291" s="7" t="n"/>
      <c r="N1291" s="7" t="n"/>
      <c r="O1291" s="7" t="n"/>
      <c r="P1291" s="8" t="n"/>
    </row>
    <row r="1292">
      <c r="A1292" s="14">
        <f>IF($S$1282="","",INDEX(회차설정!$A$13:$A$27,$S$1282))</f>
        <v/>
      </c>
      <c r="B1292" s="14">
        <f>IF($S$1282="","",INDEX(회차설정!$B$13:$B$27,$S$1282))</f>
        <v/>
      </c>
      <c r="C1292" s="8" t="n"/>
      <c r="D1292" s="14">
        <f>IF($S$1282="","",IF($R$1275="언어와 매체",SUMPRODUCT((자동계산!$A$4:$A$48&gt;=INDEX(회차설정!$C$13:$C$27,$S$1282))*(자동계산!$A$4:$A$48&lt;=INDEX(회차설정!$D$13:$D$27,$S$1282))*자동계산!$E$4:$E$48),SUMPRODUCT((자동계산!$A$4:$A$48&gt;=INDEX(회차설정!$C$13:$C$27,$S$1282))*(자동계산!$A$4:$A$48&lt;=INDEX(회차설정!$D$13:$D$27,$S$1282))*자동계산!$C$4:$C$48)))</f>
        <v/>
      </c>
      <c r="E1292" s="14">
        <f>IF(OR($S$1282="",$R$1274=""),"",SUM(OFFSET(전체채점!$AW$2,$R$1274,INDEX(회차설정!$C$13:$C$27,$S$1282),1,INDEX(회차설정!$D$13:$D$27,$S$1282)-INDEX(회차설정!$C$13:$C$27,$S$1282)+1)))</f>
        <v/>
      </c>
      <c r="F1292" s="46">
        <f>IF(OR($S$1282="",$D1292=0,$D1292="",$E1292=""),"",$E1292/$D1292*100)</f>
        <v/>
      </c>
      <c r="G1292" s="8" t="n"/>
      <c r="H1292" s="47">
        <f>IF($F1292="","",REPT("■",ROUND($F1292/5,0)))</f>
        <v/>
      </c>
      <c r="I1292" s="7" t="n"/>
      <c r="J1292" s="7" t="n"/>
      <c r="K1292" s="7" t="n"/>
      <c r="L1292" s="7" t="n"/>
      <c r="M1292" s="7" t="n"/>
      <c r="N1292" s="7" t="n"/>
      <c r="O1292" s="7" t="n"/>
      <c r="P1292" s="8" t="n"/>
    </row>
    <row r="1293">
      <c r="A1293" s="14">
        <f>IF($S$1283="","",INDEX(회차설정!$A$13:$A$27,$S$1283))</f>
        <v/>
      </c>
      <c r="B1293" s="14">
        <f>IF($S$1283="","",INDEX(회차설정!$B$13:$B$27,$S$1283))</f>
        <v/>
      </c>
      <c r="C1293" s="8" t="n"/>
      <c r="D1293" s="14">
        <f>IF($S$1283="","",IF($R$1275="언어와 매체",SUMPRODUCT((자동계산!$A$4:$A$48&gt;=INDEX(회차설정!$C$13:$C$27,$S$1283))*(자동계산!$A$4:$A$48&lt;=INDEX(회차설정!$D$13:$D$27,$S$1283))*자동계산!$E$4:$E$48),SUMPRODUCT((자동계산!$A$4:$A$48&gt;=INDEX(회차설정!$C$13:$C$27,$S$1283))*(자동계산!$A$4:$A$48&lt;=INDEX(회차설정!$D$13:$D$27,$S$1283))*자동계산!$C$4:$C$48)))</f>
        <v/>
      </c>
      <c r="E1293" s="14">
        <f>IF(OR($S$1283="",$R$1274=""),"",SUM(OFFSET(전체채점!$AW$2,$R$1274,INDEX(회차설정!$C$13:$C$27,$S$1283),1,INDEX(회차설정!$D$13:$D$27,$S$1283)-INDEX(회차설정!$C$13:$C$27,$S$1283)+1)))</f>
        <v/>
      </c>
      <c r="F1293" s="46">
        <f>IF(OR($S$1283="",$D1293=0,$D1293="",$E1293=""),"",$E1293/$D1293*100)</f>
        <v/>
      </c>
      <c r="G1293" s="8" t="n"/>
      <c r="H1293" s="47">
        <f>IF($F1293="","",REPT("■",ROUND($F1293/5,0)))</f>
        <v/>
      </c>
      <c r="I1293" s="7" t="n"/>
      <c r="J1293" s="7" t="n"/>
      <c r="K1293" s="7" t="n"/>
      <c r="L1293" s="7" t="n"/>
      <c r="M1293" s="7" t="n"/>
      <c r="N1293" s="7" t="n"/>
      <c r="O1293" s="7" t="n"/>
      <c r="P1293" s="8" t="n"/>
    </row>
    <row r="1294">
      <c r="A1294" s="14">
        <f>IF($S$1284="","",INDEX(회차설정!$A$13:$A$27,$S$1284))</f>
        <v/>
      </c>
      <c r="B1294" s="14">
        <f>IF($S$1284="","",INDEX(회차설정!$B$13:$B$27,$S$1284))</f>
        <v/>
      </c>
      <c r="C1294" s="8" t="n"/>
      <c r="D1294" s="14">
        <f>IF($S$1284="","",IF($R$1275="언어와 매체",SUMPRODUCT((자동계산!$A$4:$A$48&gt;=INDEX(회차설정!$C$13:$C$27,$S$1284))*(자동계산!$A$4:$A$48&lt;=INDEX(회차설정!$D$13:$D$27,$S$1284))*자동계산!$E$4:$E$48),SUMPRODUCT((자동계산!$A$4:$A$48&gt;=INDEX(회차설정!$C$13:$C$27,$S$1284))*(자동계산!$A$4:$A$48&lt;=INDEX(회차설정!$D$13:$D$27,$S$1284))*자동계산!$C$4:$C$48)))</f>
        <v/>
      </c>
      <c r="E1294" s="14">
        <f>IF(OR($S$1284="",$R$1274=""),"",SUM(OFFSET(전체채점!$AW$2,$R$1274,INDEX(회차설정!$C$13:$C$27,$S$1284),1,INDEX(회차설정!$D$13:$D$27,$S$1284)-INDEX(회차설정!$C$13:$C$27,$S$1284)+1)))</f>
        <v/>
      </c>
      <c r="F1294" s="46">
        <f>IF(OR($S$1284="",$D1294=0,$D1294="",$E1294=""),"",$E1294/$D1294*100)</f>
        <v/>
      </c>
      <c r="G1294" s="8" t="n"/>
      <c r="H1294" s="47">
        <f>IF($F1294="","",REPT("■",ROUND($F1294/5,0)))</f>
        <v/>
      </c>
      <c r="I1294" s="7" t="n"/>
      <c r="J1294" s="7" t="n"/>
      <c r="K1294" s="7" t="n"/>
      <c r="L1294" s="7" t="n"/>
      <c r="M1294" s="7" t="n"/>
      <c r="N1294" s="7" t="n"/>
      <c r="O1294" s="7" t="n"/>
      <c r="P1294" s="8" t="n"/>
    </row>
    <row r="1295">
      <c r="A1295" s="14">
        <f>IF($S$1285="","",INDEX(회차설정!$A$13:$A$27,$S$1285))</f>
        <v/>
      </c>
      <c r="B1295" s="14">
        <f>IF($S$1285="","",INDEX(회차설정!$B$13:$B$27,$S$1285))</f>
        <v/>
      </c>
      <c r="C1295" s="8" t="n"/>
      <c r="D1295" s="14">
        <f>IF($S$1285="","",IF($R$1275="언어와 매체",SUMPRODUCT((자동계산!$A$4:$A$48&gt;=INDEX(회차설정!$C$13:$C$27,$S$1285))*(자동계산!$A$4:$A$48&lt;=INDEX(회차설정!$D$13:$D$27,$S$1285))*자동계산!$E$4:$E$48),SUMPRODUCT((자동계산!$A$4:$A$48&gt;=INDEX(회차설정!$C$13:$C$27,$S$1285))*(자동계산!$A$4:$A$48&lt;=INDEX(회차설정!$D$13:$D$27,$S$1285))*자동계산!$C$4:$C$48)))</f>
        <v/>
      </c>
      <c r="E1295" s="14">
        <f>IF(OR($S$1285="",$R$1274=""),"",SUM(OFFSET(전체채점!$AW$2,$R$1274,INDEX(회차설정!$C$13:$C$27,$S$1285),1,INDEX(회차설정!$D$13:$D$27,$S$1285)-INDEX(회차설정!$C$13:$C$27,$S$1285)+1)))</f>
        <v/>
      </c>
      <c r="F1295" s="46">
        <f>IF(OR($S$1285="",$D1295=0,$D1295="",$E1295=""),"",$E1295/$D1295*100)</f>
        <v/>
      </c>
      <c r="G1295" s="8" t="n"/>
      <c r="H1295" s="47">
        <f>IF($F1295="","",REPT("■",ROUND($F1295/5,0)))</f>
        <v/>
      </c>
      <c r="I1295" s="7" t="n"/>
      <c r="J1295" s="7" t="n"/>
      <c r="K1295" s="7" t="n"/>
      <c r="L1295" s="7" t="n"/>
      <c r="M1295" s="7" t="n"/>
      <c r="N1295" s="7" t="n"/>
      <c r="O1295" s="7" t="n"/>
      <c r="P1295" s="8" t="n"/>
    </row>
    <row r="1296">
      <c r="A1296" s="5">
        <f>IF($R$1274="","","합계")</f>
        <v/>
      </c>
      <c r="B1296" s="7" t="n"/>
      <c r="C1296" s="8" t="n"/>
      <c r="D1296" s="5">
        <f>IF($R$1274="","",SUM(D1284:D1295))</f>
        <v/>
      </c>
      <c r="E1296" s="5">
        <f>IF($R$1274="","",SUM(E1284:E1295))</f>
        <v/>
      </c>
      <c r="F1296" s="48">
        <f>IF(OR($D1296=0,$D1296=""),"",$E1296/$D1296*100)</f>
        <v/>
      </c>
      <c r="G1296" s="8" t="n"/>
      <c r="H1296" s="49">
        <f>IF($F1296="","",REPT("■",ROUND($F1296/5,0)))</f>
        <v/>
      </c>
      <c r="I1296" s="7" t="n"/>
      <c r="J1296" s="7" t="n"/>
      <c r="K1296" s="7" t="n"/>
      <c r="L1296" s="7" t="n"/>
      <c r="M1296" s="7" t="n"/>
      <c r="N1296" s="7" t="n"/>
      <c r="O1296" s="7" t="n"/>
      <c r="P1296" s="8" t="n"/>
    </row>
    <row r="1298">
      <c r="A1298" s="12" t="inlineStr">
        <is>
          <t>4. 문항 채점표</t>
        </is>
      </c>
    </row>
    <row r="1299">
      <c r="A1299" s="50" t="inlineStr">
        <is>
          <t>문항 번호</t>
        </is>
      </c>
      <c r="B1299" s="51" t="n">
        <v>1</v>
      </c>
      <c r="C1299" s="51" t="n">
        <v>2</v>
      </c>
      <c r="D1299" s="51" t="n">
        <v>3</v>
      </c>
      <c r="E1299" s="51" t="n">
        <v>4</v>
      </c>
      <c r="F1299" s="51" t="n">
        <v>5</v>
      </c>
      <c r="G1299" s="51" t="n">
        <v>6</v>
      </c>
      <c r="H1299" s="51" t="n">
        <v>7</v>
      </c>
      <c r="I1299" s="51" t="n">
        <v>8</v>
      </c>
      <c r="J1299" s="51" t="n">
        <v>9</v>
      </c>
      <c r="K1299" s="51" t="n">
        <v>10</v>
      </c>
      <c r="L1299" s="51" t="n">
        <v>11</v>
      </c>
      <c r="M1299" s="51" t="n">
        <v>12</v>
      </c>
      <c r="N1299" s="51" t="n">
        <v>13</v>
      </c>
      <c r="O1299" s="51" t="n">
        <v>14</v>
      </c>
      <c r="P1299" s="51" t="n">
        <v>15</v>
      </c>
    </row>
    <row r="1300">
      <c r="A1300" s="52" t="inlineStr">
        <is>
          <t>정답</t>
        </is>
      </c>
      <c r="B1300" s="33">
        <f>IF($R$1275="","",IF($R$1275="언어와 매체",자동계산!$D$4,자동계산!$B$4))</f>
        <v/>
      </c>
      <c r="C1300" s="33">
        <f>IF($R$1275="","",IF($R$1275="언어와 매체",자동계산!$D$5,자동계산!$B$5))</f>
        <v/>
      </c>
      <c r="D1300" s="33">
        <f>IF($R$1275="","",IF($R$1275="언어와 매체",자동계산!$D$6,자동계산!$B$6))</f>
        <v/>
      </c>
      <c r="E1300" s="33">
        <f>IF($R$1275="","",IF($R$1275="언어와 매체",자동계산!$D$7,자동계산!$B$7))</f>
        <v/>
      </c>
      <c r="F1300" s="33">
        <f>IF($R$1275="","",IF($R$1275="언어와 매체",자동계산!$D$8,자동계산!$B$8))</f>
        <v/>
      </c>
      <c r="G1300" s="33">
        <f>IF($R$1275="","",IF($R$1275="언어와 매체",자동계산!$D$9,자동계산!$B$9))</f>
        <v/>
      </c>
      <c r="H1300" s="33">
        <f>IF($R$1275="","",IF($R$1275="언어와 매체",자동계산!$D$10,자동계산!$B$10))</f>
        <v/>
      </c>
      <c r="I1300" s="33">
        <f>IF($R$1275="","",IF($R$1275="언어와 매체",자동계산!$D$11,자동계산!$B$11))</f>
        <v/>
      </c>
      <c r="J1300" s="33">
        <f>IF($R$1275="","",IF($R$1275="언어와 매체",자동계산!$D$12,자동계산!$B$12))</f>
        <v/>
      </c>
      <c r="K1300" s="33">
        <f>IF($R$1275="","",IF($R$1275="언어와 매체",자동계산!$D$13,자동계산!$B$13))</f>
        <v/>
      </c>
      <c r="L1300" s="33">
        <f>IF($R$1275="","",IF($R$1275="언어와 매체",자동계산!$D$14,자동계산!$B$14))</f>
        <v/>
      </c>
      <c r="M1300" s="33">
        <f>IF($R$1275="","",IF($R$1275="언어와 매체",자동계산!$D$15,자동계산!$B$15))</f>
        <v/>
      </c>
      <c r="N1300" s="33">
        <f>IF($R$1275="","",IF($R$1275="언어와 매체",자동계산!$D$16,자동계산!$B$16))</f>
        <v/>
      </c>
      <c r="O1300" s="33">
        <f>IF($R$1275="","",IF($R$1275="언어와 매체",자동계산!$D$17,자동계산!$B$17))</f>
        <v/>
      </c>
      <c r="P1300" s="33">
        <f>IF($R$1275="","",IF($R$1275="언어와 매체",자동계산!$D$18,자동계산!$B$18))</f>
        <v/>
      </c>
    </row>
    <row r="1301">
      <c r="A1301" s="52" t="inlineStr">
        <is>
          <t>학생답안</t>
        </is>
      </c>
      <c r="B1301" s="33">
        <f>IF($R$1274="","",INDEX(전체채점!E$3:E$62,$R$1274))</f>
        <v/>
      </c>
      <c r="C1301" s="33">
        <f>IF($R$1274="","",INDEX(전체채점!F$3:F$62,$R$1274))</f>
        <v/>
      </c>
      <c r="D1301" s="33">
        <f>IF($R$1274="","",INDEX(전체채점!G$3:G$62,$R$1274))</f>
        <v/>
      </c>
      <c r="E1301" s="33">
        <f>IF($R$1274="","",INDEX(전체채점!H$3:H$62,$R$1274))</f>
        <v/>
      </c>
      <c r="F1301" s="33">
        <f>IF($R$1274="","",INDEX(전체채점!I$3:I$62,$R$1274))</f>
        <v/>
      </c>
      <c r="G1301" s="33">
        <f>IF($R$1274="","",INDEX(전체채점!J$3:J$62,$R$1274))</f>
        <v/>
      </c>
      <c r="H1301" s="33">
        <f>IF($R$1274="","",INDEX(전체채점!K$3:K$62,$R$1274))</f>
        <v/>
      </c>
      <c r="I1301" s="33">
        <f>IF($R$1274="","",INDEX(전체채점!L$3:L$62,$R$1274))</f>
        <v/>
      </c>
      <c r="J1301" s="33">
        <f>IF($R$1274="","",INDEX(전체채점!M$3:M$62,$R$1274))</f>
        <v/>
      </c>
      <c r="K1301" s="33">
        <f>IF($R$1274="","",INDEX(전체채점!N$3:N$62,$R$1274))</f>
        <v/>
      </c>
      <c r="L1301" s="33">
        <f>IF($R$1274="","",INDEX(전체채점!O$3:O$62,$R$1274))</f>
        <v/>
      </c>
      <c r="M1301" s="33">
        <f>IF($R$1274="","",INDEX(전체채점!P$3:P$62,$R$1274))</f>
        <v/>
      </c>
      <c r="N1301" s="33">
        <f>IF($R$1274="","",INDEX(전체채점!Q$3:Q$62,$R$1274))</f>
        <v/>
      </c>
      <c r="O1301" s="33">
        <f>IF($R$1274="","",INDEX(전체채점!R$3:R$62,$R$1274))</f>
        <v/>
      </c>
      <c r="P1301" s="33">
        <f>IF($R$1274="","",INDEX(전체채점!S$3:S$62,$R$1274))</f>
        <v/>
      </c>
    </row>
    <row r="1302">
      <c r="A1302" s="52" t="inlineStr">
        <is>
          <t>정오</t>
        </is>
      </c>
      <c r="B1302" s="33">
        <f>IF($R$1274="","",INDEX(전체채점!AX$3:AX$62,$R$1274))</f>
        <v/>
      </c>
      <c r="C1302" s="33">
        <f>IF($R$1274="","",INDEX(전체채점!AY$3:AY$62,$R$1274))</f>
        <v/>
      </c>
      <c r="D1302" s="33">
        <f>IF($R$1274="","",INDEX(전체채점!AZ$3:AZ$62,$R$1274))</f>
        <v/>
      </c>
      <c r="E1302" s="33">
        <f>IF($R$1274="","",INDEX(전체채점!BA$3:BA$62,$R$1274))</f>
        <v/>
      </c>
      <c r="F1302" s="33">
        <f>IF($R$1274="","",INDEX(전체채점!BB$3:BB$62,$R$1274))</f>
        <v/>
      </c>
      <c r="G1302" s="33">
        <f>IF($R$1274="","",INDEX(전체채점!BC$3:BC$62,$R$1274))</f>
        <v/>
      </c>
      <c r="H1302" s="33">
        <f>IF($R$1274="","",INDEX(전체채점!BD$3:BD$62,$R$1274))</f>
        <v/>
      </c>
      <c r="I1302" s="33">
        <f>IF($R$1274="","",INDEX(전체채점!BE$3:BE$62,$R$1274))</f>
        <v/>
      </c>
      <c r="J1302" s="33">
        <f>IF($R$1274="","",INDEX(전체채점!BF$3:BF$62,$R$1274))</f>
        <v/>
      </c>
      <c r="K1302" s="33">
        <f>IF($R$1274="","",INDEX(전체채점!BG$3:BG$62,$R$1274))</f>
        <v/>
      </c>
      <c r="L1302" s="33">
        <f>IF($R$1274="","",INDEX(전체채점!BH$3:BH$62,$R$1274))</f>
        <v/>
      </c>
      <c r="M1302" s="33">
        <f>IF($R$1274="","",INDEX(전체채점!BI$3:BI$62,$R$1274))</f>
        <v/>
      </c>
      <c r="N1302" s="33">
        <f>IF($R$1274="","",INDEX(전체채점!BJ$3:BJ$62,$R$1274))</f>
        <v/>
      </c>
      <c r="O1302" s="33">
        <f>IF($R$1274="","",INDEX(전체채점!BK$3:BK$62,$R$1274))</f>
        <v/>
      </c>
      <c r="P1302" s="33">
        <f>IF($R$1274="","",INDEX(전체채점!BL$3:BL$62,$R$1274))</f>
        <v/>
      </c>
    </row>
    <row r="1303">
      <c r="A1303" s="50" t="inlineStr">
        <is>
          <t>문항 번호</t>
        </is>
      </c>
      <c r="B1303" s="51" t="n">
        <v>16</v>
      </c>
      <c r="C1303" s="51" t="n">
        <v>17</v>
      </c>
      <c r="D1303" s="51" t="n">
        <v>18</v>
      </c>
      <c r="E1303" s="51" t="n">
        <v>19</v>
      </c>
      <c r="F1303" s="51" t="n">
        <v>20</v>
      </c>
      <c r="G1303" s="51" t="n">
        <v>21</v>
      </c>
      <c r="H1303" s="51" t="n">
        <v>22</v>
      </c>
      <c r="I1303" s="51" t="n">
        <v>23</v>
      </c>
      <c r="J1303" s="51" t="n">
        <v>24</v>
      </c>
      <c r="K1303" s="51" t="n">
        <v>25</v>
      </c>
      <c r="L1303" s="51" t="n">
        <v>26</v>
      </c>
      <c r="M1303" s="51" t="n">
        <v>27</v>
      </c>
      <c r="N1303" s="51" t="n">
        <v>28</v>
      </c>
      <c r="O1303" s="51" t="n">
        <v>29</v>
      </c>
      <c r="P1303" s="51" t="n">
        <v>30</v>
      </c>
    </row>
    <row r="1304">
      <c r="A1304" s="52" t="inlineStr">
        <is>
          <t>정답</t>
        </is>
      </c>
      <c r="B1304" s="33">
        <f>IF($R$1275="","",IF($R$1275="언어와 매체",자동계산!$D$19,자동계산!$B$19))</f>
        <v/>
      </c>
      <c r="C1304" s="33">
        <f>IF($R$1275="","",IF($R$1275="언어와 매체",자동계산!$D$20,자동계산!$B$20))</f>
        <v/>
      </c>
      <c r="D1304" s="33">
        <f>IF($R$1275="","",IF($R$1275="언어와 매체",자동계산!$D$21,자동계산!$B$21))</f>
        <v/>
      </c>
      <c r="E1304" s="33">
        <f>IF($R$1275="","",IF($R$1275="언어와 매체",자동계산!$D$22,자동계산!$B$22))</f>
        <v/>
      </c>
      <c r="F1304" s="33">
        <f>IF($R$1275="","",IF($R$1275="언어와 매체",자동계산!$D$23,자동계산!$B$23))</f>
        <v/>
      </c>
      <c r="G1304" s="33">
        <f>IF($R$1275="","",IF($R$1275="언어와 매체",자동계산!$D$24,자동계산!$B$24))</f>
        <v/>
      </c>
      <c r="H1304" s="33">
        <f>IF($R$1275="","",IF($R$1275="언어와 매체",자동계산!$D$25,자동계산!$B$25))</f>
        <v/>
      </c>
      <c r="I1304" s="33">
        <f>IF($R$1275="","",IF($R$1275="언어와 매체",자동계산!$D$26,자동계산!$B$26))</f>
        <v/>
      </c>
      <c r="J1304" s="33">
        <f>IF($R$1275="","",IF($R$1275="언어와 매체",자동계산!$D$27,자동계산!$B$27))</f>
        <v/>
      </c>
      <c r="K1304" s="33">
        <f>IF($R$1275="","",IF($R$1275="언어와 매체",자동계산!$D$28,자동계산!$B$28))</f>
        <v/>
      </c>
      <c r="L1304" s="33">
        <f>IF($R$1275="","",IF($R$1275="언어와 매체",자동계산!$D$29,자동계산!$B$29))</f>
        <v/>
      </c>
      <c r="M1304" s="33">
        <f>IF($R$1275="","",IF($R$1275="언어와 매체",자동계산!$D$30,자동계산!$B$30))</f>
        <v/>
      </c>
      <c r="N1304" s="33">
        <f>IF($R$1275="","",IF($R$1275="언어와 매체",자동계산!$D$31,자동계산!$B$31))</f>
        <v/>
      </c>
      <c r="O1304" s="33">
        <f>IF($R$1275="","",IF($R$1275="언어와 매체",자동계산!$D$32,자동계산!$B$32))</f>
        <v/>
      </c>
      <c r="P1304" s="33">
        <f>IF($R$1275="","",IF($R$1275="언어와 매체",자동계산!$D$33,자동계산!$B$33))</f>
        <v/>
      </c>
    </row>
    <row r="1305">
      <c r="A1305" s="52" t="inlineStr">
        <is>
          <t>학생답안</t>
        </is>
      </c>
      <c r="B1305" s="33">
        <f>IF($R$1274="","",INDEX(전체채점!T$3:T$62,$R$1274))</f>
        <v/>
      </c>
      <c r="C1305" s="33">
        <f>IF($R$1274="","",INDEX(전체채점!U$3:U$62,$R$1274))</f>
        <v/>
      </c>
      <c r="D1305" s="33">
        <f>IF($R$1274="","",INDEX(전체채점!V$3:V$62,$R$1274))</f>
        <v/>
      </c>
      <c r="E1305" s="33">
        <f>IF($R$1274="","",INDEX(전체채점!W$3:W$62,$R$1274))</f>
        <v/>
      </c>
      <c r="F1305" s="33">
        <f>IF($R$1274="","",INDEX(전체채점!X$3:X$62,$R$1274))</f>
        <v/>
      </c>
      <c r="G1305" s="33">
        <f>IF($R$1274="","",INDEX(전체채점!Y$3:Y$62,$R$1274))</f>
        <v/>
      </c>
      <c r="H1305" s="33">
        <f>IF($R$1274="","",INDEX(전체채점!Z$3:Z$62,$R$1274))</f>
        <v/>
      </c>
      <c r="I1305" s="33">
        <f>IF($R$1274="","",INDEX(전체채점!AA$3:AA$62,$R$1274))</f>
        <v/>
      </c>
      <c r="J1305" s="33">
        <f>IF($R$1274="","",INDEX(전체채점!AB$3:AB$62,$R$1274))</f>
        <v/>
      </c>
      <c r="K1305" s="33">
        <f>IF($R$1274="","",INDEX(전체채점!AC$3:AC$62,$R$1274))</f>
        <v/>
      </c>
      <c r="L1305" s="33">
        <f>IF($R$1274="","",INDEX(전체채점!AD$3:AD$62,$R$1274))</f>
        <v/>
      </c>
      <c r="M1305" s="33">
        <f>IF($R$1274="","",INDEX(전체채점!AE$3:AE$62,$R$1274))</f>
        <v/>
      </c>
      <c r="N1305" s="33">
        <f>IF($R$1274="","",INDEX(전체채점!AF$3:AF$62,$R$1274))</f>
        <v/>
      </c>
      <c r="O1305" s="33">
        <f>IF($R$1274="","",INDEX(전체채점!AG$3:AG$62,$R$1274))</f>
        <v/>
      </c>
      <c r="P1305" s="33">
        <f>IF($R$1274="","",INDEX(전체채점!AH$3:AH$62,$R$1274))</f>
        <v/>
      </c>
    </row>
    <row r="1306">
      <c r="A1306" s="52" t="inlineStr">
        <is>
          <t>정오</t>
        </is>
      </c>
      <c r="B1306" s="33">
        <f>IF($R$1274="","",INDEX(전체채점!BM$3:BM$62,$R$1274))</f>
        <v/>
      </c>
      <c r="C1306" s="33">
        <f>IF($R$1274="","",INDEX(전체채점!BN$3:BN$62,$R$1274))</f>
        <v/>
      </c>
      <c r="D1306" s="33">
        <f>IF($R$1274="","",INDEX(전체채점!BO$3:BO$62,$R$1274))</f>
        <v/>
      </c>
      <c r="E1306" s="33">
        <f>IF($R$1274="","",INDEX(전체채점!BP$3:BP$62,$R$1274))</f>
        <v/>
      </c>
      <c r="F1306" s="33">
        <f>IF($R$1274="","",INDEX(전체채점!BQ$3:BQ$62,$R$1274))</f>
        <v/>
      </c>
      <c r="G1306" s="33">
        <f>IF($R$1274="","",INDEX(전체채점!BR$3:BR$62,$R$1274))</f>
        <v/>
      </c>
      <c r="H1306" s="33">
        <f>IF($R$1274="","",INDEX(전체채점!BS$3:BS$62,$R$1274))</f>
        <v/>
      </c>
      <c r="I1306" s="33">
        <f>IF($R$1274="","",INDEX(전체채점!BT$3:BT$62,$R$1274))</f>
        <v/>
      </c>
      <c r="J1306" s="33">
        <f>IF($R$1274="","",INDEX(전체채점!BU$3:BU$62,$R$1274))</f>
        <v/>
      </c>
      <c r="K1306" s="33">
        <f>IF($R$1274="","",INDEX(전체채점!BV$3:BV$62,$R$1274))</f>
        <v/>
      </c>
      <c r="L1306" s="33">
        <f>IF($R$1274="","",INDEX(전체채점!BW$3:BW$62,$R$1274))</f>
        <v/>
      </c>
      <c r="M1306" s="33">
        <f>IF($R$1274="","",INDEX(전체채점!BX$3:BX$62,$R$1274))</f>
        <v/>
      </c>
      <c r="N1306" s="33">
        <f>IF($R$1274="","",INDEX(전체채점!BY$3:BY$62,$R$1274))</f>
        <v/>
      </c>
      <c r="O1306" s="33">
        <f>IF($R$1274="","",INDEX(전체채점!BZ$3:BZ$62,$R$1274))</f>
        <v/>
      </c>
      <c r="P1306" s="33">
        <f>IF($R$1274="","",INDEX(전체채점!CA$3:CA$62,$R$1274))</f>
        <v/>
      </c>
    </row>
    <row r="1307">
      <c r="A1307" s="50" t="inlineStr">
        <is>
          <t>문항 번호</t>
        </is>
      </c>
      <c r="B1307" s="51" t="n">
        <v>31</v>
      </c>
      <c r="C1307" s="51" t="n">
        <v>32</v>
      </c>
      <c r="D1307" s="51" t="n">
        <v>33</v>
      </c>
      <c r="E1307" s="51" t="n">
        <v>34</v>
      </c>
      <c r="F1307" s="51" t="n">
        <v>35</v>
      </c>
      <c r="G1307" s="51" t="n">
        <v>36</v>
      </c>
      <c r="H1307" s="51" t="n">
        <v>37</v>
      </c>
      <c r="I1307" s="51" t="n">
        <v>38</v>
      </c>
      <c r="J1307" s="51" t="n">
        <v>39</v>
      </c>
      <c r="K1307" s="51" t="n">
        <v>40</v>
      </c>
      <c r="L1307" s="51" t="n">
        <v>41</v>
      </c>
      <c r="M1307" s="51" t="n">
        <v>42</v>
      </c>
      <c r="N1307" s="51" t="n">
        <v>43</v>
      </c>
      <c r="O1307" s="51" t="n">
        <v>44</v>
      </c>
      <c r="P1307" s="51" t="n">
        <v>45</v>
      </c>
    </row>
    <row r="1308">
      <c r="A1308" s="52" t="inlineStr">
        <is>
          <t>정답</t>
        </is>
      </c>
      <c r="B1308" s="33">
        <f>IF($R$1275="","",IF($R$1275="언어와 매체",자동계산!$D$34,자동계산!$B$34))</f>
        <v/>
      </c>
      <c r="C1308" s="33">
        <f>IF($R$1275="","",IF($R$1275="언어와 매체",자동계산!$D$35,자동계산!$B$35))</f>
        <v/>
      </c>
      <c r="D1308" s="33">
        <f>IF($R$1275="","",IF($R$1275="언어와 매체",자동계산!$D$36,자동계산!$B$36))</f>
        <v/>
      </c>
      <c r="E1308" s="33">
        <f>IF($R$1275="","",IF($R$1275="언어와 매체",자동계산!$D$37,자동계산!$B$37))</f>
        <v/>
      </c>
      <c r="F1308" s="33">
        <f>IF($R$1275="","",IF($R$1275="언어와 매체",자동계산!$D$38,자동계산!$B$38))</f>
        <v/>
      </c>
      <c r="G1308" s="33">
        <f>IF($R$1275="","",IF($R$1275="언어와 매체",자동계산!$D$39,자동계산!$B$39))</f>
        <v/>
      </c>
      <c r="H1308" s="33">
        <f>IF($R$1275="","",IF($R$1275="언어와 매체",자동계산!$D$40,자동계산!$B$40))</f>
        <v/>
      </c>
      <c r="I1308" s="33">
        <f>IF($R$1275="","",IF($R$1275="언어와 매체",자동계산!$D$41,자동계산!$B$41))</f>
        <v/>
      </c>
      <c r="J1308" s="33">
        <f>IF($R$1275="","",IF($R$1275="언어와 매체",자동계산!$D$42,자동계산!$B$42))</f>
        <v/>
      </c>
      <c r="K1308" s="33">
        <f>IF($R$1275="","",IF($R$1275="언어와 매체",자동계산!$D$43,자동계산!$B$43))</f>
        <v/>
      </c>
      <c r="L1308" s="33">
        <f>IF($R$1275="","",IF($R$1275="언어와 매체",자동계산!$D$44,자동계산!$B$44))</f>
        <v/>
      </c>
      <c r="M1308" s="33">
        <f>IF($R$1275="","",IF($R$1275="언어와 매체",자동계산!$D$45,자동계산!$B$45))</f>
        <v/>
      </c>
      <c r="N1308" s="33">
        <f>IF($R$1275="","",IF($R$1275="언어와 매체",자동계산!$D$46,자동계산!$B$46))</f>
        <v/>
      </c>
      <c r="O1308" s="33">
        <f>IF($R$1275="","",IF($R$1275="언어와 매체",자동계산!$D$47,자동계산!$B$47))</f>
        <v/>
      </c>
      <c r="P1308" s="33">
        <f>IF($R$1275="","",IF($R$1275="언어와 매체",자동계산!$D$48,자동계산!$B$48))</f>
        <v/>
      </c>
    </row>
    <row r="1309">
      <c r="A1309" s="52" t="inlineStr">
        <is>
          <t>학생답안</t>
        </is>
      </c>
      <c r="B1309" s="33">
        <f>IF($R$1274="","",INDEX(전체채점!AI$3:AI$62,$R$1274))</f>
        <v/>
      </c>
      <c r="C1309" s="33">
        <f>IF($R$1274="","",INDEX(전체채점!AJ$3:AJ$62,$R$1274))</f>
        <v/>
      </c>
      <c r="D1309" s="33">
        <f>IF($R$1274="","",INDEX(전체채점!AK$3:AK$62,$R$1274))</f>
        <v/>
      </c>
      <c r="E1309" s="33">
        <f>IF($R$1274="","",INDEX(전체채점!AL$3:AL$62,$R$1274))</f>
        <v/>
      </c>
      <c r="F1309" s="33">
        <f>IF($R$1274="","",INDEX(전체채점!AM$3:AM$62,$R$1274))</f>
        <v/>
      </c>
      <c r="G1309" s="33">
        <f>IF($R$1274="","",INDEX(전체채점!AN$3:AN$62,$R$1274))</f>
        <v/>
      </c>
      <c r="H1309" s="33">
        <f>IF($R$1274="","",INDEX(전체채점!AO$3:AO$62,$R$1274))</f>
        <v/>
      </c>
      <c r="I1309" s="33">
        <f>IF($R$1274="","",INDEX(전체채점!AP$3:AP$62,$R$1274))</f>
        <v/>
      </c>
      <c r="J1309" s="33">
        <f>IF($R$1274="","",INDEX(전체채점!AQ$3:AQ$62,$R$1274))</f>
        <v/>
      </c>
      <c r="K1309" s="33">
        <f>IF($R$1274="","",INDEX(전체채점!AR$3:AR$62,$R$1274))</f>
        <v/>
      </c>
      <c r="L1309" s="33">
        <f>IF($R$1274="","",INDEX(전체채점!AS$3:AS$62,$R$1274))</f>
        <v/>
      </c>
      <c r="M1309" s="33">
        <f>IF($R$1274="","",INDEX(전체채점!AT$3:AT$62,$R$1274))</f>
        <v/>
      </c>
      <c r="N1309" s="33">
        <f>IF($R$1274="","",INDEX(전체채점!AU$3:AU$62,$R$1274))</f>
        <v/>
      </c>
      <c r="O1309" s="33">
        <f>IF($R$1274="","",INDEX(전체채점!AV$3:AV$62,$R$1274))</f>
        <v/>
      </c>
      <c r="P1309" s="33">
        <f>IF($R$1274="","",INDEX(전체채점!AW$3:AW$62,$R$1274))</f>
        <v/>
      </c>
    </row>
    <row r="1310">
      <c r="A1310" s="52" t="inlineStr">
        <is>
          <t>정오</t>
        </is>
      </c>
      <c r="B1310" s="33">
        <f>IF($R$1274="","",INDEX(전체채점!CB$3:CB$62,$R$1274))</f>
        <v/>
      </c>
      <c r="C1310" s="33">
        <f>IF($R$1274="","",INDEX(전체채점!CC$3:CC$62,$R$1274))</f>
        <v/>
      </c>
      <c r="D1310" s="33">
        <f>IF($R$1274="","",INDEX(전체채점!CD$3:CD$62,$R$1274))</f>
        <v/>
      </c>
      <c r="E1310" s="33">
        <f>IF($R$1274="","",INDEX(전체채점!CE$3:CE$62,$R$1274))</f>
        <v/>
      </c>
      <c r="F1310" s="33">
        <f>IF($R$1274="","",INDEX(전체채점!CF$3:CF$62,$R$1274))</f>
        <v/>
      </c>
      <c r="G1310" s="33">
        <f>IF($R$1274="","",INDEX(전체채점!CG$3:CG$62,$R$1274))</f>
        <v/>
      </c>
      <c r="H1310" s="33">
        <f>IF($R$1274="","",INDEX(전체채점!CH$3:CH$62,$R$1274))</f>
        <v/>
      </c>
      <c r="I1310" s="33">
        <f>IF($R$1274="","",INDEX(전체채점!CI$3:CI$62,$R$1274))</f>
        <v/>
      </c>
      <c r="J1310" s="33">
        <f>IF($R$1274="","",INDEX(전체채점!CJ$3:CJ$62,$R$1274))</f>
        <v/>
      </c>
      <c r="K1310" s="33">
        <f>IF($R$1274="","",INDEX(전체채점!CK$3:CK$62,$R$1274))</f>
        <v/>
      </c>
      <c r="L1310" s="33">
        <f>IF($R$1274="","",INDEX(전체채점!CL$3:CL$62,$R$1274))</f>
        <v/>
      </c>
      <c r="M1310" s="33">
        <f>IF($R$1274="","",INDEX(전체채점!CM$3:CM$62,$R$1274))</f>
        <v/>
      </c>
      <c r="N1310" s="33">
        <f>IF($R$1274="","",INDEX(전체채점!CN$3:CN$62,$R$1274))</f>
        <v/>
      </c>
      <c r="O1310" s="33">
        <f>IF($R$1274="","",INDEX(전체채점!CO$3:CO$62,$R$1274))</f>
        <v/>
      </c>
      <c r="P1310" s="33">
        <f>IF($R$1274="","",INDEX(전체채점!CP$3:CP$62,$R$1274))</f>
        <v/>
      </c>
    </row>
    <row r="1313" ht="34" customHeight="1">
      <c r="A1313" s="36">
        <f>IF($R$1315="","",회차설정!$B$2&amp;" 성적표")</f>
        <v/>
      </c>
    </row>
    <row r="1315">
      <c r="A1315" s="12" t="inlineStr">
        <is>
          <t>1. 학생정보</t>
        </is>
      </c>
      <c r="R1315" s="37">
        <f>IF(답안입력!$A$35="","",33)</f>
        <v/>
      </c>
      <c r="S1315" s="37">
        <f>IF($R$1316="","",IFERROR(IF($R$1316="언어와 매체",MATCH(1,회차설정!$G$13:$G$27,0),MATCH(1,회차설정!$F$13:$F$27,0)),""))</f>
        <v/>
      </c>
    </row>
    <row r="1316">
      <c r="A1316" s="13" t="inlineStr">
        <is>
          <t>성명</t>
        </is>
      </c>
      <c r="B1316" s="7" t="n"/>
      <c r="C1316" s="8" t="n"/>
      <c r="D1316" s="13" t="inlineStr">
        <is>
          <t>선택과목</t>
        </is>
      </c>
      <c r="E1316" s="7" t="n"/>
      <c r="F1316" s="7" t="n"/>
      <c r="G1316" s="8" t="n"/>
      <c r="H1316" s="13" t="inlineStr">
        <is>
          <t>학년</t>
        </is>
      </c>
      <c r="I1316" s="7" t="n"/>
      <c r="J1316" s="7" t="n"/>
      <c r="K1316" s="8" t="n"/>
      <c r="L1316" s="13" t="inlineStr">
        <is>
          <t>시행일</t>
        </is>
      </c>
      <c r="M1316" s="7" t="n"/>
      <c r="N1316" s="7" t="n"/>
      <c r="O1316" s="7" t="n"/>
      <c r="P1316" s="8" t="n"/>
      <c r="R1316" s="37">
        <f>IF($R$1315="","",INDEX(전체채점!$B$3:$B$62,$R$1315))</f>
        <v/>
      </c>
      <c r="S1316" s="37">
        <f>IF($R$1316="","",IFERROR(IF($R$1316="언어와 매체",MATCH(2,회차설정!$G$13:$G$27,0),MATCH(2,회차설정!$F$13:$F$27,0)),""))</f>
        <v/>
      </c>
    </row>
    <row r="1317" ht="26" customHeight="1">
      <c r="A1317" s="39">
        <f>IF($R$1315="","",INDEX(답안입력!$A$3:$A$62,$R$1315))</f>
        <v/>
      </c>
      <c r="B1317" s="7" t="n"/>
      <c r="C1317" s="8" t="n"/>
      <c r="D1317" s="39">
        <f>IF($R$1315="","",INDEX(답안입력!$C$3:$C$62,$R$1315))</f>
        <v/>
      </c>
      <c r="E1317" s="7" t="n"/>
      <c r="F1317" s="7" t="n"/>
      <c r="G1317" s="8" t="n"/>
      <c r="H1317" s="39">
        <f>IF($R$1315="","",INDEX(답안입력!$B$3:$B$62,$R$1315))</f>
        <v/>
      </c>
      <c r="I1317" s="7" t="n"/>
      <c r="J1317" s="7" t="n"/>
      <c r="K1317" s="8" t="n"/>
      <c r="L1317" s="40">
        <f>회차설정!$B$3</f>
        <v/>
      </c>
      <c r="M1317" s="7" t="n"/>
      <c r="N1317" s="7" t="n"/>
      <c r="O1317" s="7" t="n"/>
      <c r="P1317" s="8" t="n"/>
      <c r="R1317" s="37">
        <f>IF($R$1316="언어와 매체",회차설정!$B$9,회차설정!$B$8)</f>
        <v/>
      </c>
      <c r="S1317" s="37">
        <f>IF($R$1316="","",IFERROR(IF($R$1316="언어와 매체",MATCH(3,회차설정!$G$13:$G$27,0),MATCH(3,회차설정!$F$13:$F$27,0)),""))</f>
        <v/>
      </c>
    </row>
    <row r="1318">
      <c r="R1318" s="37">
        <f>IF($R$1316="언어와 매체",회차설정!$C$9,회차설정!$C$8)</f>
        <v/>
      </c>
      <c r="S1318" s="37">
        <f>IF($R$1316="","",IFERROR(IF($R$1316="언어와 매체",MATCH(4,회차설정!$G$13:$G$27,0),MATCH(4,회차설정!$F$13:$F$27,0)),""))</f>
        <v/>
      </c>
    </row>
    <row r="1319">
      <c r="A1319" s="12" t="inlineStr">
        <is>
          <t>2. 성적</t>
        </is>
      </c>
      <c r="R1319" s="37">
        <f>IF($R$1316="언어와 매체",회차설정!$D$9,회차설정!$D$8)</f>
        <v/>
      </c>
      <c r="S1319" s="37">
        <f>IF($R$1316="","",IFERROR(IF($R$1316="언어와 매체",MATCH(5,회차설정!$G$13:$G$27,0),MATCH(5,회차설정!$F$13:$F$27,0)),""))</f>
        <v/>
      </c>
    </row>
    <row r="1320">
      <c r="A1320" s="13" t="inlineStr">
        <is>
          <t>점수 (100점 만점)</t>
        </is>
      </c>
      <c r="B1320" s="7" t="n"/>
      <c r="C1320" s="7" t="n"/>
      <c r="D1320" s="7" t="n"/>
      <c r="E1320" s="8" t="n"/>
      <c r="F1320" s="13" t="inlineStr">
        <is>
          <t>등급</t>
        </is>
      </c>
      <c r="G1320" s="7" t="n"/>
      <c r="H1320" s="8" t="n"/>
      <c r="I1320" s="13" t="inlineStr">
        <is>
          <t>등급컷</t>
        </is>
      </c>
      <c r="J1320" s="7" t="n"/>
      <c r="K1320" s="7" t="n"/>
      <c r="L1320" s="8" t="n"/>
      <c r="M1320" s="13" t="inlineStr">
        <is>
          <t>같은 선택과목 평균</t>
        </is>
      </c>
      <c r="N1320" s="7" t="n"/>
      <c r="O1320" s="7" t="n"/>
      <c r="P1320" s="8" t="n"/>
      <c r="R1320" s="37">
        <f>IF($R$1316="언어와 매체",회차설정!$E$9,회차설정!$E$8)</f>
        <v/>
      </c>
      <c r="S1320" s="37">
        <f>IF($R$1316="","",IFERROR(IF($R$1316="언어와 매체",MATCH(6,회차설정!$G$13:$G$27,0),MATCH(6,회차설정!$F$13:$F$27,0)),""))</f>
        <v/>
      </c>
    </row>
    <row r="1321" ht="34" customHeight="1">
      <c r="A1321" s="41">
        <f>IF($R$1315="","",INDEX(전체채점!$C$3:$C$62,$R$1315))</f>
        <v/>
      </c>
      <c r="B1321" s="7" t="n"/>
      <c r="C1321" s="7" t="n"/>
      <c r="D1321" s="7" t="n"/>
      <c r="E1321" s="8" t="n"/>
      <c r="F1321" s="42">
        <f>IF($R$1315="","",INDEX(전체채점!$D$3:$D$62,$R$1315))</f>
        <v/>
      </c>
      <c r="G1321" s="7" t="n"/>
      <c r="H1321" s="8" t="n"/>
      <c r="I1321" s="43">
        <f>IF($R$1315="","",$R$1317&amp;"-"&amp;$R$1318&amp;"-"&amp;$R$1319&amp;"-"&amp;$R$1320)</f>
        <v/>
      </c>
      <c r="J1321" s="7" t="n"/>
      <c r="K1321" s="7" t="n"/>
      <c r="L1321" s="8" t="n"/>
      <c r="M1321" s="44">
        <f>IFERROR(AVERAGEIF(전체채점!$B$3:$B$62,$R$1316,전체채점!$C$3:$C$62),"")</f>
        <v/>
      </c>
      <c r="N1321" s="7" t="n"/>
      <c r="O1321" s="7" t="n"/>
      <c r="P1321" s="8" t="n"/>
      <c r="S1321" s="37">
        <f>IF($R$1316="","",IFERROR(IF($R$1316="언어와 매체",MATCH(7,회차설정!$G$13:$G$27,0),MATCH(7,회차설정!$F$13:$F$27,0)),""))</f>
        <v/>
      </c>
    </row>
    <row r="1322">
      <c r="S1322" s="37">
        <f>IF($R$1316="","",IFERROR(IF($R$1316="언어와 매체",MATCH(8,회차설정!$G$13:$G$27,0),MATCH(8,회차설정!$F$13:$F$27,0)),""))</f>
        <v/>
      </c>
    </row>
    <row r="1323">
      <c r="A1323" s="12" t="inlineStr">
        <is>
          <t>3. 영역분류별 성취도 분석</t>
        </is>
      </c>
      <c r="F1323" s="45">
        <f>IF(OR($R$1315="",$E1337=""),"",IF($E1337=INDEX(전체채점!$C$3:$C$62,$R$1315),"","※ 회차설정의 영역 표를 확인하세요 — 영역 합계와 점수가 다릅니다"))</f>
        <v/>
      </c>
      <c r="S1323" s="37">
        <f>IF($R$1316="","",IFERROR(IF($R$1316="언어와 매체",MATCH(9,회차설정!$G$13:$G$27,0),MATCH(9,회차설정!$F$13:$F$27,0)),""))</f>
        <v/>
      </c>
    </row>
    <row r="1324">
      <c r="A1324" s="13" t="inlineStr">
        <is>
          <t>분류</t>
        </is>
      </c>
      <c r="B1324" s="13" t="inlineStr">
        <is>
          <t>영역</t>
        </is>
      </c>
      <c r="C1324" s="8" t="n"/>
      <c r="D1324" s="13" t="inlineStr">
        <is>
          <t>배점</t>
        </is>
      </c>
      <c r="E1324" s="13" t="inlineStr">
        <is>
          <t>득점</t>
        </is>
      </c>
      <c r="F1324" s="13" t="inlineStr">
        <is>
          <t>성취도(%)</t>
        </is>
      </c>
      <c r="G1324" s="8" t="n"/>
      <c r="H1324" s="13" t="inlineStr"/>
      <c r="I1324" s="7" t="n"/>
      <c r="J1324" s="7" t="n"/>
      <c r="K1324" s="7" t="n"/>
      <c r="L1324" s="7" t="n"/>
      <c r="M1324" s="7" t="n"/>
      <c r="N1324" s="7" t="n"/>
      <c r="O1324" s="7" t="n"/>
      <c r="P1324" s="8" t="n"/>
      <c r="S1324" s="37">
        <f>IF($R$1316="","",IFERROR(IF($R$1316="언어와 매체",MATCH(10,회차설정!$G$13:$G$27,0),MATCH(10,회차설정!$F$13:$F$27,0)),""))</f>
        <v/>
      </c>
    </row>
    <row r="1325">
      <c r="A1325" s="14">
        <f>IF($S$1315="","",INDEX(회차설정!$A$13:$A$27,$S$1315))</f>
        <v/>
      </c>
      <c r="B1325" s="14">
        <f>IF($S$1315="","",INDEX(회차설정!$B$13:$B$27,$S$1315))</f>
        <v/>
      </c>
      <c r="C1325" s="8" t="n"/>
      <c r="D1325" s="14">
        <f>IF($S$1315="","",IF($R$1316="언어와 매체",SUMPRODUCT((자동계산!$A$4:$A$48&gt;=INDEX(회차설정!$C$13:$C$27,$S$1315))*(자동계산!$A$4:$A$48&lt;=INDEX(회차설정!$D$13:$D$27,$S$1315))*자동계산!$E$4:$E$48),SUMPRODUCT((자동계산!$A$4:$A$48&gt;=INDEX(회차설정!$C$13:$C$27,$S$1315))*(자동계산!$A$4:$A$48&lt;=INDEX(회차설정!$D$13:$D$27,$S$1315))*자동계산!$C$4:$C$48)))</f>
        <v/>
      </c>
      <c r="E1325" s="14">
        <f>IF(OR($S$1315="",$R$1315=""),"",SUM(OFFSET(전체채점!$AW$2,$R$1315,INDEX(회차설정!$C$13:$C$27,$S$1315),1,INDEX(회차설정!$D$13:$D$27,$S$1315)-INDEX(회차설정!$C$13:$C$27,$S$1315)+1)))</f>
        <v/>
      </c>
      <c r="F1325" s="46">
        <f>IF(OR($S$1315="",$D1325=0,$D1325="",$E1325=""),"",$E1325/$D1325*100)</f>
        <v/>
      </c>
      <c r="G1325" s="8" t="n"/>
      <c r="H1325" s="47">
        <f>IF($F1325="","",REPT("■",ROUND($F1325/5,0)))</f>
        <v/>
      </c>
      <c r="I1325" s="7" t="n"/>
      <c r="J1325" s="7" t="n"/>
      <c r="K1325" s="7" t="n"/>
      <c r="L1325" s="7" t="n"/>
      <c r="M1325" s="7" t="n"/>
      <c r="N1325" s="7" t="n"/>
      <c r="O1325" s="7" t="n"/>
      <c r="P1325" s="8" t="n"/>
      <c r="S1325" s="37">
        <f>IF($R$1316="","",IFERROR(IF($R$1316="언어와 매체",MATCH(11,회차설정!$G$13:$G$27,0),MATCH(11,회차설정!$F$13:$F$27,0)),""))</f>
        <v/>
      </c>
    </row>
    <row r="1326">
      <c r="A1326" s="14">
        <f>IF($S$1316="","",INDEX(회차설정!$A$13:$A$27,$S$1316))</f>
        <v/>
      </c>
      <c r="B1326" s="14">
        <f>IF($S$1316="","",INDEX(회차설정!$B$13:$B$27,$S$1316))</f>
        <v/>
      </c>
      <c r="C1326" s="8" t="n"/>
      <c r="D1326" s="14">
        <f>IF($S$1316="","",IF($R$1316="언어와 매체",SUMPRODUCT((자동계산!$A$4:$A$48&gt;=INDEX(회차설정!$C$13:$C$27,$S$1316))*(자동계산!$A$4:$A$48&lt;=INDEX(회차설정!$D$13:$D$27,$S$1316))*자동계산!$E$4:$E$48),SUMPRODUCT((자동계산!$A$4:$A$48&gt;=INDEX(회차설정!$C$13:$C$27,$S$1316))*(자동계산!$A$4:$A$48&lt;=INDEX(회차설정!$D$13:$D$27,$S$1316))*자동계산!$C$4:$C$48)))</f>
        <v/>
      </c>
      <c r="E1326" s="14">
        <f>IF(OR($S$1316="",$R$1315=""),"",SUM(OFFSET(전체채점!$AW$2,$R$1315,INDEX(회차설정!$C$13:$C$27,$S$1316),1,INDEX(회차설정!$D$13:$D$27,$S$1316)-INDEX(회차설정!$C$13:$C$27,$S$1316)+1)))</f>
        <v/>
      </c>
      <c r="F1326" s="46">
        <f>IF(OR($S$1316="",$D1326=0,$D1326="",$E1326=""),"",$E1326/$D1326*100)</f>
        <v/>
      </c>
      <c r="G1326" s="8" t="n"/>
      <c r="H1326" s="47">
        <f>IF($F1326="","",REPT("■",ROUND($F1326/5,0)))</f>
        <v/>
      </c>
      <c r="I1326" s="7" t="n"/>
      <c r="J1326" s="7" t="n"/>
      <c r="K1326" s="7" t="n"/>
      <c r="L1326" s="7" t="n"/>
      <c r="M1326" s="7" t="n"/>
      <c r="N1326" s="7" t="n"/>
      <c r="O1326" s="7" t="n"/>
      <c r="P1326" s="8" t="n"/>
      <c r="S1326" s="37">
        <f>IF($R$1316="","",IFERROR(IF($R$1316="언어와 매체",MATCH(12,회차설정!$G$13:$G$27,0),MATCH(12,회차설정!$F$13:$F$27,0)),""))</f>
        <v/>
      </c>
    </row>
    <row r="1327">
      <c r="A1327" s="14">
        <f>IF($S$1317="","",INDEX(회차설정!$A$13:$A$27,$S$1317))</f>
        <v/>
      </c>
      <c r="B1327" s="14">
        <f>IF($S$1317="","",INDEX(회차설정!$B$13:$B$27,$S$1317))</f>
        <v/>
      </c>
      <c r="C1327" s="8" t="n"/>
      <c r="D1327" s="14">
        <f>IF($S$1317="","",IF($R$1316="언어와 매체",SUMPRODUCT((자동계산!$A$4:$A$48&gt;=INDEX(회차설정!$C$13:$C$27,$S$1317))*(자동계산!$A$4:$A$48&lt;=INDEX(회차설정!$D$13:$D$27,$S$1317))*자동계산!$E$4:$E$48),SUMPRODUCT((자동계산!$A$4:$A$48&gt;=INDEX(회차설정!$C$13:$C$27,$S$1317))*(자동계산!$A$4:$A$48&lt;=INDEX(회차설정!$D$13:$D$27,$S$1317))*자동계산!$C$4:$C$48)))</f>
        <v/>
      </c>
      <c r="E1327" s="14">
        <f>IF(OR($S$1317="",$R$1315=""),"",SUM(OFFSET(전체채점!$AW$2,$R$1315,INDEX(회차설정!$C$13:$C$27,$S$1317),1,INDEX(회차설정!$D$13:$D$27,$S$1317)-INDEX(회차설정!$C$13:$C$27,$S$1317)+1)))</f>
        <v/>
      </c>
      <c r="F1327" s="46">
        <f>IF(OR($S$1317="",$D1327=0,$D1327="",$E1327=""),"",$E1327/$D1327*100)</f>
        <v/>
      </c>
      <c r="G1327" s="8" t="n"/>
      <c r="H1327" s="47">
        <f>IF($F1327="","",REPT("■",ROUND($F1327/5,0)))</f>
        <v/>
      </c>
      <c r="I1327" s="7" t="n"/>
      <c r="J1327" s="7" t="n"/>
      <c r="K1327" s="7" t="n"/>
      <c r="L1327" s="7" t="n"/>
      <c r="M1327" s="7" t="n"/>
      <c r="N1327" s="7" t="n"/>
      <c r="O1327" s="7" t="n"/>
      <c r="P1327" s="8" t="n"/>
    </row>
    <row r="1328">
      <c r="A1328" s="14">
        <f>IF($S$1318="","",INDEX(회차설정!$A$13:$A$27,$S$1318))</f>
        <v/>
      </c>
      <c r="B1328" s="14">
        <f>IF($S$1318="","",INDEX(회차설정!$B$13:$B$27,$S$1318))</f>
        <v/>
      </c>
      <c r="C1328" s="8" t="n"/>
      <c r="D1328" s="14">
        <f>IF($S$1318="","",IF($R$1316="언어와 매체",SUMPRODUCT((자동계산!$A$4:$A$48&gt;=INDEX(회차설정!$C$13:$C$27,$S$1318))*(자동계산!$A$4:$A$48&lt;=INDEX(회차설정!$D$13:$D$27,$S$1318))*자동계산!$E$4:$E$48),SUMPRODUCT((자동계산!$A$4:$A$48&gt;=INDEX(회차설정!$C$13:$C$27,$S$1318))*(자동계산!$A$4:$A$48&lt;=INDEX(회차설정!$D$13:$D$27,$S$1318))*자동계산!$C$4:$C$48)))</f>
        <v/>
      </c>
      <c r="E1328" s="14">
        <f>IF(OR($S$1318="",$R$1315=""),"",SUM(OFFSET(전체채점!$AW$2,$R$1315,INDEX(회차설정!$C$13:$C$27,$S$1318),1,INDEX(회차설정!$D$13:$D$27,$S$1318)-INDEX(회차설정!$C$13:$C$27,$S$1318)+1)))</f>
        <v/>
      </c>
      <c r="F1328" s="46">
        <f>IF(OR($S$1318="",$D1328=0,$D1328="",$E1328=""),"",$E1328/$D1328*100)</f>
        <v/>
      </c>
      <c r="G1328" s="8" t="n"/>
      <c r="H1328" s="47">
        <f>IF($F1328="","",REPT("■",ROUND($F1328/5,0)))</f>
        <v/>
      </c>
      <c r="I1328" s="7" t="n"/>
      <c r="J1328" s="7" t="n"/>
      <c r="K1328" s="7" t="n"/>
      <c r="L1328" s="7" t="n"/>
      <c r="M1328" s="7" t="n"/>
      <c r="N1328" s="7" t="n"/>
      <c r="O1328" s="7" t="n"/>
      <c r="P1328" s="8" t="n"/>
    </row>
    <row r="1329">
      <c r="A1329" s="14">
        <f>IF($S$1319="","",INDEX(회차설정!$A$13:$A$27,$S$1319))</f>
        <v/>
      </c>
      <c r="B1329" s="14">
        <f>IF($S$1319="","",INDEX(회차설정!$B$13:$B$27,$S$1319))</f>
        <v/>
      </c>
      <c r="C1329" s="8" t="n"/>
      <c r="D1329" s="14">
        <f>IF($S$1319="","",IF($R$1316="언어와 매체",SUMPRODUCT((자동계산!$A$4:$A$48&gt;=INDEX(회차설정!$C$13:$C$27,$S$1319))*(자동계산!$A$4:$A$48&lt;=INDEX(회차설정!$D$13:$D$27,$S$1319))*자동계산!$E$4:$E$48),SUMPRODUCT((자동계산!$A$4:$A$48&gt;=INDEX(회차설정!$C$13:$C$27,$S$1319))*(자동계산!$A$4:$A$48&lt;=INDEX(회차설정!$D$13:$D$27,$S$1319))*자동계산!$C$4:$C$48)))</f>
        <v/>
      </c>
      <c r="E1329" s="14">
        <f>IF(OR($S$1319="",$R$1315=""),"",SUM(OFFSET(전체채점!$AW$2,$R$1315,INDEX(회차설정!$C$13:$C$27,$S$1319),1,INDEX(회차설정!$D$13:$D$27,$S$1319)-INDEX(회차설정!$C$13:$C$27,$S$1319)+1)))</f>
        <v/>
      </c>
      <c r="F1329" s="46">
        <f>IF(OR($S$1319="",$D1329=0,$D1329="",$E1329=""),"",$E1329/$D1329*100)</f>
        <v/>
      </c>
      <c r="G1329" s="8" t="n"/>
      <c r="H1329" s="47">
        <f>IF($F1329="","",REPT("■",ROUND($F1329/5,0)))</f>
        <v/>
      </c>
      <c r="I1329" s="7" t="n"/>
      <c r="J1329" s="7" t="n"/>
      <c r="K1329" s="7" t="n"/>
      <c r="L1329" s="7" t="n"/>
      <c r="M1329" s="7" t="n"/>
      <c r="N1329" s="7" t="n"/>
      <c r="O1329" s="7" t="n"/>
      <c r="P1329" s="8" t="n"/>
    </row>
    <row r="1330">
      <c r="A1330" s="14">
        <f>IF($S$1320="","",INDEX(회차설정!$A$13:$A$27,$S$1320))</f>
        <v/>
      </c>
      <c r="B1330" s="14">
        <f>IF($S$1320="","",INDEX(회차설정!$B$13:$B$27,$S$1320))</f>
        <v/>
      </c>
      <c r="C1330" s="8" t="n"/>
      <c r="D1330" s="14">
        <f>IF($S$1320="","",IF($R$1316="언어와 매체",SUMPRODUCT((자동계산!$A$4:$A$48&gt;=INDEX(회차설정!$C$13:$C$27,$S$1320))*(자동계산!$A$4:$A$48&lt;=INDEX(회차설정!$D$13:$D$27,$S$1320))*자동계산!$E$4:$E$48),SUMPRODUCT((자동계산!$A$4:$A$48&gt;=INDEX(회차설정!$C$13:$C$27,$S$1320))*(자동계산!$A$4:$A$48&lt;=INDEX(회차설정!$D$13:$D$27,$S$1320))*자동계산!$C$4:$C$48)))</f>
        <v/>
      </c>
      <c r="E1330" s="14">
        <f>IF(OR($S$1320="",$R$1315=""),"",SUM(OFFSET(전체채점!$AW$2,$R$1315,INDEX(회차설정!$C$13:$C$27,$S$1320),1,INDEX(회차설정!$D$13:$D$27,$S$1320)-INDEX(회차설정!$C$13:$C$27,$S$1320)+1)))</f>
        <v/>
      </c>
      <c r="F1330" s="46">
        <f>IF(OR($S$1320="",$D1330=0,$D1330="",$E1330=""),"",$E1330/$D1330*100)</f>
        <v/>
      </c>
      <c r="G1330" s="8" t="n"/>
      <c r="H1330" s="47">
        <f>IF($F1330="","",REPT("■",ROUND($F1330/5,0)))</f>
        <v/>
      </c>
      <c r="I1330" s="7" t="n"/>
      <c r="J1330" s="7" t="n"/>
      <c r="K1330" s="7" t="n"/>
      <c r="L1330" s="7" t="n"/>
      <c r="M1330" s="7" t="n"/>
      <c r="N1330" s="7" t="n"/>
      <c r="O1330" s="7" t="n"/>
      <c r="P1330" s="8" t="n"/>
    </row>
    <row r="1331">
      <c r="A1331" s="14">
        <f>IF($S$1321="","",INDEX(회차설정!$A$13:$A$27,$S$1321))</f>
        <v/>
      </c>
      <c r="B1331" s="14">
        <f>IF($S$1321="","",INDEX(회차설정!$B$13:$B$27,$S$1321))</f>
        <v/>
      </c>
      <c r="C1331" s="8" t="n"/>
      <c r="D1331" s="14">
        <f>IF($S$1321="","",IF($R$1316="언어와 매체",SUMPRODUCT((자동계산!$A$4:$A$48&gt;=INDEX(회차설정!$C$13:$C$27,$S$1321))*(자동계산!$A$4:$A$48&lt;=INDEX(회차설정!$D$13:$D$27,$S$1321))*자동계산!$E$4:$E$48),SUMPRODUCT((자동계산!$A$4:$A$48&gt;=INDEX(회차설정!$C$13:$C$27,$S$1321))*(자동계산!$A$4:$A$48&lt;=INDEX(회차설정!$D$13:$D$27,$S$1321))*자동계산!$C$4:$C$48)))</f>
        <v/>
      </c>
      <c r="E1331" s="14">
        <f>IF(OR($S$1321="",$R$1315=""),"",SUM(OFFSET(전체채점!$AW$2,$R$1315,INDEX(회차설정!$C$13:$C$27,$S$1321),1,INDEX(회차설정!$D$13:$D$27,$S$1321)-INDEX(회차설정!$C$13:$C$27,$S$1321)+1)))</f>
        <v/>
      </c>
      <c r="F1331" s="46">
        <f>IF(OR($S$1321="",$D1331=0,$D1331="",$E1331=""),"",$E1331/$D1331*100)</f>
        <v/>
      </c>
      <c r="G1331" s="8" t="n"/>
      <c r="H1331" s="47">
        <f>IF($F1331="","",REPT("■",ROUND($F1331/5,0)))</f>
        <v/>
      </c>
      <c r="I1331" s="7" t="n"/>
      <c r="J1331" s="7" t="n"/>
      <c r="K1331" s="7" t="n"/>
      <c r="L1331" s="7" t="n"/>
      <c r="M1331" s="7" t="n"/>
      <c r="N1331" s="7" t="n"/>
      <c r="O1331" s="7" t="n"/>
      <c r="P1331" s="8" t="n"/>
    </row>
    <row r="1332">
      <c r="A1332" s="14">
        <f>IF($S$1322="","",INDEX(회차설정!$A$13:$A$27,$S$1322))</f>
        <v/>
      </c>
      <c r="B1332" s="14">
        <f>IF($S$1322="","",INDEX(회차설정!$B$13:$B$27,$S$1322))</f>
        <v/>
      </c>
      <c r="C1332" s="8" t="n"/>
      <c r="D1332" s="14">
        <f>IF($S$1322="","",IF($R$1316="언어와 매체",SUMPRODUCT((자동계산!$A$4:$A$48&gt;=INDEX(회차설정!$C$13:$C$27,$S$1322))*(자동계산!$A$4:$A$48&lt;=INDEX(회차설정!$D$13:$D$27,$S$1322))*자동계산!$E$4:$E$48),SUMPRODUCT((자동계산!$A$4:$A$48&gt;=INDEX(회차설정!$C$13:$C$27,$S$1322))*(자동계산!$A$4:$A$48&lt;=INDEX(회차설정!$D$13:$D$27,$S$1322))*자동계산!$C$4:$C$48)))</f>
        <v/>
      </c>
      <c r="E1332" s="14">
        <f>IF(OR($S$1322="",$R$1315=""),"",SUM(OFFSET(전체채점!$AW$2,$R$1315,INDEX(회차설정!$C$13:$C$27,$S$1322),1,INDEX(회차설정!$D$13:$D$27,$S$1322)-INDEX(회차설정!$C$13:$C$27,$S$1322)+1)))</f>
        <v/>
      </c>
      <c r="F1332" s="46">
        <f>IF(OR($S$1322="",$D1332=0,$D1332="",$E1332=""),"",$E1332/$D1332*100)</f>
        <v/>
      </c>
      <c r="G1332" s="8" t="n"/>
      <c r="H1332" s="47">
        <f>IF($F1332="","",REPT("■",ROUND($F1332/5,0)))</f>
        <v/>
      </c>
      <c r="I1332" s="7" t="n"/>
      <c r="J1332" s="7" t="n"/>
      <c r="K1332" s="7" t="n"/>
      <c r="L1332" s="7" t="n"/>
      <c r="M1332" s="7" t="n"/>
      <c r="N1332" s="7" t="n"/>
      <c r="O1332" s="7" t="n"/>
      <c r="P1332" s="8" t="n"/>
    </row>
    <row r="1333">
      <c r="A1333" s="14">
        <f>IF($S$1323="","",INDEX(회차설정!$A$13:$A$27,$S$1323))</f>
        <v/>
      </c>
      <c r="B1333" s="14">
        <f>IF($S$1323="","",INDEX(회차설정!$B$13:$B$27,$S$1323))</f>
        <v/>
      </c>
      <c r="C1333" s="8" t="n"/>
      <c r="D1333" s="14">
        <f>IF($S$1323="","",IF($R$1316="언어와 매체",SUMPRODUCT((자동계산!$A$4:$A$48&gt;=INDEX(회차설정!$C$13:$C$27,$S$1323))*(자동계산!$A$4:$A$48&lt;=INDEX(회차설정!$D$13:$D$27,$S$1323))*자동계산!$E$4:$E$48),SUMPRODUCT((자동계산!$A$4:$A$48&gt;=INDEX(회차설정!$C$13:$C$27,$S$1323))*(자동계산!$A$4:$A$48&lt;=INDEX(회차설정!$D$13:$D$27,$S$1323))*자동계산!$C$4:$C$48)))</f>
        <v/>
      </c>
      <c r="E1333" s="14">
        <f>IF(OR($S$1323="",$R$1315=""),"",SUM(OFFSET(전체채점!$AW$2,$R$1315,INDEX(회차설정!$C$13:$C$27,$S$1323),1,INDEX(회차설정!$D$13:$D$27,$S$1323)-INDEX(회차설정!$C$13:$C$27,$S$1323)+1)))</f>
        <v/>
      </c>
      <c r="F1333" s="46">
        <f>IF(OR($S$1323="",$D1333=0,$D1333="",$E1333=""),"",$E1333/$D1333*100)</f>
        <v/>
      </c>
      <c r="G1333" s="8" t="n"/>
      <c r="H1333" s="47">
        <f>IF($F1333="","",REPT("■",ROUND($F1333/5,0)))</f>
        <v/>
      </c>
      <c r="I1333" s="7" t="n"/>
      <c r="J1333" s="7" t="n"/>
      <c r="K1333" s="7" t="n"/>
      <c r="L1333" s="7" t="n"/>
      <c r="M1333" s="7" t="n"/>
      <c r="N1333" s="7" t="n"/>
      <c r="O1333" s="7" t="n"/>
      <c r="P1333" s="8" t="n"/>
    </row>
    <row r="1334">
      <c r="A1334" s="14">
        <f>IF($S$1324="","",INDEX(회차설정!$A$13:$A$27,$S$1324))</f>
        <v/>
      </c>
      <c r="B1334" s="14">
        <f>IF($S$1324="","",INDEX(회차설정!$B$13:$B$27,$S$1324))</f>
        <v/>
      </c>
      <c r="C1334" s="8" t="n"/>
      <c r="D1334" s="14">
        <f>IF($S$1324="","",IF($R$1316="언어와 매체",SUMPRODUCT((자동계산!$A$4:$A$48&gt;=INDEX(회차설정!$C$13:$C$27,$S$1324))*(자동계산!$A$4:$A$48&lt;=INDEX(회차설정!$D$13:$D$27,$S$1324))*자동계산!$E$4:$E$48),SUMPRODUCT((자동계산!$A$4:$A$48&gt;=INDEX(회차설정!$C$13:$C$27,$S$1324))*(자동계산!$A$4:$A$48&lt;=INDEX(회차설정!$D$13:$D$27,$S$1324))*자동계산!$C$4:$C$48)))</f>
        <v/>
      </c>
      <c r="E1334" s="14">
        <f>IF(OR($S$1324="",$R$1315=""),"",SUM(OFFSET(전체채점!$AW$2,$R$1315,INDEX(회차설정!$C$13:$C$27,$S$1324),1,INDEX(회차설정!$D$13:$D$27,$S$1324)-INDEX(회차설정!$C$13:$C$27,$S$1324)+1)))</f>
        <v/>
      </c>
      <c r="F1334" s="46">
        <f>IF(OR($S$1324="",$D1334=0,$D1334="",$E1334=""),"",$E1334/$D1334*100)</f>
        <v/>
      </c>
      <c r="G1334" s="8" t="n"/>
      <c r="H1334" s="47">
        <f>IF($F1334="","",REPT("■",ROUND($F1334/5,0)))</f>
        <v/>
      </c>
      <c r="I1334" s="7" t="n"/>
      <c r="J1334" s="7" t="n"/>
      <c r="K1334" s="7" t="n"/>
      <c r="L1334" s="7" t="n"/>
      <c r="M1334" s="7" t="n"/>
      <c r="N1334" s="7" t="n"/>
      <c r="O1334" s="7" t="n"/>
      <c r="P1334" s="8" t="n"/>
    </row>
    <row r="1335">
      <c r="A1335" s="14">
        <f>IF($S$1325="","",INDEX(회차설정!$A$13:$A$27,$S$1325))</f>
        <v/>
      </c>
      <c r="B1335" s="14">
        <f>IF($S$1325="","",INDEX(회차설정!$B$13:$B$27,$S$1325))</f>
        <v/>
      </c>
      <c r="C1335" s="8" t="n"/>
      <c r="D1335" s="14">
        <f>IF($S$1325="","",IF($R$1316="언어와 매체",SUMPRODUCT((자동계산!$A$4:$A$48&gt;=INDEX(회차설정!$C$13:$C$27,$S$1325))*(자동계산!$A$4:$A$48&lt;=INDEX(회차설정!$D$13:$D$27,$S$1325))*자동계산!$E$4:$E$48),SUMPRODUCT((자동계산!$A$4:$A$48&gt;=INDEX(회차설정!$C$13:$C$27,$S$1325))*(자동계산!$A$4:$A$48&lt;=INDEX(회차설정!$D$13:$D$27,$S$1325))*자동계산!$C$4:$C$48)))</f>
        <v/>
      </c>
      <c r="E1335" s="14">
        <f>IF(OR($S$1325="",$R$1315=""),"",SUM(OFFSET(전체채점!$AW$2,$R$1315,INDEX(회차설정!$C$13:$C$27,$S$1325),1,INDEX(회차설정!$D$13:$D$27,$S$1325)-INDEX(회차설정!$C$13:$C$27,$S$1325)+1)))</f>
        <v/>
      </c>
      <c r="F1335" s="46">
        <f>IF(OR($S$1325="",$D1335=0,$D1335="",$E1335=""),"",$E1335/$D1335*100)</f>
        <v/>
      </c>
      <c r="G1335" s="8" t="n"/>
      <c r="H1335" s="47">
        <f>IF($F1335="","",REPT("■",ROUND($F1335/5,0)))</f>
        <v/>
      </c>
      <c r="I1335" s="7" t="n"/>
      <c r="J1335" s="7" t="n"/>
      <c r="K1335" s="7" t="n"/>
      <c r="L1335" s="7" t="n"/>
      <c r="M1335" s="7" t="n"/>
      <c r="N1335" s="7" t="n"/>
      <c r="O1335" s="7" t="n"/>
      <c r="P1335" s="8" t="n"/>
    </row>
    <row r="1336">
      <c r="A1336" s="14">
        <f>IF($S$1326="","",INDEX(회차설정!$A$13:$A$27,$S$1326))</f>
        <v/>
      </c>
      <c r="B1336" s="14">
        <f>IF($S$1326="","",INDEX(회차설정!$B$13:$B$27,$S$1326))</f>
        <v/>
      </c>
      <c r="C1336" s="8" t="n"/>
      <c r="D1336" s="14">
        <f>IF($S$1326="","",IF($R$1316="언어와 매체",SUMPRODUCT((자동계산!$A$4:$A$48&gt;=INDEX(회차설정!$C$13:$C$27,$S$1326))*(자동계산!$A$4:$A$48&lt;=INDEX(회차설정!$D$13:$D$27,$S$1326))*자동계산!$E$4:$E$48),SUMPRODUCT((자동계산!$A$4:$A$48&gt;=INDEX(회차설정!$C$13:$C$27,$S$1326))*(자동계산!$A$4:$A$48&lt;=INDEX(회차설정!$D$13:$D$27,$S$1326))*자동계산!$C$4:$C$48)))</f>
        <v/>
      </c>
      <c r="E1336" s="14">
        <f>IF(OR($S$1326="",$R$1315=""),"",SUM(OFFSET(전체채점!$AW$2,$R$1315,INDEX(회차설정!$C$13:$C$27,$S$1326),1,INDEX(회차설정!$D$13:$D$27,$S$1326)-INDEX(회차설정!$C$13:$C$27,$S$1326)+1)))</f>
        <v/>
      </c>
      <c r="F1336" s="46">
        <f>IF(OR($S$1326="",$D1336=0,$D1336="",$E1336=""),"",$E1336/$D1336*100)</f>
        <v/>
      </c>
      <c r="G1336" s="8" t="n"/>
      <c r="H1336" s="47">
        <f>IF($F1336="","",REPT("■",ROUND($F1336/5,0)))</f>
        <v/>
      </c>
      <c r="I1336" s="7" t="n"/>
      <c r="J1336" s="7" t="n"/>
      <c r="K1336" s="7" t="n"/>
      <c r="L1336" s="7" t="n"/>
      <c r="M1336" s="7" t="n"/>
      <c r="N1336" s="7" t="n"/>
      <c r="O1336" s="7" t="n"/>
      <c r="P1336" s="8" t="n"/>
    </row>
    <row r="1337">
      <c r="A1337" s="5">
        <f>IF($R$1315="","","합계")</f>
        <v/>
      </c>
      <c r="B1337" s="7" t="n"/>
      <c r="C1337" s="8" t="n"/>
      <c r="D1337" s="5">
        <f>IF($R$1315="","",SUM(D1325:D1336))</f>
        <v/>
      </c>
      <c r="E1337" s="5">
        <f>IF($R$1315="","",SUM(E1325:E1336))</f>
        <v/>
      </c>
      <c r="F1337" s="48">
        <f>IF(OR($D1337=0,$D1337=""),"",$E1337/$D1337*100)</f>
        <v/>
      </c>
      <c r="G1337" s="8" t="n"/>
      <c r="H1337" s="49">
        <f>IF($F1337="","",REPT("■",ROUND($F1337/5,0)))</f>
        <v/>
      </c>
      <c r="I1337" s="7" t="n"/>
      <c r="J1337" s="7" t="n"/>
      <c r="K1337" s="7" t="n"/>
      <c r="L1337" s="7" t="n"/>
      <c r="M1337" s="7" t="n"/>
      <c r="N1337" s="7" t="n"/>
      <c r="O1337" s="7" t="n"/>
      <c r="P1337" s="8" t="n"/>
    </row>
    <row r="1339">
      <c r="A1339" s="12" t="inlineStr">
        <is>
          <t>4. 문항 채점표</t>
        </is>
      </c>
    </row>
    <row r="1340">
      <c r="A1340" s="50" t="inlineStr">
        <is>
          <t>문항 번호</t>
        </is>
      </c>
      <c r="B1340" s="51" t="n">
        <v>1</v>
      </c>
      <c r="C1340" s="51" t="n">
        <v>2</v>
      </c>
      <c r="D1340" s="51" t="n">
        <v>3</v>
      </c>
      <c r="E1340" s="51" t="n">
        <v>4</v>
      </c>
      <c r="F1340" s="51" t="n">
        <v>5</v>
      </c>
      <c r="G1340" s="51" t="n">
        <v>6</v>
      </c>
      <c r="H1340" s="51" t="n">
        <v>7</v>
      </c>
      <c r="I1340" s="51" t="n">
        <v>8</v>
      </c>
      <c r="J1340" s="51" t="n">
        <v>9</v>
      </c>
      <c r="K1340" s="51" t="n">
        <v>10</v>
      </c>
      <c r="L1340" s="51" t="n">
        <v>11</v>
      </c>
      <c r="M1340" s="51" t="n">
        <v>12</v>
      </c>
      <c r="N1340" s="51" t="n">
        <v>13</v>
      </c>
      <c r="O1340" s="51" t="n">
        <v>14</v>
      </c>
      <c r="P1340" s="51" t="n">
        <v>15</v>
      </c>
    </row>
    <row r="1341">
      <c r="A1341" s="52" t="inlineStr">
        <is>
          <t>정답</t>
        </is>
      </c>
      <c r="B1341" s="33">
        <f>IF($R$1316="","",IF($R$1316="언어와 매체",자동계산!$D$4,자동계산!$B$4))</f>
        <v/>
      </c>
      <c r="C1341" s="33">
        <f>IF($R$1316="","",IF($R$1316="언어와 매체",자동계산!$D$5,자동계산!$B$5))</f>
        <v/>
      </c>
      <c r="D1341" s="33">
        <f>IF($R$1316="","",IF($R$1316="언어와 매체",자동계산!$D$6,자동계산!$B$6))</f>
        <v/>
      </c>
      <c r="E1341" s="33">
        <f>IF($R$1316="","",IF($R$1316="언어와 매체",자동계산!$D$7,자동계산!$B$7))</f>
        <v/>
      </c>
      <c r="F1341" s="33">
        <f>IF($R$1316="","",IF($R$1316="언어와 매체",자동계산!$D$8,자동계산!$B$8))</f>
        <v/>
      </c>
      <c r="G1341" s="33">
        <f>IF($R$1316="","",IF($R$1316="언어와 매체",자동계산!$D$9,자동계산!$B$9))</f>
        <v/>
      </c>
      <c r="H1341" s="33">
        <f>IF($R$1316="","",IF($R$1316="언어와 매체",자동계산!$D$10,자동계산!$B$10))</f>
        <v/>
      </c>
      <c r="I1341" s="33">
        <f>IF($R$1316="","",IF($R$1316="언어와 매체",자동계산!$D$11,자동계산!$B$11))</f>
        <v/>
      </c>
      <c r="J1341" s="33">
        <f>IF($R$1316="","",IF($R$1316="언어와 매체",자동계산!$D$12,자동계산!$B$12))</f>
        <v/>
      </c>
      <c r="K1341" s="33">
        <f>IF($R$1316="","",IF($R$1316="언어와 매체",자동계산!$D$13,자동계산!$B$13))</f>
        <v/>
      </c>
      <c r="L1341" s="33">
        <f>IF($R$1316="","",IF($R$1316="언어와 매체",자동계산!$D$14,자동계산!$B$14))</f>
        <v/>
      </c>
      <c r="M1341" s="33">
        <f>IF($R$1316="","",IF($R$1316="언어와 매체",자동계산!$D$15,자동계산!$B$15))</f>
        <v/>
      </c>
      <c r="N1341" s="33">
        <f>IF($R$1316="","",IF($R$1316="언어와 매체",자동계산!$D$16,자동계산!$B$16))</f>
        <v/>
      </c>
      <c r="O1341" s="33">
        <f>IF($R$1316="","",IF($R$1316="언어와 매체",자동계산!$D$17,자동계산!$B$17))</f>
        <v/>
      </c>
      <c r="P1341" s="33">
        <f>IF($R$1316="","",IF($R$1316="언어와 매체",자동계산!$D$18,자동계산!$B$18))</f>
        <v/>
      </c>
    </row>
    <row r="1342">
      <c r="A1342" s="52" t="inlineStr">
        <is>
          <t>학생답안</t>
        </is>
      </c>
      <c r="B1342" s="33">
        <f>IF($R$1315="","",INDEX(전체채점!E$3:E$62,$R$1315))</f>
        <v/>
      </c>
      <c r="C1342" s="33">
        <f>IF($R$1315="","",INDEX(전체채점!F$3:F$62,$R$1315))</f>
        <v/>
      </c>
      <c r="D1342" s="33">
        <f>IF($R$1315="","",INDEX(전체채점!G$3:G$62,$R$1315))</f>
        <v/>
      </c>
      <c r="E1342" s="33">
        <f>IF($R$1315="","",INDEX(전체채점!H$3:H$62,$R$1315))</f>
        <v/>
      </c>
      <c r="F1342" s="33">
        <f>IF($R$1315="","",INDEX(전체채점!I$3:I$62,$R$1315))</f>
        <v/>
      </c>
      <c r="G1342" s="33">
        <f>IF($R$1315="","",INDEX(전체채점!J$3:J$62,$R$1315))</f>
        <v/>
      </c>
      <c r="H1342" s="33">
        <f>IF($R$1315="","",INDEX(전체채점!K$3:K$62,$R$1315))</f>
        <v/>
      </c>
      <c r="I1342" s="33">
        <f>IF($R$1315="","",INDEX(전체채점!L$3:L$62,$R$1315))</f>
        <v/>
      </c>
      <c r="J1342" s="33">
        <f>IF($R$1315="","",INDEX(전체채점!M$3:M$62,$R$1315))</f>
        <v/>
      </c>
      <c r="K1342" s="33">
        <f>IF($R$1315="","",INDEX(전체채점!N$3:N$62,$R$1315))</f>
        <v/>
      </c>
      <c r="L1342" s="33">
        <f>IF($R$1315="","",INDEX(전체채점!O$3:O$62,$R$1315))</f>
        <v/>
      </c>
      <c r="M1342" s="33">
        <f>IF($R$1315="","",INDEX(전체채점!P$3:P$62,$R$1315))</f>
        <v/>
      </c>
      <c r="N1342" s="33">
        <f>IF($R$1315="","",INDEX(전체채점!Q$3:Q$62,$R$1315))</f>
        <v/>
      </c>
      <c r="O1342" s="33">
        <f>IF($R$1315="","",INDEX(전체채점!R$3:R$62,$R$1315))</f>
        <v/>
      </c>
      <c r="P1342" s="33">
        <f>IF($R$1315="","",INDEX(전체채점!S$3:S$62,$R$1315))</f>
        <v/>
      </c>
    </row>
    <row r="1343">
      <c r="A1343" s="52" t="inlineStr">
        <is>
          <t>정오</t>
        </is>
      </c>
      <c r="B1343" s="33">
        <f>IF($R$1315="","",INDEX(전체채점!AX$3:AX$62,$R$1315))</f>
        <v/>
      </c>
      <c r="C1343" s="33">
        <f>IF($R$1315="","",INDEX(전체채점!AY$3:AY$62,$R$1315))</f>
        <v/>
      </c>
      <c r="D1343" s="33">
        <f>IF($R$1315="","",INDEX(전체채점!AZ$3:AZ$62,$R$1315))</f>
        <v/>
      </c>
      <c r="E1343" s="33">
        <f>IF($R$1315="","",INDEX(전체채점!BA$3:BA$62,$R$1315))</f>
        <v/>
      </c>
      <c r="F1343" s="33">
        <f>IF($R$1315="","",INDEX(전체채점!BB$3:BB$62,$R$1315))</f>
        <v/>
      </c>
      <c r="G1343" s="33">
        <f>IF($R$1315="","",INDEX(전체채점!BC$3:BC$62,$R$1315))</f>
        <v/>
      </c>
      <c r="H1343" s="33">
        <f>IF($R$1315="","",INDEX(전체채점!BD$3:BD$62,$R$1315))</f>
        <v/>
      </c>
      <c r="I1343" s="33">
        <f>IF($R$1315="","",INDEX(전체채점!BE$3:BE$62,$R$1315))</f>
        <v/>
      </c>
      <c r="J1343" s="33">
        <f>IF($R$1315="","",INDEX(전체채점!BF$3:BF$62,$R$1315))</f>
        <v/>
      </c>
      <c r="K1343" s="33">
        <f>IF($R$1315="","",INDEX(전체채점!BG$3:BG$62,$R$1315))</f>
        <v/>
      </c>
      <c r="L1343" s="33">
        <f>IF($R$1315="","",INDEX(전체채점!BH$3:BH$62,$R$1315))</f>
        <v/>
      </c>
      <c r="M1343" s="33">
        <f>IF($R$1315="","",INDEX(전체채점!BI$3:BI$62,$R$1315))</f>
        <v/>
      </c>
      <c r="N1343" s="33">
        <f>IF($R$1315="","",INDEX(전체채점!BJ$3:BJ$62,$R$1315))</f>
        <v/>
      </c>
      <c r="O1343" s="33">
        <f>IF($R$1315="","",INDEX(전체채점!BK$3:BK$62,$R$1315))</f>
        <v/>
      </c>
      <c r="P1343" s="33">
        <f>IF($R$1315="","",INDEX(전체채점!BL$3:BL$62,$R$1315))</f>
        <v/>
      </c>
    </row>
    <row r="1344">
      <c r="A1344" s="50" t="inlineStr">
        <is>
          <t>문항 번호</t>
        </is>
      </c>
      <c r="B1344" s="51" t="n">
        <v>16</v>
      </c>
      <c r="C1344" s="51" t="n">
        <v>17</v>
      </c>
      <c r="D1344" s="51" t="n">
        <v>18</v>
      </c>
      <c r="E1344" s="51" t="n">
        <v>19</v>
      </c>
      <c r="F1344" s="51" t="n">
        <v>20</v>
      </c>
      <c r="G1344" s="51" t="n">
        <v>21</v>
      </c>
      <c r="H1344" s="51" t="n">
        <v>22</v>
      </c>
      <c r="I1344" s="51" t="n">
        <v>23</v>
      </c>
      <c r="J1344" s="51" t="n">
        <v>24</v>
      </c>
      <c r="K1344" s="51" t="n">
        <v>25</v>
      </c>
      <c r="L1344" s="51" t="n">
        <v>26</v>
      </c>
      <c r="M1344" s="51" t="n">
        <v>27</v>
      </c>
      <c r="N1344" s="51" t="n">
        <v>28</v>
      </c>
      <c r="O1344" s="51" t="n">
        <v>29</v>
      </c>
      <c r="P1344" s="51" t="n">
        <v>30</v>
      </c>
    </row>
    <row r="1345">
      <c r="A1345" s="52" t="inlineStr">
        <is>
          <t>정답</t>
        </is>
      </c>
      <c r="B1345" s="33">
        <f>IF($R$1316="","",IF($R$1316="언어와 매체",자동계산!$D$19,자동계산!$B$19))</f>
        <v/>
      </c>
      <c r="C1345" s="33">
        <f>IF($R$1316="","",IF($R$1316="언어와 매체",자동계산!$D$20,자동계산!$B$20))</f>
        <v/>
      </c>
      <c r="D1345" s="33">
        <f>IF($R$1316="","",IF($R$1316="언어와 매체",자동계산!$D$21,자동계산!$B$21))</f>
        <v/>
      </c>
      <c r="E1345" s="33">
        <f>IF($R$1316="","",IF($R$1316="언어와 매체",자동계산!$D$22,자동계산!$B$22))</f>
        <v/>
      </c>
      <c r="F1345" s="33">
        <f>IF($R$1316="","",IF($R$1316="언어와 매체",자동계산!$D$23,자동계산!$B$23))</f>
        <v/>
      </c>
      <c r="G1345" s="33">
        <f>IF($R$1316="","",IF($R$1316="언어와 매체",자동계산!$D$24,자동계산!$B$24))</f>
        <v/>
      </c>
      <c r="H1345" s="33">
        <f>IF($R$1316="","",IF($R$1316="언어와 매체",자동계산!$D$25,자동계산!$B$25))</f>
        <v/>
      </c>
      <c r="I1345" s="33">
        <f>IF($R$1316="","",IF($R$1316="언어와 매체",자동계산!$D$26,자동계산!$B$26))</f>
        <v/>
      </c>
      <c r="J1345" s="33">
        <f>IF($R$1316="","",IF($R$1316="언어와 매체",자동계산!$D$27,자동계산!$B$27))</f>
        <v/>
      </c>
      <c r="K1345" s="33">
        <f>IF($R$1316="","",IF($R$1316="언어와 매체",자동계산!$D$28,자동계산!$B$28))</f>
        <v/>
      </c>
      <c r="L1345" s="33">
        <f>IF($R$1316="","",IF($R$1316="언어와 매체",자동계산!$D$29,자동계산!$B$29))</f>
        <v/>
      </c>
      <c r="M1345" s="33">
        <f>IF($R$1316="","",IF($R$1316="언어와 매체",자동계산!$D$30,자동계산!$B$30))</f>
        <v/>
      </c>
      <c r="N1345" s="33">
        <f>IF($R$1316="","",IF($R$1316="언어와 매체",자동계산!$D$31,자동계산!$B$31))</f>
        <v/>
      </c>
      <c r="O1345" s="33">
        <f>IF($R$1316="","",IF($R$1316="언어와 매체",자동계산!$D$32,자동계산!$B$32))</f>
        <v/>
      </c>
      <c r="P1345" s="33">
        <f>IF($R$1316="","",IF($R$1316="언어와 매체",자동계산!$D$33,자동계산!$B$33))</f>
        <v/>
      </c>
    </row>
    <row r="1346">
      <c r="A1346" s="52" t="inlineStr">
        <is>
          <t>학생답안</t>
        </is>
      </c>
      <c r="B1346" s="33">
        <f>IF($R$1315="","",INDEX(전체채점!T$3:T$62,$R$1315))</f>
        <v/>
      </c>
      <c r="C1346" s="33">
        <f>IF($R$1315="","",INDEX(전체채점!U$3:U$62,$R$1315))</f>
        <v/>
      </c>
      <c r="D1346" s="33">
        <f>IF($R$1315="","",INDEX(전체채점!V$3:V$62,$R$1315))</f>
        <v/>
      </c>
      <c r="E1346" s="33">
        <f>IF($R$1315="","",INDEX(전체채점!W$3:W$62,$R$1315))</f>
        <v/>
      </c>
      <c r="F1346" s="33">
        <f>IF($R$1315="","",INDEX(전체채점!X$3:X$62,$R$1315))</f>
        <v/>
      </c>
      <c r="G1346" s="33">
        <f>IF($R$1315="","",INDEX(전체채점!Y$3:Y$62,$R$1315))</f>
        <v/>
      </c>
      <c r="H1346" s="33">
        <f>IF($R$1315="","",INDEX(전체채점!Z$3:Z$62,$R$1315))</f>
        <v/>
      </c>
      <c r="I1346" s="33">
        <f>IF($R$1315="","",INDEX(전체채점!AA$3:AA$62,$R$1315))</f>
        <v/>
      </c>
      <c r="J1346" s="33">
        <f>IF($R$1315="","",INDEX(전체채점!AB$3:AB$62,$R$1315))</f>
        <v/>
      </c>
      <c r="K1346" s="33">
        <f>IF($R$1315="","",INDEX(전체채점!AC$3:AC$62,$R$1315))</f>
        <v/>
      </c>
      <c r="L1346" s="33">
        <f>IF($R$1315="","",INDEX(전체채점!AD$3:AD$62,$R$1315))</f>
        <v/>
      </c>
      <c r="M1346" s="33">
        <f>IF($R$1315="","",INDEX(전체채점!AE$3:AE$62,$R$1315))</f>
        <v/>
      </c>
      <c r="N1346" s="33">
        <f>IF($R$1315="","",INDEX(전체채점!AF$3:AF$62,$R$1315))</f>
        <v/>
      </c>
      <c r="O1346" s="33">
        <f>IF($R$1315="","",INDEX(전체채점!AG$3:AG$62,$R$1315))</f>
        <v/>
      </c>
      <c r="P1346" s="33">
        <f>IF($R$1315="","",INDEX(전체채점!AH$3:AH$62,$R$1315))</f>
        <v/>
      </c>
    </row>
    <row r="1347">
      <c r="A1347" s="52" t="inlineStr">
        <is>
          <t>정오</t>
        </is>
      </c>
      <c r="B1347" s="33">
        <f>IF($R$1315="","",INDEX(전체채점!BM$3:BM$62,$R$1315))</f>
        <v/>
      </c>
      <c r="C1347" s="33">
        <f>IF($R$1315="","",INDEX(전체채점!BN$3:BN$62,$R$1315))</f>
        <v/>
      </c>
      <c r="D1347" s="33">
        <f>IF($R$1315="","",INDEX(전체채점!BO$3:BO$62,$R$1315))</f>
        <v/>
      </c>
      <c r="E1347" s="33">
        <f>IF($R$1315="","",INDEX(전체채점!BP$3:BP$62,$R$1315))</f>
        <v/>
      </c>
      <c r="F1347" s="33">
        <f>IF($R$1315="","",INDEX(전체채점!BQ$3:BQ$62,$R$1315))</f>
        <v/>
      </c>
      <c r="G1347" s="33">
        <f>IF($R$1315="","",INDEX(전체채점!BR$3:BR$62,$R$1315))</f>
        <v/>
      </c>
      <c r="H1347" s="33">
        <f>IF($R$1315="","",INDEX(전체채점!BS$3:BS$62,$R$1315))</f>
        <v/>
      </c>
      <c r="I1347" s="33">
        <f>IF($R$1315="","",INDEX(전체채점!BT$3:BT$62,$R$1315))</f>
        <v/>
      </c>
      <c r="J1347" s="33">
        <f>IF($R$1315="","",INDEX(전체채점!BU$3:BU$62,$R$1315))</f>
        <v/>
      </c>
      <c r="K1347" s="33">
        <f>IF($R$1315="","",INDEX(전체채점!BV$3:BV$62,$R$1315))</f>
        <v/>
      </c>
      <c r="L1347" s="33">
        <f>IF($R$1315="","",INDEX(전체채점!BW$3:BW$62,$R$1315))</f>
        <v/>
      </c>
      <c r="M1347" s="33">
        <f>IF($R$1315="","",INDEX(전체채점!BX$3:BX$62,$R$1315))</f>
        <v/>
      </c>
      <c r="N1347" s="33">
        <f>IF($R$1315="","",INDEX(전체채점!BY$3:BY$62,$R$1315))</f>
        <v/>
      </c>
      <c r="O1347" s="33">
        <f>IF($R$1315="","",INDEX(전체채점!BZ$3:BZ$62,$R$1315))</f>
        <v/>
      </c>
      <c r="P1347" s="33">
        <f>IF($R$1315="","",INDEX(전체채점!CA$3:CA$62,$R$1315))</f>
        <v/>
      </c>
    </row>
    <row r="1348">
      <c r="A1348" s="50" t="inlineStr">
        <is>
          <t>문항 번호</t>
        </is>
      </c>
      <c r="B1348" s="51" t="n">
        <v>31</v>
      </c>
      <c r="C1348" s="51" t="n">
        <v>32</v>
      </c>
      <c r="D1348" s="51" t="n">
        <v>33</v>
      </c>
      <c r="E1348" s="51" t="n">
        <v>34</v>
      </c>
      <c r="F1348" s="51" t="n">
        <v>35</v>
      </c>
      <c r="G1348" s="51" t="n">
        <v>36</v>
      </c>
      <c r="H1348" s="51" t="n">
        <v>37</v>
      </c>
      <c r="I1348" s="51" t="n">
        <v>38</v>
      </c>
      <c r="J1348" s="51" t="n">
        <v>39</v>
      </c>
      <c r="K1348" s="51" t="n">
        <v>40</v>
      </c>
      <c r="L1348" s="51" t="n">
        <v>41</v>
      </c>
      <c r="M1348" s="51" t="n">
        <v>42</v>
      </c>
      <c r="N1348" s="51" t="n">
        <v>43</v>
      </c>
      <c r="O1348" s="51" t="n">
        <v>44</v>
      </c>
      <c r="P1348" s="51" t="n">
        <v>45</v>
      </c>
    </row>
    <row r="1349">
      <c r="A1349" s="52" t="inlineStr">
        <is>
          <t>정답</t>
        </is>
      </c>
      <c r="B1349" s="33">
        <f>IF($R$1316="","",IF($R$1316="언어와 매체",자동계산!$D$34,자동계산!$B$34))</f>
        <v/>
      </c>
      <c r="C1349" s="33">
        <f>IF($R$1316="","",IF($R$1316="언어와 매체",자동계산!$D$35,자동계산!$B$35))</f>
        <v/>
      </c>
      <c r="D1349" s="33">
        <f>IF($R$1316="","",IF($R$1316="언어와 매체",자동계산!$D$36,자동계산!$B$36))</f>
        <v/>
      </c>
      <c r="E1349" s="33">
        <f>IF($R$1316="","",IF($R$1316="언어와 매체",자동계산!$D$37,자동계산!$B$37))</f>
        <v/>
      </c>
      <c r="F1349" s="33">
        <f>IF($R$1316="","",IF($R$1316="언어와 매체",자동계산!$D$38,자동계산!$B$38))</f>
        <v/>
      </c>
      <c r="G1349" s="33">
        <f>IF($R$1316="","",IF($R$1316="언어와 매체",자동계산!$D$39,자동계산!$B$39))</f>
        <v/>
      </c>
      <c r="H1349" s="33">
        <f>IF($R$1316="","",IF($R$1316="언어와 매체",자동계산!$D$40,자동계산!$B$40))</f>
        <v/>
      </c>
      <c r="I1349" s="33">
        <f>IF($R$1316="","",IF($R$1316="언어와 매체",자동계산!$D$41,자동계산!$B$41))</f>
        <v/>
      </c>
      <c r="J1349" s="33">
        <f>IF($R$1316="","",IF($R$1316="언어와 매체",자동계산!$D$42,자동계산!$B$42))</f>
        <v/>
      </c>
      <c r="K1349" s="33">
        <f>IF($R$1316="","",IF($R$1316="언어와 매체",자동계산!$D$43,자동계산!$B$43))</f>
        <v/>
      </c>
      <c r="L1349" s="33">
        <f>IF($R$1316="","",IF($R$1316="언어와 매체",자동계산!$D$44,자동계산!$B$44))</f>
        <v/>
      </c>
      <c r="M1349" s="33">
        <f>IF($R$1316="","",IF($R$1316="언어와 매체",자동계산!$D$45,자동계산!$B$45))</f>
        <v/>
      </c>
      <c r="N1349" s="33">
        <f>IF($R$1316="","",IF($R$1316="언어와 매체",자동계산!$D$46,자동계산!$B$46))</f>
        <v/>
      </c>
      <c r="O1349" s="33">
        <f>IF($R$1316="","",IF($R$1316="언어와 매체",자동계산!$D$47,자동계산!$B$47))</f>
        <v/>
      </c>
      <c r="P1349" s="33">
        <f>IF($R$1316="","",IF($R$1316="언어와 매체",자동계산!$D$48,자동계산!$B$48))</f>
        <v/>
      </c>
    </row>
    <row r="1350">
      <c r="A1350" s="52" t="inlineStr">
        <is>
          <t>학생답안</t>
        </is>
      </c>
      <c r="B1350" s="33">
        <f>IF($R$1315="","",INDEX(전체채점!AI$3:AI$62,$R$1315))</f>
        <v/>
      </c>
      <c r="C1350" s="33">
        <f>IF($R$1315="","",INDEX(전체채점!AJ$3:AJ$62,$R$1315))</f>
        <v/>
      </c>
      <c r="D1350" s="33">
        <f>IF($R$1315="","",INDEX(전체채점!AK$3:AK$62,$R$1315))</f>
        <v/>
      </c>
      <c r="E1350" s="33">
        <f>IF($R$1315="","",INDEX(전체채점!AL$3:AL$62,$R$1315))</f>
        <v/>
      </c>
      <c r="F1350" s="33">
        <f>IF($R$1315="","",INDEX(전체채점!AM$3:AM$62,$R$1315))</f>
        <v/>
      </c>
      <c r="G1350" s="33">
        <f>IF($R$1315="","",INDEX(전체채점!AN$3:AN$62,$R$1315))</f>
        <v/>
      </c>
      <c r="H1350" s="33">
        <f>IF($R$1315="","",INDEX(전체채점!AO$3:AO$62,$R$1315))</f>
        <v/>
      </c>
      <c r="I1350" s="33">
        <f>IF($R$1315="","",INDEX(전체채점!AP$3:AP$62,$R$1315))</f>
        <v/>
      </c>
      <c r="J1350" s="33">
        <f>IF($R$1315="","",INDEX(전체채점!AQ$3:AQ$62,$R$1315))</f>
        <v/>
      </c>
      <c r="K1350" s="33">
        <f>IF($R$1315="","",INDEX(전체채점!AR$3:AR$62,$R$1315))</f>
        <v/>
      </c>
      <c r="L1350" s="33">
        <f>IF($R$1315="","",INDEX(전체채점!AS$3:AS$62,$R$1315))</f>
        <v/>
      </c>
      <c r="M1350" s="33">
        <f>IF($R$1315="","",INDEX(전체채점!AT$3:AT$62,$R$1315))</f>
        <v/>
      </c>
      <c r="N1350" s="33">
        <f>IF($R$1315="","",INDEX(전체채점!AU$3:AU$62,$R$1315))</f>
        <v/>
      </c>
      <c r="O1350" s="33">
        <f>IF($R$1315="","",INDEX(전체채점!AV$3:AV$62,$R$1315))</f>
        <v/>
      </c>
      <c r="P1350" s="33">
        <f>IF($R$1315="","",INDEX(전체채점!AW$3:AW$62,$R$1315))</f>
        <v/>
      </c>
    </row>
    <row r="1351">
      <c r="A1351" s="52" t="inlineStr">
        <is>
          <t>정오</t>
        </is>
      </c>
      <c r="B1351" s="33">
        <f>IF($R$1315="","",INDEX(전체채점!CB$3:CB$62,$R$1315))</f>
        <v/>
      </c>
      <c r="C1351" s="33">
        <f>IF($R$1315="","",INDEX(전체채점!CC$3:CC$62,$R$1315))</f>
        <v/>
      </c>
      <c r="D1351" s="33">
        <f>IF($R$1315="","",INDEX(전체채점!CD$3:CD$62,$R$1315))</f>
        <v/>
      </c>
      <c r="E1351" s="33">
        <f>IF($R$1315="","",INDEX(전체채점!CE$3:CE$62,$R$1315))</f>
        <v/>
      </c>
      <c r="F1351" s="33">
        <f>IF($R$1315="","",INDEX(전체채점!CF$3:CF$62,$R$1315))</f>
        <v/>
      </c>
      <c r="G1351" s="33">
        <f>IF($R$1315="","",INDEX(전체채점!CG$3:CG$62,$R$1315))</f>
        <v/>
      </c>
      <c r="H1351" s="33">
        <f>IF($R$1315="","",INDEX(전체채점!CH$3:CH$62,$R$1315))</f>
        <v/>
      </c>
      <c r="I1351" s="33">
        <f>IF($R$1315="","",INDEX(전체채점!CI$3:CI$62,$R$1315))</f>
        <v/>
      </c>
      <c r="J1351" s="33">
        <f>IF($R$1315="","",INDEX(전체채점!CJ$3:CJ$62,$R$1315))</f>
        <v/>
      </c>
      <c r="K1351" s="33">
        <f>IF($R$1315="","",INDEX(전체채점!CK$3:CK$62,$R$1315))</f>
        <v/>
      </c>
      <c r="L1351" s="33">
        <f>IF($R$1315="","",INDEX(전체채점!CL$3:CL$62,$R$1315))</f>
        <v/>
      </c>
      <c r="M1351" s="33">
        <f>IF($R$1315="","",INDEX(전체채점!CM$3:CM$62,$R$1315))</f>
        <v/>
      </c>
      <c r="N1351" s="33">
        <f>IF($R$1315="","",INDEX(전체채점!CN$3:CN$62,$R$1315))</f>
        <v/>
      </c>
      <c r="O1351" s="33">
        <f>IF($R$1315="","",INDEX(전체채점!CO$3:CO$62,$R$1315))</f>
        <v/>
      </c>
      <c r="P1351" s="33">
        <f>IF($R$1315="","",INDEX(전체채점!CP$3:CP$62,$R$1315))</f>
        <v/>
      </c>
    </row>
    <row r="1354" ht="34" customHeight="1">
      <c r="A1354" s="36">
        <f>IF($R$1356="","",회차설정!$B$2&amp;" 성적표")</f>
        <v/>
      </c>
    </row>
    <row r="1356">
      <c r="A1356" s="12" t="inlineStr">
        <is>
          <t>1. 학생정보</t>
        </is>
      </c>
      <c r="R1356" s="37">
        <f>IF(답안입력!$A$36="","",34)</f>
        <v/>
      </c>
      <c r="S1356" s="37">
        <f>IF($R$1357="","",IFERROR(IF($R$1357="언어와 매체",MATCH(1,회차설정!$G$13:$G$27,0),MATCH(1,회차설정!$F$13:$F$27,0)),""))</f>
        <v/>
      </c>
    </row>
    <row r="1357">
      <c r="A1357" s="13" t="inlineStr">
        <is>
          <t>성명</t>
        </is>
      </c>
      <c r="B1357" s="7" t="n"/>
      <c r="C1357" s="8" t="n"/>
      <c r="D1357" s="13" t="inlineStr">
        <is>
          <t>선택과목</t>
        </is>
      </c>
      <c r="E1357" s="7" t="n"/>
      <c r="F1357" s="7" t="n"/>
      <c r="G1357" s="8" t="n"/>
      <c r="H1357" s="13" t="inlineStr">
        <is>
          <t>학년</t>
        </is>
      </c>
      <c r="I1357" s="7" t="n"/>
      <c r="J1357" s="7" t="n"/>
      <c r="K1357" s="8" t="n"/>
      <c r="L1357" s="13" t="inlineStr">
        <is>
          <t>시행일</t>
        </is>
      </c>
      <c r="M1357" s="7" t="n"/>
      <c r="N1357" s="7" t="n"/>
      <c r="O1357" s="7" t="n"/>
      <c r="P1357" s="8" t="n"/>
      <c r="R1357" s="37">
        <f>IF($R$1356="","",INDEX(전체채점!$B$3:$B$62,$R$1356))</f>
        <v/>
      </c>
      <c r="S1357" s="37">
        <f>IF($R$1357="","",IFERROR(IF($R$1357="언어와 매체",MATCH(2,회차설정!$G$13:$G$27,0),MATCH(2,회차설정!$F$13:$F$27,0)),""))</f>
        <v/>
      </c>
    </row>
    <row r="1358" ht="26" customHeight="1">
      <c r="A1358" s="39">
        <f>IF($R$1356="","",INDEX(답안입력!$A$3:$A$62,$R$1356))</f>
        <v/>
      </c>
      <c r="B1358" s="7" t="n"/>
      <c r="C1358" s="8" t="n"/>
      <c r="D1358" s="39">
        <f>IF($R$1356="","",INDEX(답안입력!$C$3:$C$62,$R$1356))</f>
        <v/>
      </c>
      <c r="E1358" s="7" t="n"/>
      <c r="F1358" s="7" t="n"/>
      <c r="G1358" s="8" t="n"/>
      <c r="H1358" s="39">
        <f>IF($R$1356="","",INDEX(답안입력!$B$3:$B$62,$R$1356))</f>
        <v/>
      </c>
      <c r="I1358" s="7" t="n"/>
      <c r="J1358" s="7" t="n"/>
      <c r="K1358" s="8" t="n"/>
      <c r="L1358" s="40">
        <f>회차설정!$B$3</f>
        <v/>
      </c>
      <c r="M1358" s="7" t="n"/>
      <c r="N1358" s="7" t="n"/>
      <c r="O1358" s="7" t="n"/>
      <c r="P1358" s="8" t="n"/>
      <c r="R1358" s="37">
        <f>IF($R$1357="언어와 매체",회차설정!$B$9,회차설정!$B$8)</f>
        <v/>
      </c>
      <c r="S1358" s="37">
        <f>IF($R$1357="","",IFERROR(IF($R$1357="언어와 매체",MATCH(3,회차설정!$G$13:$G$27,0),MATCH(3,회차설정!$F$13:$F$27,0)),""))</f>
        <v/>
      </c>
    </row>
    <row r="1359">
      <c r="R1359" s="37">
        <f>IF($R$1357="언어와 매체",회차설정!$C$9,회차설정!$C$8)</f>
        <v/>
      </c>
      <c r="S1359" s="37">
        <f>IF($R$1357="","",IFERROR(IF($R$1357="언어와 매체",MATCH(4,회차설정!$G$13:$G$27,0),MATCH(4,회차설정!$F$13:$F$27,0)),""))</f>
        <v/>
      </c>
    </row>
    <row r="1360">
      <c r="A1360" s="12" t="inlineStr">
        <is>
          <t>2. 성적</t>
        </is>
      </c>
      <c r="R1360" s="37">
        <f>IF($R$1357="언어와 매체",회차설정!$D$9,회차설정!$D$8)</f>
        <v/>
      </c>
      <c r="S1360" s="37">
        <f>IF($R$1357="","",IFERROR(IF($R$1357="언어와 매체",MATCH(5,회차설정!$G$13:$G$27,0),MATCH(5,회차설정!$F$13:$F$27,0)),""))</f>
        <v/>
      </c>
    </row>
    <row r="1361">
      <c r="A1361" s="13" t="inlineStr">
        <is>
          <t>점수 (100점 만점)</t>
        </is>
      </c>
      <c r="B1361" s="7" t="n"/>
      <c r="C1361" s="7" t="n"/>
      <c r="D1361" s="7" t="n"/>
      <c r="E1361" s="8" t="n"/>
      <c r="F1361" s="13" t="inlineStr">
        <is>
          <t>등급</t>
        </is>
      </c>
      <c r="G1361" s="7" t="n"/>
      <c r="H1361" s="8" t="n"/>
      <c r="I1361" s="13" t="inlineStr">
        <is>
          <t>등급컷</t>
        </is>
      </c>
      <c r="J1361" s="7" t="n"/>
      <c r="K1361" s="7" t="n"/>
      <c r="L1361" s="8" t="n"/>
      <c r="M1361" s="13" t="inlineStr">
        <is>
          <t>같은 선택과목 평균</t>
        </is>
      </c>
      <c r="N1361" s="7" t="n"/>
      <c r="O1361" s="7" t="n"/>
      <c r="P1361" s="8" t="n"/>
      <c r="R1361" s="37">
        <f>IF($R$1357="언어와 매체",회차설정!$E$9,회차설정!$E$8)</f>
        <v/>
      </c>
      <c r="S1361" s="37">
        <f>IF($R$1357="","",IFERROR(IF($R$1357="언어와 매체",MATCH(6,회차설정!$G$13:$G$27,0),MATCH(6,회차설정!$F$13:$F$27,0)),""))</f>
        <v/>
      </c>
    </row>
    <row r="1362" ht="34" customHeight="1">
      <c r="A1362" s="41">
        <f>IF($R$1356="","",INDEX(전체채점!$C$3:$C$62,$R$1356))</f>
        <v/>
      </c>
      <c r="B1362" s="7" t="n"/>
      <c r="C1362" s="7" t="n"/>
      <c r="D1362" s="7" t="n"/>
      <c r="E1362" s="8" t="n"/>
      <c r="F1362" s="42">
        <f>IF($R$1356="","",INDEX(전체채점!$D$3:$D$62,$R$1356))</f>
        <v/>
      </c>
      <c r="G1362" s="7" t="n"/>
      <c r="H1362" s="8" t="n"/>
      <c r="I1362" s="43">
        <f>IF($R$1356="","",$R$1358&amp;"-"&amp;$R$1359&amp;"-"&amp;$R$1360&amp;"-"&amp;$R$1361)</f>
        <v/>
      </c>
      <c r="J1362" s="7" t="n"/>
      <c r="K1362" s="7" t="n"/>
      <c r="L1362" s="8" t="n"/>
      <c r="M1362" s="44">
        <f>IFERROR(AVERAGEIF(전체채점!$B$3:$B$62,$R$1357,전체채점!$C$3:$C$62),"")</f>
        <v/>
      </c>
      <c r="N1362" s="7" t="n"/>
      <c r="O1362" s="7" t="n"/>
      <c r="P1362" s="8" t="n"/>
      <c r="S1362" s="37">
        <f>IF($R$1357="","",IFERROR(IF($R$1357="언어와 매체",MATCH(7,회차설정!$G$13:$G$27,0),MATCH(7,회차설정!$F$13:$F$27,0)),""))</f>
        <v/>
      </c>
    </row>
    <row r="1363">
      <c r="S1363" s="37">
        <f>IF($R$1357="","",IFERROR(IF($R$1357="언어와 매체",MATCH(8,회차설정!$G$13:$G$27,0),MATCH(8,회차설정!$F$13:$F$27,0)),""))</f>
        <v/>
      </c>
    </row>
    <row r="1364">
      <c r="A1364" s="12" t="inlineStr">
        <is>
          <t>3. 영역분류별 성취도 분석</t>
        </is>
      </c>
      <c r="F1364" s="45">
        <f>IF(OR($R$1356="",$E1378=""),"",IF($E1378=INDEX(전체채점!$C$3:$C$62,$R$1356),"","※ 회차설정의 영역 표를 확인하세요 — 영역 합계와 점수가 다릅니다"))</f>
        <v/>
      </c>
      <c r="S1364" s="37">
        <f>IF($R$1357="","",IFERROR(IF($R$1357="언어와 매체",MATCH(9,회차설정!$G$13:$G$27,0),MATCH(9,회차설정!$F$13:$F$27,0)),""))</f>
        <v/>
      </c>
    </row>
    <row r="1365">
      <c r="A1365" s="13" t="inlineStr">
        <is>
          <t>분류</t>
        </is>
      </c>
      <c r="B1365" s="13" t="inlineStr">
        <is>
          <t>영역</t>
        </is>
      </c>
      <c r="C1365" s="8" t="n"/>
      <c r="D1365" s="13" t="inlineStr">
        <is>
          <t>배점</t>
        </is>
      </c>
      <c r="E1365" s="13" t="inlineStr">
        <is>
          <t>득점</t>
        </is>
      </c>
      <c r="F1365" s="13" t="inlineStr">
        <is>
          <t>성취도(%)</t>
        </is>
      </c>
      <c r="G1365" s="8" t="n"/>
      <c r="H1365" s="13" t="inlineStr"/>
      <c r="I1365" s="7" t="n"/>
      <c r="J1365" s="7" t="n"/>
      <c r="K1365" s="7" t="n"/>
      <c r="L1365" s="7" t="n"/>
      <c r="M1365" s="7" t="n"/>
      <c r="N1365" s="7" t="n"/>
      <c r="O1365" s="7" t="n"/>
      <c r="P1365" s="8" t="n"/>
      <c r="S1365" s="37">
        <f>IF($R$1357="","",IFERROR(IF($R$1357="언어와 매체",MATCH(10,회차설정!$G$13:$G$27,0),MATCH(10,회차설정!$F$13:$F$27,0)),""))</f>
        <v/>
      </c>
    </row>
    <row r="1366">
      <c r="A1366" s="14">
        <f>IF($S$1356="","",INDEX(회차설정!$A$13:$A$27,$S$1356))</f>
        <v/>
      </c>
      <c r="B1366" s="14">
        <f>IF($S$1356="","",INDEX(회차설정!$B$13:$B$27,$S$1356))</f>
        <v/>
      </c>
      <c r="C1366" s="8" t="n"/>
      <c r="D1366" s="14">
        <f>IF($S$1356="","",IF($R$1357="언어와 매체",SUMPRODUCT((자동계산!$A$4:$A$48&gt;=INDEX(회차설정!$C$13:$C$27,$S$1356))*(자동계산!$A$4:$A$48&lt;=INDEX(회차설정!$D$13:$D$27,$S$1356))*자동계산!$E$4:$E$48),SUMPRODUCT((자동계산!$A$4:$A$48&gt;=INDEX(회차설정!$C$13:$C$27,$S$1356))*(자동계산!$A$4:$A$48&lt;=INDEX(회차설정!$D$13:$D$27,$S$1356))*자동계산!$C$4:$C$48)))</f>
        <v/>
      </c>
      <c r="E1366" s="14">
        <f>IF(OR($S$1356="",$R$1356=""),"",SUM(OFFSET(전체채점!$AW$2,$R$1356,INDEX(회차설정!$C$13:$C$27,$S$1356),1,INDEX(회차설정!$D$13:$D$27,$S$1356)-INDEX(회차설정!$C$13:$C$27,$S$1356)+1)))</f>
        <v/>
      </c>
      <c r="F1366" s="46">
        <f>IF(OR($S$1356="",$D1366=0,$D1366="",$E1366=""),"",$E1366/$D1366*100)</f>
        <v/>
      </c>
      <c r="G1366" s="8" t="n"/>
      <c r="H1366" s="47">
        <f>IF($F1366="","",REPT("■",ROUND($F1366/5,0)))</f>
        <v/>
      </c>
      <c r="I1366" s="7" t="n"/>
      <c r="J1366" s="7" t="n"/>
      <c r="K1366" s="7" t="n"/>
      <c r="L1366" s="7" t="n"/>
      <c r="M1366" s="7" t="n"/>
      <c r="N1366" s="7" t="n"/>
      <c r="O1366" s="7" t="n"/>
      <c r="P1366" s="8" t="n"/>
      <c r="S1366" s="37">
        <f>IF($R$1357="","",IFERROR(IF($R$1357="언어와 매체",MATCH(11,회차설정!$G$13:$G$27,0),MATCH(11,회차설정!$F$13:$F$27,0)),""))</f>
        <v/>
      </c>
    </row>
    <row r="1367">
      <c r="A1367" s="14">
        <f>IF($S$1357="","",INDEX(회차설정!$A$13:$A$27,$S$1357))</f>
        <v/>
      </c>
      <c r="B1367" s="14">
        <f>IF($S$1357="","",INDEX(회차설정!$B$13:$B$27,$S$1357))</f>
        <v/>
      </c>
      <c r="C1367" s="8" t="n"/>
      <c r="D1367" s="14">
        <f>IF($S$1357="","",IF($R$1357="언어와 매체",SUMPRODUCT((자동계산!$A$4:$A$48&gt;=INDEX(회차설정!$C$13:$C$27,$S$1357))*(자동계산!$A$4:$A$48&lt;=INDEX(회차설정!$D$13:$D$27,$S$1357))*자동계산!$E$4:$E$48),SUMPRODUCT((자동계산!$A$4:$A$48&gt;=INDEX(회차설정!$C$13:$C$27,$S$1357))*(자동계산!$A$4:$A$48&lt;=INDEX(회차설정!$D$13:$D$27,$S$1357))*자동계산!$C$4:$C$48)))</f>
        <v/>
      </c>
      <c r="E1367" s="14">
        <f>IF(OR($S$1357="",$R$1356=""),"",SUM(OFFSET(전체채점!$AW$2,$R$1356,INDEX(회차설정!$C$13:$C$27,$S$1357),1,INDEX(회차설정!$D$13:$D$27,$S$1357)-INDEX(회차설정!$C$13:$C$27,$S$1357)+1)))</f>
        <v/>
      </c>
      <c r="F1367" s="46">
        <f>IF(OR($S$1357="",$D1367=0,$D1367="",$E1367=""),"",$E1367/$D1367*100)</f>
        <v/>
      </c>
      <c r="G1367" s="8" t="n"/>
      <c r="H1367" s="47">
        <f>IF($F1367="","",REPT("■",ROUND($F1367/5,0)))</f>
        <v/>
      </c>
      <c r="I1367" s="7" t="n"/>
      <c r="J1367" s="7" t="n"/>
      <c r="K1367" s="7" t="n"/>
      <c r="L1367" s="7" t="n"/>
      <c r="M1367" s="7" t="n"/>
      <c r="N1367" s="7" t="n"/>
      <c r="O1367" s="7" t="n"/>
      <c r="P1367" s="8" t="n"/>
      <c r="S1367" s="37">
        <f>IF($R$1357="","",IFERROR(IF($R$1357="언어와 매체",MATCH(12,회차설정!$G$13:$G$27,0),MATCH(12,회차설정!$F$13:$F$27,0)),""))</f>
        <v/>
      </c>
    </row>
    <row r="1368">
      <c r="A1368" s="14">
        <f>IF($S$1358="","",INDEX(회차설정!$A$13:$A$27,$S$1358))</f>
        <v/>
      </c>
      <c r="B1368" s="14">
        <f>IF($S$1358="","",INDEX(회차설정!$B$13:$B$27,$S$1358))</f>
        <v/>
      </c>
      <c r="C1368" s="8" t="n"/>
      <c r="D1368" s="14">
        <f>IF($S$1358="","",IF($R$1357="언어와 매체",SUMPRODUCT((자동계산!$A$4:$A$48&gt;=INDEX(회차설정!$C$13:$C$27,$S$1358))*(자동계산!$A$4:$A$48&lt;=INDEX(회차설정!$D$13:$D$27,$S$1358))*자동계산!$E$4:$E$48),SUMPRODUCT((자동계산!$A$4:$A$48&gt;=INDEX(회차설정!$C$13:$C$27,$S$1358))*(자동계산!$A$4:$A$48&lt;=INDEX(회차설정!$D$13:$D$27,$S$1358))*자동계산!$C$4:$C$48)))</f>
        <v/>
      </c>
      <c r="E1368" s="14">
        <f>IF(OR($S$1358="",$R$1356=""),"",SUM(OFFSET(전체채점!$AW$2,$R$1356,INDEX(회차설정!$C$13:$C$27,$S$1358),1,INDEX(회차설정!$D$13:$D$27,$S$1358)-INDEX(회차설정!$C$13:$C$27,$S$1358)+1)))</f>
        <v/>
      </c>
      <c r="F1368" s="46">
        <f>IF(OR($S$1358="",$D1368=0,$D1368="",$E1368=""),"",$E1368/$D1368*100)</f>
        <v/>
      </c>
      <c r="G1368" s="8" t="n"/>
      <c r="H1368" s="47">
        <f>IF($F1368="","",REPT("■",ROUND($F1368/5,0)))</f>
        <v/>
      </c>
      <c r="I1368" s="7" t="n"/>
      <c r="J1368" s="7" t="n"/>
      <c r="K1368" s="7" t="n"/>
      <c r="L1368" s="7" t="n"/>
      <c r="M1368" s="7" t="n"/>
      <c r="N1368" s="7" t="n"/>
      <c r="O1368" s="7" t="n"/>
      <c r="P1368" s="8" t="n"/>
    </row>
    <row r="1369">
      <c r="A1369" s="14">
        <f>IF($S$1359="","",INDEX(회차설정!$A$13:$A$27,$S$1359))</f>
        <v/>
      </c>
      <c r="B1369" s="14">
        <f>IF($S$1359="","",INDEX(회차설정!$B$13:$B$27,$S$1359))</f>
        <v/>
      </c>
      <c r="C1369" s="8" t="n"/>
      <c r="D1369" s="14">
        <f>IF($S$1359="","",IF($R$1357="언어와 매체",SUMPRODUCT((자동계산!$A$4:$A$48&gt;=INDEX(회차설정!$C$13:$C$27,$S$1359))*(자동계산!$A$4:$A$48&lt;=INDEX(회차설정!$D$13:$D$27,$S$1359))*자동계산!$E$4:$E$48),SUMPRODUCT((자동계산!$A$4:$A$48&gt;=INDEX(회차설정!$C$13:$C$27,$S$1359))*(자동계산!$A$4:$A$48&lt;=INDEX(회차설정!$D$13:$D$27,$S$1359))*자동계산!$C$4:$C$48)))</f>
        <v/>
      </c>
      <c r="E1369" s="14">
        <f>IF(OR($S$1359="",$R$1356=""),"",SUM(OFFSET(전체채점!$AW$2,$R$1356,INDEX(회차설정!$C$13:$C$27,$S$1359),1,INDEX(회차설정!$D$13:$D$27,$S$1359)-INDEX(회차설정!$C$13:$C$27,$S$1359)+1)))</f>
        <v/>
      </c>
      <c r="F1369" s="46">
        <f>IF(OR($S$1359="",$D1369=0,$D1369="",$E1369=""),"",$E1369/$D1369*100)</f>
        <v/>
      </c>
      <c r="G1369" s="8" t="n"/>
      <c r="H1369" s="47">
        <f>IF($F1369="","",REPT("■",ROUND($F1369/5,0)))</f>
        <v/>
      </c>
      <c r="I1369" s="7" t="n"/>
      <c r="J1369" s="7" t="n"/>
      <c r="K1369" s="7" t="n"/>
      <c r="L1369" s="7" t="n"/>
      <c r="M1369" s="7" t="n"/>
      <c r="N1369" s="7" t="n"/>
      <c r="O1369" s="7" t="n"/>
      <c r="P1369" s="8" t="n"/>
    </row>
    <row r="1370">
      <c r="A1370" s="14">
        <f>IF($S$1360="","",INDEX(회차설정!$A$13:$A$27,$S$1360))</f>
        <v/>
      </c>
      <c r="B1370" s="14">
        <f>IF($S$1360="","",INDEX(회차설정!$B$13:$B$27,$S$1360))</f>
        <v/>
      </c>
      <c r="C1370" s="8" t="n"/>
      <c r="D1370" s="14">
        <f>IF($S$1360="","",IF($R$1357="언어와 매체",SUMPRODUCT((자동계산!$A$4:$A$48&gt;=INDEX(회차설정!$C$13:$C$27,$S$1360))*(자동계산!$A$4:$A$48&lt;=INDEX(회차설정!$D$13:$D$27,$S$1360))*자동계산!$E$4:$E$48),SUMPRODUCT((자동계산!$A$4:$A$48&gt;=INDEX(회차설정!$C$13:$C$27,$S$1360))*(자동계산!$A$4:$A$48&lt;=INDEX(회차설정!$D$13:$D$27,$S$1360))*자동계산!$C$4:$C$48)))</f>
        <v/>
      </c>
      <c r="E1370" s="14">
        <f>IF(OR($S$1360="",$R$1356=""),"",SUM(OFFSET(전체채점!$AW$2,$R$1356,INDEX(회차설정!$C$13:$C$27,$S$1360),1,INDEX(회차설정!$D$13:$D$27,$S$1360)-INDEX(회차설정!$C$13:$C$27,$S$1360)+1)))</f>
        <v/>
      </c>
      <c r="F1370" s="46">
        <f>IF(OR($S$1360="",$D1370=0,$D1370="",$E1370=""),"",$E1370/$D1370*100)</f>
        <v/>
      </c>
      <c r="G1370" s="8" t="n"/>
      <c r="H1370" s="47">
        <f>IF($F1370="","",REPT("■",ROUND($F1370/5,0)))</f>
        <v/>
      </c>
      <c r="I1370" s="7" t="n"/>
      <c r="J1370" s="7" t="n"/>
      <c r="K1370" s="7" t="n"/>
      <c r="L1370" s="7" t="n"/>
      <c r="M1370" s="7" t="n"/>
      <c r="N1370" s="7" t="n"/>
      <c r="O1370" s="7" t="n"/>
      <c r="P1370" s="8" t="n"/>
    </row>
    <row r="1371">
      <c r="A1371" s="14">
        <f>IF($S$1361="","",INDEX(회차설정!$A$13:$A$27,$S$1361))</f>
        <v/>
      </c>
      <c r="B1371" s="14">
        <f>IF($S$1361="","",INDEX(회차설정!$B$13:$B$27,$S$1361))</f>
        <v/>
      </c>
      <c r="C1371" s="8" t="n"/>
      <c r="D1371" s="14">
        <f>IF($S$1361="","",IF($R$1357="언어와 매체",SUMPRODUCT((자동계산!$A$4:$A$48&gt;=INDEX(회차설정!$C$13:$C$27,$S$1361))*(자동계산!$A$4:$A$48&lt;=INDEX(회차설정!$D$13:$D$27,$S$1361))*자동계산!$E$4:$E$48),SUMPRODUCT((자동계산!$A$4:$A$48&gt;=INDEX(회차설정!$C$13:$C$27,$S$1361))*(자동계산!$A$4:$A$48&lt;=INDEX(회차설정!$D$13:$D$27,$S$1361))*자동계산!$C$4:$C$48)))</f>
        <v/>
      </c>
      <c r="E1371" s="14">
        <f>IF(OR($S$1361="",$R$1356=""),"",SUM(OFFSET(전체채점!$AW$2,$R$1356,INDEX(회차설정!$C$13:$C$27,$S$1361),1,INDEX(회차설정!$D$13:$D$27,$S$1361)-INDEX(회차설정!$C$13:$C$27,$S$1361)+1)))</f>
        <v/>
      </c>
      <c r="F1371" s="46">
        <f>IF(OR($S$1361="",$D1371=0,$D1371="",$E1371=""),"",$E1371/$D1371*100)</f>
        <v/>
      </c>
      <c r="G1371" s="8" t="n"/>
      <c r="H1371" s="47">
        <f>IF($F1371="","",REPT("■",ROUND($F1371/5,0)))</f>
        <v/>
      </c>
      <c r="I1371" s="7" t="n"/>
      <c r="J1371" s="7" t="n"/>
      <c r="K1371" s="7" t="n"/>
      <c r="L1371" s="7" t="n"/>
      <c r="M1371" s="7" t="n"/>
      <c r="N1371" s="7" t="n"/>
      <c r="O1371" s="7" t="n"/>
      <c r="P1371" s="8" t="n"/>
    </row>
    <row r="1372">
      <c r="A1372" s="14">
        <f>IF($S$1362="","",INDEX(회차설정!$A$13:$A$27,$S$1362))</f>
        <v/>
      </c>
      <c r="B1372" s="14">
        <f>IF($S$1362="","",INDEX(회차설정!$B$13:$B$27,$S$1362))</f>
        <v/>
      </c>
      <c r="C1372" s="8" t="n"/>
      <c r="D1372" s="14">
        <f>IF($S$1362="","",IF($R$1357="언어와 매체",SUMPRODUCT((자동계산!$A$4:$A$48&gt;=INDEX(회차설정!$C$13:$C$27,$S$1362))*(자동계산!$A$4:$A$48&lt;=INDEX(회차설정!$D$13:$D$27,$S$1362))*자동계산!$E$4:$E$48),SUMPRODUCT((자동계산!$A$4:$A$48&gt;=INDEX(회차설정!$C$13:$C$27,$S$1362))*(자동계산!$A$4:$A$48&lt;=INDEX(회차설정!$D$13:$D$27,$S$1362))*자동계산!$C$4:$C$48)))</f>
        <v/>
      </c>
      <c r="E1372" s="14">
        <f>IF(OR($S$1362="",$R$1356=""),"",SUM(OFFSET(전체채점!$AW$2,$R$1356,INDEX(회차설정!$C$13:$C$27,$S$1362),1,INDEX(회차설정!$D$13:$D$27,$S$1362)-INDEX(회차설정!$C$13:$C$27,$S$1362)+1)))</f>
        <v/>
      </c>
      <c r="F1372" s="46">
        <f>IF(OR($S$1362="",$D1372=0,$D1372="",$E1372=""),"",$E1372/$D1372*100)</f>
        <v/>
      </c>
      <c r="G1372" s="8" t="n"/>
      <c r="H1372" s="47">
        <f>IF($F1372="","",REPT("■",ROUND($F1372/5,0)))</f>
        <v/>
      </c>
      <c r="I1372" s="7" t="n"/>
      <c r="J1372" s="7" t="n"/>
      <c r="K1372" s="7" t="n"/>
      <c r="L1372" s="7" t="n"/>
      <c r="M1372" s="7" t="n"/>
      <c r="N1372" s="7" t="n"/>
      <c r="O1372" s="7" t="n"/>
      <c r="P1372" s="8" t="n"/>
    </row>
    <row r="1373">
      <c r="A1373" s="14">
        <f>IF($S$1363="","",INDEX(회차설정!$A$13:$A$27,$S$1363))</f>
        <v/>
      </c>
      <c r="B1373" s="14">
        <f>IF($S$1363="","",INDEX(회차설정!$B$13:$B$27,$S$1363))</f>
        <v/>
      </c>
      <c r="C1373" s="8" t="n"/>
      <c r="D1373" s="14">
        <f>IF($S$1363="","",IF($R$1357="언어와 매체",SUMPRODUCT((자동계산!$A$4:$A$48&gt;=INDEX(회차설정!$C$13:$C$27,$S$1363))*(자동계산!$A$4:$A$48&lt;=INDEX(회차설정!$D$13:$D$27,$S$1363))*자동계산!$E$4:$E$48),SUMPRODUCT((자동계산!$A$4:$A$48&gt;=INDEX(회차설정!$C$13:$C$27,$S$1363))*(자동계산!$A$4:$A$48&lt;=INDEX(회차설정!$D$13:$D$27,$S$1363))*자동계산!$C$4:$C$48)))</f>
        <v/>
      </c>
      <c r="E1373" s="14">
        <f>IF(OR($S$1363="",$R$1356=""),"",SUM(OFFSET(전체채점!$AW$2,$R$1356,INDEX(회차설정!$C$13:$C$27,$S$1363),1,INDEX(회차설정!$D$13:$D$27,$S$1363)-INDEX(회차설정!$C$13:$C$27,$S$1363)+1)))</f>
        <v/>
      </c>
      <c r="F1373" s="46">
        <f>IF(OR($S$1363="",$D1373=0,$D1373="",$E1373=""),"",$E1373/$D1373*100)</f>
        <v/>
      </c>
      <c r="G1373" s="8" t="n"/>
      <c r="H1373" s="47">
        <f>IF($F1373="","",REPT("■",ROUND($F1373/5,0)))</f>
        <v/>
      </c>
      <c r="I1373" s="7" t="n"/>
      <c r="J1373" s="7" t="n"/>
      <c r="K1373" s="7" t="n"/>
      <c r="L1373" s="7" t="n"/>
      <c r="M1373" s="7" t="n"/>
      <c r="N1373" s="7" t="n"/>
      <c r="O1373" s="7" t="n"/>
      <c r="P1373" s="8" t="n"/>
    </row>
    <row r="1374">
      <c r="A1374" s="14">
        <f>IF($S$1364="","",INDEX(회차설정!$A$13:$A$27,$S$1364))</f>
        <v/>
      </c>
      <c r="B1374" s="14">
        <f>IF($S$1364="","",INDEX(회차설정!$B$13:$B$27,$S$1364))</f>
        <v/>
      </c>
      <c r="C1374" s="8" t="n"/>
      <c r="D1374" s="14">
        <f>IF($S$1364="","",IF($R$1357="언어와 매체",SUMPRODUCT((자동계산!$A$4:$A$48&gt;=INDEX(회차설정!$C$13:$C$27,$S$1364))*(자동계산!$A$4:$A$48&lt;=INDEX(회차설정!$D$13:$D$27,$S$1364))*자동계산!$E$4:$E$48),SUMPRODUCT((자동계산!$A$4:$A$48&gt;=INDEX(회차설정!$C$13:$C$27,$S$1364))*(자동계산!$A$4:$A$48&lt;=INDEX(회차설정!$D$13:$D$27,$S$1364))*자동계산!$C$4:$C$48)))</f>
        <v/>
      </c>
      <c r="E1374" s="14">
        <f>IF(OR($S$1364="",$R$1356=""),"",SUM(OFFSET(전체채점!$AW$2,$R$1356,INDEX(회차설정!$C$13:$C$27,$S$1364),1,INDEX(회차설정!$D$13:$D$27,$S$1364)-INDEX(회차설정!$C$13:$C$27,$S$1364)+1)))</f>
        <v/>
      </c>
      <c r="F1374" s="46">
        <f>IF(OR($S$1364="",$D1374=0,$D1374="",$E1374=""),"",$E1374/$D1374*100)</f>
        <v/>
      </c>
      <c r="G1374" s="8" t="n"/>
      <c r="H1374" s="47">
        <f>IF($F1374="","",REPT("■",ROUND($F1374/5,0)))</f>
        <v/>
      </c>
      <c r="I1374" s="7" t="n"/>
      <c r="J1374" s="7" t="n"/>
      <c r="K1374" s="7" t="n"/>
      <c r="L1374" s="7" t="n"/>
      <c r="M1374" s="7" t="n"/>
      <c r="N1374" s="7" t="n"/>
      <c r="O1374" s="7" t="n"/>
      <c r="P1374" s="8" t="n"/>
    </row>
    <row r="1375">
      <c r="A1375" s="14">
        <f>IF($S$1365="","",INDEX(회차설정!$A$13:$A$27,$S$1365))</f>
        <v/>
      </c>
      <c r="B1375" s="14">
        <f>IF($S$1365="","",INDEX(회차설정!$B$13:$B$27,$S$1365))</f>
        <v/>
      </c>
      <c r="C1375" s="8" t="n"/>
      <c r="D1375" s="14">
        <f>IF($S$1365="","",IF($R$1357="언어와 매체",SUMPRODUCT((자동계산!$A$4:$A$48&gt;=INDEX(회차설정!$C$13:$C$27,$S$1365))*(자동계산!$A$4:$A$48&lt;=INDEX(회차설정!$D$13:$D$27,$S$1365))*자동계산!$E$4:$E$48),SUMPRODUCT((자동계산!$A$4:$A$48&gt;=INDEX(회차설정!$C$13:$C$27,$S$1365))*(자동계산!$A$4:$A$48&lt;=INDEX(회차설정!$D$13:$D$27,$S$1365))*자동계산!$C$4:$C$48)))</f>
        <v/>
      </c>
      <c r="E1375" s="14">
        <f>IF(OR($S$1365="",$R$1356=""),"",SUM(OFFSET(전체채점!$AW$2,$R$1356,INDEX(회차설정!$C$13:$C$27,$S$1365),1,INDEX(회차설정!$D$13:$D$27,$S$1365)-INDEX(회차설정!$C$13:$C$27,$S$1365)+1)))</f>
        <v/>
      </c>
      <c r="F1375" s="46">
        <f>IF(OR($S$1365="",$D1375=0,$D1375="",$E1375=""),"",$E1375/$D1375*100)</f>
        <v/>
      </c>
      <c r="G1375" s="8" t="n"/>
      <c r="H1375" s="47">
        <f>IF($F1375="","",REPT("■",ROUND($F1375/5,0)))</f>
        <v/>
      </c>
      <c r="I1375" s="7" t="n"/>
      <c r="J1375" s="7" t="n"/>
      <c r="K1375" s="7" t="n"/>
      <c r="L1375" s="7" t="n"/>
      <c r="M1375" s="7" t="n"/>
      <c r="N1375" s="7" t="n"/>
      <c r="O1375" s="7" t="n"/>
      <c r="P1375" s="8" t="n"/>
    </row>
    <row r="1376">
      <c r="A1376" s="14">
        <f>IF($S$1366="","",INDEX(회차설정!$A$13:$A$27,$S$1366))</f>
        <v/>
      </c>
      <c r="B1376" s="14">
        <f>IF($S$1366="","",INDEX(회차설정!$B$13:$B$27,$S$1366))</f>
        <v/>
      </c>
      <c r="C1376" s="8" t="n"/>
      <c r="D1376" s="14">
        <f>IF($S$1366="","",IF($R$1357="언어와 매체",SUMPRODUCT((자동계산!$A$4:$A$48&gt;=INDEX(회차설정!$C$13:$C$27,$S$1366))*(자동계산!$A$4:$A$48&lt;=INDEX(회차설정!$D$13:$D$27,$S$1366))*자동계산!$E$4:$E$48),SUMPRODUCT((자동계산!$A$4:$A$48&gt;=INDEX(회차설정!$C$13:$C$27,$S$1366))*(자동계산!$A$4:$A$48&lt;=INDEX(회차설정!$D$13:$D$27,$S$1366))*자동계산!$C$4:$C$48)))</f>
        <v/>
      </c>
      <c r="E1376" s="14">
        <f>IF(OR($S$1366="",$R$1356=""),"",SUM(OFFSET(전체채점!$AW$2,$R$1356,INDEX(회차설정!$C$13:$C$27,$S$1366),1,INDEX(회차설정!$D$13:$D$27,$S$1366)-INDEX(회차설정!$C$13:$C$27,$S$1366)+1)))</f>
        <v/>
      </c>
      <c r="F1376" s="46">
        <f>IF(OR($S$1366="",$D1376=0,$D1376="",$E1376=""),"",$E1376/$D1376*100)</f>
        <v/>
      </c>
      <c r="G1376" s="8" t="n"/>
      <c r="H1376" s="47">
        <f>IF($F1376="","",REPT("■",ROUND($F1376/5,0)))</f>
        <v/>
      </c>
      <c r="I1376" s="7" t="n"/>
      <c r="J1376" s="7" t="n"/>
      <c r="K1376" s="7" t="n"/>
      <c r="L1376" s="7" t="n"/>
      <c r="M1376" s="7" t="n"/>
      <c r="N1376" s="7" t="n"/>
      <c r="O1376" s="7" t="n"/>
      <c r="P1376" s="8" t="n"/>
    </row>
    <row r="1377">
      <c r="A1377" s="14">
        <f>IF($S$1367="","",INDEX(회차설정!$A$13:$A$27,$S$1367))</f>
        <v/>
      </c>
      <c r="B1377" s="14">
        <f>IF($S$1367="","",INDEX(회차설정!$B$13:$B$27,$S$1367))</f>
        <v/>
      </c>
      <c r="C1377" s="8" t="n"/>
      <c r="D1377" s="14">
        <f>IF($S$1367="","",IF($R$1357="언어와 매체",SUMPRODUCT((자동계산!$A$4:$A$48&gt;=INDEX(회차설정!$C$13:$C$27,$S$1367))*(자동계산!$A$4:$A$48&lt;=INDEX(회차설정!$D$13:$D$27,$S$1367))*자동계산!$E$4:$E$48),SUMPRODUCT((자동계산!$A$4:$A$48&gt;=INDEX(회차설정!$C$13:$C$27,$S$1367))*(자동계산!$A$4:$A$48&lt;=INDEX(회차설정!$D$13:$D$27,$S$1367))*자동계산!$C$4:$C$48)))</f>
        <v/>
      </c>
      <c r="E1377" s="14">
        <f>IF(OR($S$1367="",$R$1356=""),"",SUM(OFFSET(전체채점!$AW$2,$R$1356,INDEX(회차설정!$C$13:$C$27,$S$1367),1,INDEX(회차설정!$D$13:$D$27,$S$1367)-INDEX(회차설정!$C$13:$C$27,$S$1367)+1)))</f>
        <v/>
      </c>
      <c r="F1377" s="46">
        <f>IF(OR($S$1367="",$D1377=0,$D1377="",$E1377=""),"",$E1377/$D1377*100)</f>
        <v/>
      </c>
      <c r="G1377" s="8" t="n"/>
      <c r="H1377" s="47">
        <f>IF($F1377="","",REPT("■",ROUND($F1377/5,0)))</f>
        <v/>
      </c>
      <c r="I1377" s="7" t="n"/>
      <c r="J1377" s="7" t="n"/>
      <c r="K1377" s="7" t="n"/>
      <c r="L1377" s="7" t="n"/>
      <c r="M1377" s="7" t="n"/>
      <c r="N1377" s="7" t="n"/>
      <c r="O1377" s="7" t="n"/>
      <c r="P1377" s="8" t="n"/>
    </row>
    <row r="1378">
      <c r="A1378" s="5">
        <f>IF($R$1356="","","합계")</f>
        <v/>
      </c>
      <c r="B1378" s="7" t="n"/>
      <c r="C1378" s="8" t="n"/>
      <c r="D1378" s="5">
        <f>IF($R$1356="","",SUM(D1366:D1377))</f>
        <v/>
      </c>
      <c r="E1378" s="5">
        <f>IF($R$1356="","",SUM(E1366:E1377))</f>
        <v/>
      </c>
      <c r="F1378" s="48">
        <f>IF(OR($D1378=0,$D1378=""),"",$E1378/$D1378*100)</f>
        <v/>
      </c>
      <c r="G1378" s="8" t="n"/>
      <c r="H1378" s="49">
        <f>IF($F1378="","",REPT("■",ROUND($F1378/5,0)))</f>
        <v/>
      </c>
      <c r="I1378" s="7" t="n"/>
      <c r="J1378" s="7" t="n"/>
      <c r="K1378" s="7" t="n"/>
      <c r="L1378" s="7" t="n"/>
      <c r="M1378" s="7" t="n"/>
      <c r="N1378" s="7" t="n"/>
      <c r="O1378" s="7" t="n"/>
      <c r="P1378" s="8" t="n"/>
    </row>
    <row r="1380">
      <c r="A1380" s="12" t="inlineStr">
        <is>
          <t>4. 문항 채점표</t>
        </is>
      </c>
    </row>
    <row r="1381">
      <c r="A1381" s="50" t="inlineStr">
        <is>
          <t>문항 번호</t>
        </is>
      </c>
      <c r="B1381" s="51" t="n">
        <v>1</v>
      </c>
      <c r="C1381" s="51" t="n">
        <v>2</v>
      </c>
      <c r="D1381" s="51" t="n">
        <v>3</v>
      </c>
      <c r="E1381" s="51" t="n">
        <v>4</v>
      </c>
      <c r="F1381" s="51" t="n">
        <v>5</v>
      </c>
      <c r="G1381" s="51" t="n">
        <v>6</v>
      </c>
      <c r="H1381" s="51" t="n">
        <v>7</v>
      </c>
      <c r="I1381" s="51" t="n">
        <v>8</v>
      </c>
      <c r="J1381" s="51" t="n">
        <v>9</v>
      </c>
      <c r="K1381" s="51" t="n">
        <v>10</v>
      </c>
      <c r="L1381" s="51" t="n">
        <v>11</v>
      </c>
      <c r="M1381" s="51" t="n">
        <v>12</v>
      </c>
      <c r="N1381" s="51" t="n">
        <v>13</v>
      </c>
      <c r="O1381" s="51" t="n">
        <v>14</v>
      </c>
      <c r="P1381" s="51" t="n">
        <v>15</v>
      </c>
    </row>
    <row r="1382">
      <c r="A1382" s="52" t="inlineStr">
        <is>
          <t>정답</t>
        </is>
      </c>
      <c r="B1382" s="33">
        <f>IF($R$1357="","",IF($R$1357="언어와 매체",자동계산!$D$4,자동계산!$B$4))</f>
        <v/>
      </c>
      <c r="C1382" s="33">
        <f>IF($R$1357="","",IF($R$1357="언어와 매체",자동계산!$D$5,자동계산!$B$5))</f>
        <v/>
      </c>
      <c r="D1382" s="33">
        <f>IF($R$1357="","",IF($R$1357="언어와 매체",자동계산!$D$6,자동계산!$B$6))</f>
        <v/>
      </c>
      <c r="E1382" s="33">
        <f>IF($R$1357="","",IF($R$1357="언어와 매체",자동계산!$D$7,자동계산!$B$7))</f>
        <v/>
      </c>
      <c r="F1382" s="33">
        <f>IF($R$1357="","",IF($R$1357="언어와 매체",자동계산!$D$8,자동계산!$B$8))</f>
        <v/>
      </c>
      <c r="G1382" s="33">
        <f>IF($R$1357="","",IF($R$1357="언어와 매체",자동계산!$D$9,자동계산!$B$9))</f>
        <v/>
      </c>
      <c r="H1382" s="33">
        <f>IF($R$1357="","",IF($R$1357="언어와 매체",자동계산!$D$10,자동계산!$B$10))</f>
        <v/>
      </c>
      <c r="I1382" s="33">
        <f>IF($R$1357="","",IF($R$1357="언어와 매체",자동계산!$D$11,자동계산!$B$11))</f>
        <v/>
      </c>
      <c r="J1382" s="33">
        <f>IF($R$1357="","",IF($R$1357="언어와 매체",자동계산!$D$12,자동계산!$B$12))</f>
        <v/>
      </c>
      <c r="K1382" s="33">
        <f>IF($R$1357="","",IF($R$1357="언어와 매체",자동계산!$D$13,자동계산!$B$13))</f>
        <v/>
      </c>
      <c r="L1382" s="33">
        <f>IF($R$1357="","",IF($R$1357="언어와 매체",자동계산!$D$14,자동계산!$B$14))</f>
        <v/>
      </c>
      <c r="M1382" s="33">
        <f>IF($R$1357="","",IF($R$1357="언어와 매체",자동계산!$D$15,자동계산!$B$15))</f>
        <v/>
      </c>
      <c r="N1382" s="33">
        <f>IF($R$1357="","",IF($R$1357="언어와 매체",자동계산!$D$16,자동계산!$B$16))</f>
        <v/>
      </c>
      <c r="O1382" s="33">
        <f>IF($R$1357="","",IF($R$1357="언어와 매체",자동계산!$D$17,자동계산!$B$17))</f>
        <v/>
      </c>
      <c r="P1382" s="33">
        <f>IF($R$1357="","",IF($R$1357="언어와 매체",자동계산!$D$18,자동계산!$B$18))</f>
        <v/>
      </c>
    </row>
    <row r="1383">
      <c r="A1383" s="52" t="inlineStr">
        <is>
          <t>학생답안</t>
        </is>
      </c>
      <c r="B1383" s="33">
        <f>IF($R$1356="","",INDEX(전체채점!E$3:E$62,$R$1356))</f>
        <v/>
      </c>
      <c r="C1383" s="33">
        <f>IF($R$1356="","",INDEX(전체채점!F$3:F$62,$R$1356))</f>
        <v/>
      </c>
      <c r="D1383" s="33">
        <f>IF($R$1356="","",INDEX(전체채점!G$3:G$62,$R$1356))</f>
        <v/>
      </c>
      <c r="E1383" s="33">
        <f>IF($R$1356="","",INDEX(전체채점!H$3:H$62,$R$1356))</f>
        <v/>
      </c>
      <c r="F1383" s="33">
        <f>IF($R$1356="","",INDEX(전체채점!I$3:I$62,$R$1356))</f>
        <v/>
      </c>
      <c r="G1383" s="33">
        <f>IF($R$1356="","",INDEX(전체채점!J$3:J$62,$R$1356))</f>
        <v/>
      </c>
      <c r="H1383" s="33">
        <f>IF($R$1356="","",INDEX(전체채점!K$3:K$62,$R$1356))</f>
        <v/>
      </c>
      <c r="I1383" s="33">
        <f>IF($R$1356="","",INDEX(전체채점!L$3:L$62,$R$1356))</f>
        <v/>
      </c>
      <c r="J1383" s="33">
        <f>IF($R$1356="","",INDEX(전체채점!M$3:M$62,$R$1356))</f>
        <v/>
      </c>
      <c r="K1383" s="33">
        <f>IF($R$1356="","",INDEX(전체채점!N$3:N$62,$R$1356))</f>
        <v/>
      </c>
      <c r="L1383" s="33">
        <f>IF($R$1356="","",INDEX(전체채점!O$3:O$62,$R$1356))</f>
        <v/>
      </c>
      <c r="M1383" s="33">
        <f>IF($R$1356="","",INDEX(전체채점!P$3:P$62,$R$1356))</f>
        <v/>
      </c>
      <c r="N1383" s="33">
        <f>IF($R$1356="","",INDEX(전체채점!Q$3:Q$62,$R$1356))</f>
        <v/>
      </c>
      <c r="O1383" s="33">
        <f>IF($R$1356="","",INDEX(전체채점!R$3:R$62,$R$1356))</f>
        <v/>
      </c>
      <c r="P1383" s="33">
        <f>IF($R$1356="","",INDEX(전체채점!S$3:S$62,$R$1356))</f>
        <v/>
      </c>
    </row>
    <row r="1384">
      <c r="A1384" s="52" t="inlineStr">
        <is>
          <t>정오</t>
        </is>
      </c>
      <c r="B1384" s="33">
        <f>IF($R$1356="","",INDEX(전체채점!AX$3:AX$62,$R$1356))</f>
        <v/>
      </c>
      <c r="C1384" s="33">
        <f>IF($R$1356="","",INDEX(전체채점!AY$3:AY$62,$R$1356))</f>
        <v/>
      </c>
      <c r="D1384" s="33">
        <f>IF($R$1356="","",INDEX(전체채점!AZ$3:AZ$62,$R$1356))</f>
        <v/>
      </c>
      <c r="E1384" s="33">
        <f>IF($R$1356="","",INDEX(전체채점!BA$3:BA$62,$R$1356))</f>
        <v/>
      </c>
      <c r="F1384" s="33">
        <f>IF($R$1356="","",INDEX(전체채점!BB$3:BB$62,$R$1356))</f>
        <v/>
      </c>
      <c r="G1384" s="33">
        <f>IF($R$1356="","",INDEX(전체채점!BC$3:BC$62,$R$1356))</f>
        <v/>
      </c>
      <c r="H1384" s="33">
        <f>IF($R$1356="","",INDEX(전체채점!BD$3:BD$62,$R$1356))</f>
        <v/>
      </c>
      <c r="I1384" s="33">
        <f>IF($R$1356="","",INDEX(전체채점!BE$3:BE$62,$R$1356))</f>
        <v/>
      </c>
      <c r="J1384" s="33">
        <f>IF($R$1356="","",INDEX(전체채점!BF$3:BF$62,$R$1356))</f>
        <v/>
      </c>
      <c r="K1384" s="33">
        <f>IF($R$1356="","",INDEX(전체채점!BG$3:BG$62,$R$1356))</f>
        <v/>
      </c>
      <c r="L1384" s="33">
        <f>IF($R$1356="","",INDEX(전체채점!BH$3:BH$62,$R$1356))</f>
        <v/>
      </c>
      <c r="M1384" s="33">
        <f>IF($R$1356="","",INDEX(전체채점!BI$3:BI$62,$R$1356))</f>
        <v/>
      </c>
      <c r="N1384" s="33">
        <f>IF($R$1356="","",INDEX(전체채점!BJ$3:BJ$62,$R$1356))</f>
        <v/>
      </c>
      <c r="O1384" s="33">
        <f>IF($R$1356="","",INDEX(전체채점!BK$3:BK$62,$R$1356))</f>
        <v/>
      </c>
      <c r="P1384" s="33">
        <f>IF($R$1356="","",INDEX(전체채점!BL$3:BL$62,$R$1356))</f>
        <v/>
      </c>
    </row>
    <row r="1385">
      <c r="A1385" s="50" t="inlineStr">
        <is>
          <t>문항 번호</t>
        </is>
      </c>
      <c r="B1385" s="51" t="n">
        <v>16</v>
      </c>
      <c r="C1385" s="51" t="n">
        <v>17</v>
      </c>
      <c r="D1385" s="51" t="n">
        <v>18</v>
      </c>
      <c r="E1385" s="51" t="n">
        <v>19</v>
      </c>
      <c r="F1385" s="51" t="n">
        <v>20</v>
      </c>
      <c r="G1385" s="51" t="n">
        <v>21</v>
      </c>
      <c r="H1385" s="51" t="n">
        <v>22</v>
      </c>
      <c r="I1385" s="51" t="n">
        <v>23</v>
      </c>
      <c r="J1385" s="51" t="n">
        <v>24</v>
      </c>
      <c r="K1385" s="51" t="n">
        <v>25</v>
      </c>
      <c r="L1385" s="51" t="n">
        <v>26</v>
      </c>
      <c r="M1385" s="51" t="n">
        <v>27</v>
      </c>
      <c r="N1385" s="51" t="n">
        <v>28</v>
      </c>
      <c r="O1385" s="51" t="n">
        <v>29</v>
      </c>
      <c r="P1385" s="51" t="n">
        <v>30</v>
      </c>
    </row>
    <row r="1386">
      <c r="A1386" s="52" t="inlineStr">
        <is>
          <t>정답</t>
        </is>
      </c>
      <c r="B1386" s="33">
        <f>IF($R$1357="","",IF($R$1357="언어와 매체",자동계산!$D$19,자동계산!$B$19))</f>
        <v/>
      </c>
      <c r="C1386" s="33">
        <f>IF($R$1357="","",IF($R$1357="언어와 매체",자동계산!$D$20,자동계산!$B$20))</f>
        <v/>
      </c>
      <c r="D1386" s="33">
        <f>IF($R$1357="","",IF($R$1357="언어와 매체",자동계산!$D$21,자동계산!$B$21))</f>
        <v/>
      </c>
      <c r="E1386" s="33">
        <f>IF($R$1357="","",IF($R$1357="언어와 매체",자동계산!$D$22,자동계산!$B$22))</f>
        <v/>
      </c>
      <c r="F1386" s="33">
        <f>IF($R$1357="","",IF($R$1357="언어와 매체",자동계산!$D$23,자동계산!$B$23))</f>
        <v/>
      </c>
      <c r="G1386" s="33">
        <f>IF($R$1357="","",IF($R$1357="언어와 매체",자동계산!$D$24,자동계산!$B$24))</f>
        <v/>
      </c>
      <c r="H1386" s="33">
        <f>IF($R$1357="","",IF($R$1357="언어와 매체",자동계산!$D$25,자동계산!$B$25))</f>
        <v/>
      </c>
      <c r="I1386" s="33">
        <f>IF($R$1357="","",IF($R$1357="언어와 매체",자동계산!$D$26,자동계산!$B$26))</f>
        <v/>
      </c>
      <c r="J1386" s="33">
        <f>IF($R$1357="","",IF($R$1357="언어와 매체",자동계산!$D$27,자동계산!$B$27))</f>
        <v/>
      </c>
      <c r="K1386" s="33">
        <f>IF($R$1357="","",IF($R$1357="언어와 매체",자동계산!$D$28,자동계산!$B$28))</f>
        <v/>
      </c>
      <c r="L1386" s="33">
        <f>IF($R$1357="","",IF($R$1357="언어와 매체",자동계산!$D$29,자동계산!$B$29))</f>
        <v/>
      </c>
      <c r="M1386" s="33">
        <f>IF($R$1357="","",IF($R$1357="언어와 매체",자동계산!$D$30,자동계산!$B$30))</f>
        <v/>
      </c>
      <c r="N1386" s="33">
        <f>IF($R$1357="","",IF($R$1357="언어와 매체",자동계산!$D$31,자동계산!$B$31))</f>
        <v/>
      </c>
      <c r="O1386" s="33">
        <f>IF($R$1357="","",IF($R$1357="언어와 매체",자동계산!$D$32,자동계산!$B$32))</f>
        <v/>
      </c>
      <c r="P1386" s="33">
        <f>IF($R$1357="","",IF($R$1357="언어와 매체",자동계산!$D$33,자동계산!$B$33))</f>
        <v/>
      </c>
    </row>
    <row r="1387">
      <c r="A1387" s="52" t="inlineStr">
        <is>
          <t>학생답안</t>
        </is>
      </c>
      <c r="B1387" s="33">
        <f>IF($R$1356="","",INDEX(전체채점!T$3:T$62,$R$1356))</f>
        <v/>
      </c>
      <c r="C1387" s="33">
        <f>IF($R$1356="","",INDEX(전체채점!U$3:U$62,$R$1356))</f>
        <v/>
      </c>
      <c r="D1387" s="33">
        <f>IF($R$1356="","",INDEX(전체채점!V$3:V$62,$R$1356))</f>
        <v/>
      </c>
      <c r="E1387" s="33">
        <f>IF($R$1356="","",INDEX(전체채점!W$3:W$62,$R$1356))</f>
        <v/>
      </c>
      <c r="F1387" s="33">
        <f>IF($R$1356="","",INDEX(전체채점!X$3:X$62,$R$1356))</f>
        <v/>
      </c>
      <c r="G1387" s="33">
        <f>IF($R$1356="","",INDEX(전체채점!Y$3:Y$62,$R$1356))</f>
        <v/>
      </c>
      <c r="H1387" s="33">
        <f>IF($R$1356="","",INDEX(전체채점!Z$3:Z$62,$R$1356))</f>
        <v/>
      </c>
      <c r="I1387" s="33">
        <f>IF($R$1356="","",INDEX(전체채점!AA$3:AA$62,$R$1356))</f>
        <v/>
      </c>
      <c r="J1387" s="33">
        <f>IF($R$1356="","",INDEX(전체채점!AB$3:AB$62,$R$1356))</f>
        <v/>
      </c>
      <c r="K1387" s="33">
        <f>IF($R$1356="","",INDEX(전체채점!AC$3:AC$62,$R$1356))</f>
        <v/>
      </c>
      <c r="L1387" s="33">
        <f>IF($R$1356="","",INDEX(전체채점!AD$3:AD$62,$R$1356))</f>
        <v/>
      </c>
      <c r="M1387" s="33">
        <f>IF($R$1356="","",INDEX(전체채점!AE$3:AE$62,$R$1356))</f>
        <v/>
      </c>
      <c r="N1387" s="33">
        <f>IF($R$1356="","",INDEX(전체채점!AF$3:AF$62,$R$1356))</f>
        <v/>
      </c>
      <c r="O1387" s="33">
        <f>IF($R$1356="","",INDEX(전체채점!AG$3:AG$62,$R$1356))</f>
        <v/>
      </c>
      <c r="P1387" s="33">
        <f>IF($R$1356="","",INDEX(전체채점!AH$3:AH$62,$R$1356))</f>
        <v/>
      </c>
    </row>
    <row r="1388">
      <c r="A1388" s="52" t="inlineStr">
        <is>
          <t>정오</t>
        </is>
      </c>
      <c r="B1388" s="33">
        <f>IF($R$1356="","",INDEX(전체채점!BM$3:BM$62,$R$1356))</f>
        <v/>
      </c>
      <c r="C1388" s="33">
        <f>IF($R$1356="","",INDEX(전체채점!BN$3:BN$62,$R$1356))</f>
        <v/>
      </c>
      <c r="D1388" s="33">
        <f>IF($R$1356="","",INDEX(전체채점!BO$3:BO$62,$R$1356))</f>
        <v/>
      </c>
      <c r="E1388" s="33">
        <f>IF($R$1356="","",INDEX(전체채점!BP$3:BP$62,$R$1356))</f>
        <v/>
      </c>
      <c r="F1388" s="33">
        <f>IF($R$1356="","",INDEX(전체채점!BQ$3:BQ$62,$R$1356))</f>
        <v/>
      </c>
      <c r="G1388" s="33">
        <f>IF($R$1356="","",INDEX(전체채점!BR$3:BR$62,$R$1356))</f>
        <v/>
      </c>
      <c r="H1388" s="33">
        <f>IF($R$1356="","",INDEX(전체채점!BS$3:BS$62,$R$1356))</f>
        <v/>
      </c>
      <c r="I1388" s="33">
        <f>IF($R$1356="","",INDEX(전체채점!BT$3:BT$62,$R$1356))</f>
        <v/>
      </c>
      <c r="J1388" s="33">
        <f>IF($R$1356="","",INDEX(전체채점!BU$3:BU$62,$R$1356))</f>
        <v/>
      </c>
      <c r="K1388" s="33">
        <f>IF($R$1356="","",INDEX(전체채점!BV$3:BV$62,$R$1356))</f>
        <v/>
      </c>
      <c r="L1388" s="33">
        <f>IF($R$1356="","",INDEX(전체채점!BW$3:BW$62,$R$1356))</f>
        <v/>
      </c>
      <c r="M1388" s="33">
        <f>IF($R$1356="","",INDEX(전체채점!BX$3:BX$62,$R$1356))</f>
        <v/>
      </c>
      <c r="N1388" s="33">
        <f>IF($R$1356="","",INDEX(전체채점!BY$3:BY$62,$R$1356))</f>
        <v/>
      </c>
      <c r="O1388" s="33">
        <f>IF($R$1356="","",INDEX(전체채점!BZ$3:BZ$62,$R$1356))</f>
        <v/>
      </c>
      <c r="P1388" s="33">
        <f>IF($R$1356="","",INDEX(전체채점!CA$3:CA$62,$R$1356))</f>
        <v/>
      </c>
    </row>
    <row r="1389">
      <c r="A1389" s="50" t="inlineStr">
        <is>
          <t>문항 번호</t>
        </is>
      </c>
      <c r="B1389" s="51" t="n">
        <v>31</v>
      </c>
      <c r="C1389" s="51" t="n">
        <v>32</v>
      </c>
      <c r="D1389" s="51" t="n">
        <v>33</v>
      </c>
      <c r="E1389" s="51" t="n">
        <v>34</v>
      </c>
      <c r="F1389" s="51" t="n">
        <v>35</v>
      </c>
      <c r="G1389" s="51" t="n">
        <v>36</v>
      </c>
      <c r="H1389" s="51" t="n">
        <v>37</v>
      </c>
      <c r="I1389" s="51" t="n">
        <v>38</v>
      </c>
      <c r="J1389" s="51" t="n">
        <v>39</v>
      </c>
      <c r="K1389" s="51" t="n">
        <v>40</v>
      </c>
      <c r="L1389" s="51" t="n">
        <v>41</v>
      </c>
      <c r="M1389" s="51" t="n">
        <v>42</v>
      </c>
      <c r="N1389" s="51" t="n">
        <v>43</v>
      </c>
      <c r="O1389" s="51" t="n">
        <v>44</v>
      </c>
      <c r="P1389" s="51" t="n">
        <v>45</v>
      </c>
    </row>
    <row r="1390">
      <c r="A1390" s="52" t="inlineStr">
        <is>
          <t>정답</t>
        </is>
      </c>
      <c r="B1390" s="33">
        <f>IF($R$1357="","",IF($R$1357="언어와 매체",자동계산!$D$34,자동계산!$B$34))</f>
        <v/>
      </c>
      <c r="C1390" s="33">
        <f>IF($R$1357="","",IF($R$1357="언어와 매체",자동계산!$D$35,자동계산!$B$35))</f>
        <v/>
      </c>
      <c r="D1390" s="33">
        <f>IF($R$1357="","",IF($R$1357="언어와 매체",자동계산!$D$36,자동계산!$B$36))</f>
        <v/>
      </c>
      <c r="E1390" s="33">
        <f>IF($R$1357="","",IF($R$1357="언어와 매체",자동계산!$D$37,자동계산!$B$37))</f>
        <v/>
      </c>
      <c r="F1390" s="33">
        <f>IF($R$1357="","",IF($R$1357="언어와 매체",자동계산!$D$38,자동계산!$B$38))</f>
        <v/>
      </c>
      <c r="G1390" s="33">
        <f>IF($R$1357="","",IF($R$1357="언어와 매체",자동계산!$D$39,자동계산!$B$39))</f>
        <v/>
      </c>
      <c r="H1390" s="33">
        <f>IF($R$1357="","",IF($R$1357="언어와 매체",자동계산!$D$40,자동계산!$B$40))</f>
        <v/>
      </c>
      <c r="I1390" s="33">
        <f>IF($R$1357="","",IF($R$1357="언어와 매체",자동계산!$D$41,자동계산!$B$41))</f>
        <v/>
      </c>
      <c r="J1390" s="33">
        <f>IF($R$1357="","",IF($R$1357="언어와 매체",자동계산!$D$42,자동계산!$B$42))</f>
        <v/>
      </c>
      <c r="K1390" s="33">
        <f>IF($R$1357="","",IF($R$1357="언어와 매체",자동계산!$D$43,자동계산!$B$43))</f>
        <v/>
      </c>
      <c r="L1390" s="33">
        <f>IF($R$1357="","",IF($R$1357="언어와 매체",자동계산!$D$44,자동계산!$B$44))</f>
        <v/>
      </c>
      <c r="M1390" s="33">
        <f>IF($R$1357="","",IF($R$1357="언어와 매체",자동계산!$D$45,자동계산!$B$45))</f>
        <v/>
      </c>
      <c r="N1390" s="33">
        <f>IF($R$1357="","",IF($R$1357="언어와 매체",자동계산!$D$46,자동계산!$B$46))</f>
        <v/>
      </c>
      <c r="O1390" s="33">
        <f>IF($R$1357="","",IF($R$1357="언어와 매체",자동계산!$D$47,자동계산!$B$47))</f>
        <v/>
      </c>
      <c r="P1390" s="33">
        <f>IF($R$1357="","",IF($R$1357="언어와 매체",자동계산!$D$48,자동계산!$B$48))</f>
        <v/>
      </c>
    </row>
    <row r="1391">
      <c r="A1391" s="52" t="inlineStr">
        <is>
          <t>학생답안</t>
        </is>
      </c>
      <c r="B1391" s="33">
        <f>IF($R$1356="","",INDEX(전체채점!AI$3:AI$62,$R$1356))</f>
        <v/>
      </c>
      <c r="C1391" s="33">
        <f>IF($R$1356="","",INDEX(전체채점!AJ$3:AJ$62,$R$1356))</f>
        <v/>
      </c>
      <c r="D1391" s="33">
        <f>IF($R$1356="","",INDEX(전체채점!AK$3:AK$62,$R$1356))</f>
        <v/>
      </c>
      <c r="E1391" s="33">
        <f>IF($R$1356="","",INDEX(전체채점!AL$3:AL$62,$R$1356))</f>
        <v/>
      </c>
      <c r="F1391" s="33">
        <f>IF($R$1356="","",INDEX(전체채점!AM$3:AM$62,$R$1356))</f>
        <v/>
      </c>
      <c r="G1391" s="33">
        <f>IF($R$1356="","",INDEX(전체채점!AN$3:AN$62,$R$1356))</f>
        <v/>
      </c>
      <c r="H1391" s="33">
        <f>IF($R$1356="","",INDEX(전체채점!AO$3:AO$62,$R$1356))</f>
        <v/>
      </c>
      <c r="I1391" s="33">
        <f>IF($R$1356="","",INDEX(전체채점!AP$3:AP$62,$R$1356))</f>
        <v/>
      </c>
      <c r="J1391" s="33">
        <f>IF($R$1356="","",INDEX(전체채점!AQ$3:AQ$62,$R$1356))</f>
        <v/>
      </c>
      <c r="K1391" s="33">
        <f>IF($R$1356="","",INDEX(전체채점!AR$3:AR$62,$R$1356))</f>
        <v/>
      </c>
      <c r="L1391" s="33">
        <f>IF($R$1356="","",INDEX(전체채점!AS$3:AS$62,$R$1356))</f>
        <v/>
      </c>
      <c r="M1391" s="33">
        <f>IF($R$1356="","",INDEX(전체채점!AT$3:AT$62,$R$1356))</f>
        <v/>
      </c>
      <c r="N1391" s="33">
        <f>IF($R$1356="","",INDEX(전체채점!AU$3:AU$62,$R$1356))</f>
        <v/>
      </c>
      <c r="O1391" s="33">
        <f>IF($R$1356="","",INDEX(전체채점!AV$3:AV$62,$R$1356))</f>
        <v/>
      </c>
      <c r="P1391" s="33">
        <f>IF($R$1356="","",INDEX(전체채점!AW$3:AW$62,$R$1356))</f>
        <v/>
      </c>
    </row>
    <row r="1392">
      <c r="A1392" s="52" t="inlineStr">
        <is>
          <t>정오</t>
        </is>
      </c>
      <c r="B1392" s="33">
        <f>IF($R$1356="","",INDEX(전체채점!CB$3:CB$62,$R$1356))</f>
        <v/>
      </c>
      <c r="C1392" s="33">
        <f>IF($R$1356="","",INDEX(전체채점!CC$3:CC$62,$R$1356))</f>
        <v/>
      </c>
      <c r="D1392" s="33">
        <f>IF($R$1356="","",INDEX(전체채점!CD$3:CD$62,$R$1356))</f>
        <v/>
      </c>
      <c r="E1392" s="33">
        <f>IF($R$1356="","",INDEX(전체채점!CE$3:CE$62,$R$1356))</f>
        <v/>
      </c>
      <c r="F1392" s="33">
        <f>IF($R$1356="","",INDEX(전체채점!CF$3:CF$62,$R$1356))</f>
        <v/>
      </c>
      <c r="G1392" s="33">
        <f>IF($R$1356="","",INDEX(전체채점!CG$3:CG$62,$R$1356))</f>
        <v/>
      </c>
      <c r="H1392" s="33">
        <f>IF($R$1356="","",INDEX(전체채점!CH$3:CH$62,$R$1356))</f>
        <v/>
      </c>
      <c r="I1392" s="33">
        <f>IF($R$1356="","",INDEX(전체채점!CI$3:CI$62,$R$1356))</f>
        <v/>
      </c>
      <c r="J1392" s="33">
        <f>IF($R$1356="","",INDEX(전체채점!CJ$3:CJ$62,$R$1356))</f>
        <v/>
      </c>
      <c r="K1392" s="33">
        <f>IF($R$1356="","",INDEX(전체채점!CK$3:CK$62,$R$1356))</f>
        <v/>
      </c>
      <c r="L1392" s="33">
        <f>IF($R$1356="","",INDEX(전체채점!CL$3:CL$62,$R$1356))</f>
        <v/>
      </c>
      <c r="M1392" s="33">
        <f>IF($R$1356="","",INDEX(전체채점!CM$3:CM$62,$R$1356))</f>
        <v/>
      </c>
      <c r="N1392" s="33">
        <f>IF($R$1356="","",INDEX(전체채점!CN$3:CN$62,$R$1356))</f>
        <v/>
      </c>
      <c r="O1392" s="33">
        <f>IF($R$1356="","",INDEX(전체채점!CO$3:CO$62,$R$1356))</f>
        <v/>
      </c>
      <c r="P1392" s="33">
        <f>IF($R$1356="","",INDEX(전체채점!CP$3:CP$62,$R$1356))</f>
        <v/>
      </c>
    </row>
    <row r="1395" ht="34" customHeight="1">
      <c r="A1395" s="36">
        <f>IF($R$1397="","",회차설정!$B$2&amp;" 성적표")</f>
        <v/>
      </c>
    </row>
    <row r="1397">
      <c r="A1397" s="12" t="inlineStr">
        <is>
          <t>1. 학생정보</t>
        </is>
      </c>
      <c r="R1397" s="37">
        <f>IF(답안입력!$A$37="","",35)</f>
        <v/>
      </c>
      <c r="S1397" s="37">
        <f>IF($R$1398="","",IFERROR(IF($R$1398="언어와 매체",MATCH(1,회차설정!$G$13:$G$27,0),MATCH(1,회차설정!$F$13:$F$27,0)),""))</f>
        <v/>
      </c>
    </row>
    <row r="1398">
      <c r="A1398" s="13" t="inlineStr">
        <is>
          <t>성명</t>
        </is>
      </c>
      <c r="B1398" s="7" t="n"/>
      <c r="C1398" s="8" t="n"/>
      <c r="D1398" s="13" t="inlineStr">
        <is>
          <t>선택과목</t>
        </is>
      </c>
      <c r="E1398" s="7" t="n"/>
      <c r="F1398" s="7" t="n"/>
      <c r="G1398" s="8" t="n"/>
      <c r="H1398" s="13" t="inlineStr">
        <is>
          <t>학년</t>
        </is>
      </c>
      <c r="I1398" s="7" t="n"/>
      <c r="J1398" s="7" t="n"/>
      <c r="K1398" s="8" t="n"/>
      <c r="L1398" s="13" t="inlineStr">
        <is>
          <t>시행일</t>
        </is>
      </c>
      <c r="M1398" s="7" t="n"/>
      <c r="N1398" s="7" t="n"/>
      <c r="O1398" s="7" t="n"/>
      <c r="P1398" s="8" t="n"/>
      <c r="R1398" s="37">
        <f>IF($R$1397="","",INDEX(전체채점!$B$3:$B$62,$R$1397))</f>
        <v/>
      </c>
      <c r="S1398" s="37">
        <f>IF($R$1398="","",IFERROR(IF($R$1398="언어와 매체",MATCH(2,회차설정!$G$13:$G$27,0),MATCH(2,회차설정!$F$13:$F$27,0)),""))</f>
        <v/>
      </c>
    </row>
    <row r="1399" ht="26" customHeight="1">
      <c r="A1399" s="39">
        <f>IF($R$1397="","",INDEX(답안입력!$A$3:$A$62,$R$1397))</f>
        <v/>
      </c>
      <c r="B1399" s="7" t="n"/>
      <c r="C1399" s="8" t="n"/>
      <c r="D1399" s="39">
        <f>IF($R$1397="","",INDEX(답안입력!$C$3:$C$62,$R$1397))</f>
        <v/>
      </c>
      <c r="E1399" s="7" t="n"/>
      <c r="F1399" s="7" t="n"/>
      <c r="G1399" s="8" t="n"/>
      <c r="H1399" s="39">
        <f>IF($R$1397="","",INDEX(답안입력!$B$3:$B$62,$R$1397))</f>
        <v/>
      </c>
      <c r="I1399" s="7" t="n"/>
      <c r="J1399" s="7" t="n"/>
      <c r="K1399" s="8" t="n"/>
      <c r="L1399" s="40">
        <f>회차설정!$B$3</f>
        <v/>
      </c>
      <c r="M1399" s="7" t="n"/>
      <c r="N1399" s="7" t="n"/>
      <c r="O1399" s="7" t="n"/>
      <c r="P1399" s="8" t="n"/>
      <c r="R1399" s="37">
        <f>IF($R$1398="언어와 매체",회차설정!$B$9,회차설정!$B$8)</f>
        <v/>
      </c>
      <c r="S1399" s="37">
        <f>IF($R$1398="","",IFERROR(IF($R$1398="언어와 매체",MATCH(3,회차설정!$G$13:$G$27,0),MATCH(3,회차설정!$F$13:$F$27,0)),""))</f>
        <v/>
      </c>
    </row>
    <row r="1400">
      <c r="R1400" s="37">
        <f>IF($R$1398="언어와 매체",회차설정!$C$9,회차설정!$C$8)</f>
        <v/>
      </c>
      <c r="S1400" s="37">
        <f>IF($R$1398="","",IFERROR(IF($R$1398="언어와 매체",MATCH(4,회차설정!$G$13:$G$27,0),MATCH(4,회차설정!$F$13:$F$27,0)),""))</f>
        <v/>
      </c>
    </row>
    <row r="1401">
      <c r="A1401" s="12" t="inlineStr">
        <is>
          <t>2. 성적</t>
        </is>
      </c>
      <c r="R1401" s="37">
        <f>IF($R$1398="언어와 매체",회차설정!$D$9,회차설정!$D$8)</f>
        <v/>
      </c>
      <c r="S1401" s="37">
        <f>IF($R$1398="","",IFERROR(IF($R$1398="언어와 매체",MATCH(5,회차설정!$G$13:$G$27,0),MATCH(5,회차설정!$F$13:$F$27,0)),""))</f>
        <v/>
      </c>
    </row>
    <row r="1402">
      <c r="A1402" s="13" t="inlineStr">
        <is>
          <t>점수 (100점 만점)</t>
        </is>
      </c>
      <c r="B1402" s="7" t="n"/>
      <c r="C1402" s="7" t="n"/>
      <c r="D1402" s="7" t="n"/>
      <c r="E1402" s="8" t="n"/>
      <c r="F1402" s="13" t="inlineStr">
        <is>
          <t>등급</t>
        </is>
      </c>
      <c r="G1402" s="7" t="n"/>
      <c r="H1402" s="8" t="n"/>
      <c r="I1402" s="13" t="inlineStr">
        <is>
          <t>등급컷</t>
        </is>
      </c>
      <c r="J1402" s="7" t="n"/>
      <c r="K1402" s="7" t="n"/>
      <c r="L1402" s="8" t="n"/>
      <c r="M1402" s="13" t="inlineStr">
        <is>
          <t>같은 선택과목 평균</t>
        </is>
      </c>
      <c r="N1402" s="7" t="n"/>
      <c r="O1402" s="7" t="n"/>
      <c r="P1402" s="8" t="n"/>
      <c r="R1402" s="37">
        <f>IF($R$1398="언어와 매체",회차설정!$E$9,회차설정!$E$8)</f>
        <v/>
      </c>
      <c r="S1402" s="37">
        <f>IF($R$1398="","",IFERROR(IF($R$1398="언어와 매체",MATCH(6,회차설정!$G$13:$G$27,0),MATCH(6,회차설정!$F$13:$F$27,0)),""))</f>
        <v/>
      </c>
    </row>
    <row r="1403" ht="34" customHeight="1">
      <c r="A1403" s="41">
        <f>IF($R$1397="","",INDEX(전체채점!$C$3:$C$62,$R$1397))</f>
        <v/>
      </c>
      <c r="B1403" s="7" t="n"/>
      <c r="C1403" s="7" t="n"/>
      <c r="D1403" s="7" t="n"/>
      <c r="E1403" s="8" t="n"/>
      <c r="F1403" s="42">
        <f>IF($R$1397="","",INDEX(전체채점!$D$3:$D$62,$R$1397))</f>
        <v/>
      </c>
      <c r="G1403" s="7" t="n"/>
      <c r="H1403" s="8" t="n"/>
      <c r="I1403" s="43">
        <f>IF($R$1397="","",$R$1399&amp;"-"&amp;$R$1400&amp;"-"&amp;$R$1401&amp;"-"&amp;$R$1402)</f>
        <v/>
      </c>
      <c r="J1403" s="7" t="n"/>
      <c r="K1403" s="7" t="n"/>
      <c r="L1403" s="8" t="n"/>
      <c r="M1403" s="44">
        <f>IFERROR(AVERAGEIF(전체채점!$B$3:$B$62,$R$1398,전체채점!$C$3:$C$62),"")</f>
        <v/>
      </c>
      <c r="N1403" s="7" t="n"/>
      <c r="O1403" s="7" t="n"/>
      <c r="P1403" s="8" t="n"/>
      <c r="S1403" s="37">
        <f>IF($R$1398="","",IFERROR(IF($R$1398="언어와 매체",MATCH(7,회차설정!$G$13:$G$27,0),MATCH(7,회차설정!$F$13:$F$27,0)),""))</f>
        <v/>
      </c>
    </row>
    <row r="1404">
      <c r="S1404" s="37">
        <f>IF($R$1398="","",IFERROR(IF($R$1398="언어와 매체",MATCH(8,회차설정!$G$13:$G$27,0),MATCH(8,회차설정!$F$13:$F$27,0)),""))</f>
        <v/>
      </c>
    </row>
    <row r="1405">
      <c r="A1405" s="12" t="inlineStr">
        <is>
          <t>3. 영역분류별 성취도 분석</t>
        </is>
      </c>
      <c r="F1405" s="45">
        <f>IF(OR($R$1397="",$E1419=""),"",IF($E1419=INDEX(전체채점!$C$3:$C$62,$R$1397),"","※ 회차설정의 영역 표를 확인하세요 — 영역 합계와 점수가 다릅니다"))</f>
        <v/>
      </c>
      <c r="S1405" s="37">
        <f>IF($R$1398="","",IFERROR(IF($R$1398="언어와 매체",MATCH(9,회차설정!$G$13:$G$27,0),MATCH(9,회차설정!$F$13:$F$27,0)),""))</f>
        <v/>
      </c>
    </row>
    <row r="1406">
      <c r="A1406" s="13" t="inlineStr">
        <is>
          <t>분류</t>
        </is>
      </c>
      <c r="B1406" s="13" t="inlineStr">
        <is>
          <t>영역</t>
        </is>
      </c>
      <c r="C1406" s="8" t="n"/>
      <c r="D1406" s="13" t="inlineStr">
        <is>
          <t>배점</t>
        </is>
      </c>
      <c r="E1406" s="13" t="inlineStr">
        <is>
          <t>득점</t>
        </is>
      </c>
      <c r="F1406" s="13" t="inlineStr">
        <is>
          <t>성취도(%)</t>
        </is>
      </c>
      <c r="G1406" s="8" t="n"/>
      <c r="H1406" s="13" t="inlineStr"/>
      <c r="I1406" s="7" t="n"/>
      <c r="J1406" s="7" t="n"/>
      <c r="K1406" s="7" t="n"/>
      <c r="L1406" s="7" t="n"/>
      <c r="M1406" s="7" t="n"/>
      <c r="N1406" s="7" t="n"/>
      <c r="O1406" s="7" t="n"/>
      <c r="P1406" s="8" t="n"/>
      <c r="S1406" s="37">
        <f>IF($R$1398="","",IFERROR(IF($R$1398="언어와 매체",MATCH(10,회차설정!$G$13:$G$27,0),MATCH(10,회차설정!$F$13:$F$27,0)),""))</f>
        <v/>
      </c>
    </row>
    <row r="1407">
      <c r="A1407" s="14">
        <f>IF($S$1397="","",INDEX(회차설정!$A$13:$A$27,$S$1397))</f>
        <v/>
      </c>
      <c r="B1407" s="14">
        <f>IF($S$1397="","",INDEX(회차설정!$B$13:$B$27,$S$1397))</f>
        <v/>
      </c>
      <c r="C1407" s="8" t="n"/>
      <c r="D1407" s="14">
        <f>IF($S$1397="","",IF($R$1398="언어와 매체",SUMPRODUCT((자동계산!$A$4:$A$48&gt;=INDEX(회차설정!$C$13:$C$27,$S$1397))*(자동계산!$A$4:$A$48&lt;=INDEX(회차설정!$D$13:$D$27,$S$1397))*자동계산!$E$4:$E$48),SUMPRODUCT((자동계산!$A$4:$A$48&gt;=INDEX(회차설정!$C$13:$C$27,$S$1397))*(자동계산!$A$4:$A$48&lt;=INDEX(회차설정!$D$13:$D$27,$S$1397))*자동계산!$C$4:$C$48)))</f>
        <v/>
      </c>
      <c r="E1407" s="14">
        <f>IF(OR($S$1397="",$R$1397=""),"",SUM(OFFSET(전체채점!$AW$2,$R$1397,INDEX(회차설정!$C$13:$C$27,$S$1397),1,INDEX(회차설정!$D$13:$D$27,$S$1397)-INDEX(회차설정!$C$13:$C$27,$S$1397)+1)))</f>
        <v/>
      </c>
      <c r="F1407" s="46">
        <f>IF(OR($S$1397="",$D1407=0,$D1407="",$E1407=""),"",$E1407/$D1407*100)</f>
        <v/>
      </c>
      <c r="G1407" s="8" t="n"/>
      <c r="H1407" s="47">
        <f>IF($F1407="","",REPT("■",ROUND($F1407/5,0)))</f>
        <v/>
      </c>
      <c r="I1407" s="7" t="n"/>
      <c r="J1407" s="7" t="n"/>
      <c r="K1407" s="7" t="n"/>
      <c r="L1407" s="7" t="n"/>
      <c r="M1407" s="7" t="n"/>
      <c r="N1407" s="7" t="n"/>
      <c r="O1407" s="7" t="n"/>
      <c r="P1407" s="8" t="n"/>
      <c r="S1407" s="37">
        <f>IF($R$1398="","",IFERROR(IF($R$1398="언어와 매체",MATCH(11,회차설정!$G$13:$G$27,0),MATCH(11,회차설정!$F$13:$F$27,0)),""))</f>
        <v/>
      </c>
    </row>
    <row r="1408">
      <c r="A1408" s="14">
        <f>IF($S$1398="","",INDEX(회차설정!$A$13:$A$27,$S$1398))</f>
        <v/>
      </c>
      <c r="B1408" s="14">
        <f>IF($S$1398="","",INDEX(회차설정!$B$13:$B$27,$S$1398))</f>
        <v/>
      </c>
      <c r="C1408" s="8" t="n"/>
      <c r="D1408" s="14">
        <f>IF($S$1398="","",IF($R$1398="언어와 매체",SUMPRODUCT((자동계산!$A$4:$A$48&gt;=INDEX(회차설정!$C$13:$C$27,$S$1398))*(자동계산!$A$4:$A$48&lt;=INDEX(회차설정!$D$13:$D$27,$S$1398))*자동계산!$E$4:$E$48),SUMPRODUCT((자동계산!$A$4:$A$48&gt;=INDEX(회차설정!$C$13:$C$27,$S$1398))*(자동계산!$A$4:$A$48&lt;=INDEX(회차설정!$D$13:$D$27,$S$1398))*자동계산!$C$4:$C$48)))</f>
        <v/>
      </c>
      <c r="E1408" s="14">
        <f>IF(OR($S$1398="",$R$1397=""),"",SUM(OFFSET(전체채점!$AW$2,$R$1397,INDEX(회차설정!$C$13:$C$27,$S$1398),1,INDEX(회차설정!$D$13:$D$27,$S$1398)-INDEX(회차설정!$C$13:$C$27,$S$1398)+1)))</f>
        <v/>
      </c>
      <c r="F1408" s="46">
        <f>IF(OR($S$1398="",$D1408=0,$D1408="",$E1408=""),"",$E1408/$D1408*100)</f>
        <v/>
      </c>
      <c r="G1408" s="8" t="n"/>
      <c r="H1408" s="47">
        <f>IF($F1408="","",REPT("■",ROUND($F1408/5,0)))</f>
        <v/>
      </c>
      <c r="I1408" s="7" t="n"/>
      <c r="J1408" s="7" t="n"/>
      <c r="K1408" s="7" t="n"/>
      <c r="L1408" s="7" t="n"/>
      <c r="M1408" s="7" t="n"/>
      <c r="N1408" s="7" t="n"/>
      <c r="O1408" s="7" t="n"/>
      <c r="P1408" s="8" t="n"/>
      <c r="S1408" s="37">
        <f>IF($R$1398="","",IFERROR(IF($R$1398="언어와 매체",MATCH(12,회차설정!$G$13:$G$27,0),MATCH(12,회차설정!$F$13:$F$27,0)),""))</f>
        <v/>
      </c>
    </row>
    <row r="1409">
      <c r="A1409" s="14">
        <f>IF($S$1399="","",INDEX(회차설정!$A$13:$A$27,$S$1399))</f>
        <v/>
      </c>
      <c r="B1409" s="14">
        <f>IF($S$1399="","",INDEX(회차설정!$B$13:$B$27,$S$1399))</f>
        <v/>
      </c>
      <c r="C1409" s="8" t="n"/>
      <c r="D1409" s="14">
        <f>IF($S$1399="","",IF($R$1398="언어와 매체",SUMPRODUCT((자동계산!$A$4:$A$48&gt;=INDEX(회차설정!$C$13:$C$27,$S$1399))*(자동계산!$A$4:$A$48&lt;=INDEX(회차설정!$D$13:$D$27,$S$1399))*자동계산!$E$4:$E$48),SUMPRODUCT((자동계산!$A$4:$A$48&gt;=INDEX(회차설정!$C$13:$C$27,$S$1399))*(자동계산!$A$4:$A$48&lt;=INDEX(회차설정!$D$13:$D$27,$S$1399))*자동계산!$C$4:$C$48)))</f>
        <v/>
      </c>
      <c r="E1409" s="14">
        <f>IF(OR($S$1399="",$R$1397=""),"",SUM(OFFSET(전체채점!$AW$2,$R$1397,INDEX(회차설정!$C$13:$C$27,$S$1399),1,INDEX(회차설정!$D$13:$D$27,$S$1399)-INDEX(회차설정!$C$13:$C$27,$S$1399)+1)))</f>
        <v/>
      </c>
      <c r="F1409" s="46">
        <f>IF(OR($S$1399="",$D1409=0,$D1409="",$E1409=""),"",$E1409/$D1409*100)</f>
        <v/>
      </c>
      <c r="G1409" s="8" t="n"/>
      <c r="H1409" s="47">
        <f>IF($F1409="","",REPT("■",ROUND($F1409/5,0)))</f>
        <v/>
      </c>
      <c r="I1409" s="7" t="n"/>
      <c r="J1409" s="7" t="n"/>
      <c r="K1409" s="7" t="n"/>
      <c r="L1409" s="7" t="n"/>
      <c r="M1409" s="7" t="n"/>
      <c r="N1409" s="7" t="n"/>
      <c r="O1409" s="7" t="n"/>
      <c r="P1409" s="8" t="n"/>
    </row>
    <row r="1410">
      <c r="A1410" s="14">
        <f>IF($S$1400="","",INDEX(회차설정!$A$13:$A$27,$S$1400))</f>
        <v/>
      </c>
      <c r="B1410" s="14">
        <f>IF($S$1400="","",INDEX(회차설정!$B$13:$B$27,$S$1400))</f>
        <v/>
      </c>
      <c r="C1410" s="8" t="n"/>
      <c r="D1410" s="14">
        <f>IF($S$1400="","",IF($R$1398="언어와 매체",SUMPRODUCT((자동계산!$A$4:$A$48&gt;=INDEX(회차설정!$C$13:$C$27,$S$1400))*(자동계산!$A$4:$A$48&lt;=INDEX(회차설정!$D$13:$D$27,$S$1400))*자동계산!$E$4:$E$48),SUMPRODUCT((자동계산!$A$4:$A$48&gt;=INDEX(회차설정!$C$13:$C$27,$S$1400))*(자동계산!$A$4:$A$48&lt;=INDEX(회차설정!$D$13:$D$27,$S$1400))*자동계산!$C$4:$C$48)))</f>
        <v/>
      </c>
      <c r="E1410" s="14">
        <f>IF(OR($S$1400="",$R$1397=""),"",SUM(OFFSET(전체채점!$AW$2,$R$1397,INDEX(회차설정!$C$13:$C$27,$S$1400),1,INDEX(회차설정!$D$13:$D$27,$S$1400)-INDEX(회차설정!$C$13:$C$27,$S$1400)+1)))</f>
        <v/>
      </c>
      <c r="F1410" s="46">
        <f>IF(OR($S$1400="",$D1410=0,$D1410="",$E1410=""),"",$E1410/$D1410*100)</f>
        <v/>
      </c>
      <c r="G1410" s="8" t="n"/>
      <c r="H1410" s="47">
        <f>IF($F1410="","",REPT("■",ROUND($F1410/5,0)))</f>
        <v/>
      </c>
      <c r="I1410" s="7" t="n"/>
      <c r="J1410" s="7" t="n"/>
      <c r="K1410" s="7" t="n"/>
      <c r="L1410" s="7" t="n"/>
      <c r="M1410" s="7" t="n"/>
      <c r="N1410" s="7" t="n"/>
      <c r="O1410" s="7" t="n"/>
      <c r="P1410" s="8" t="n"/>
    </row>
    <row r="1411">
      <c r="A1411" s="14">
        <f>IF($S$1401="","",INDEX(회차설정!$A$13:$A$27,$S$1401))</f>
        <v/>
      </c>
      <c r="B1411" s="14">
        <f>IF($S$1401="","",INDEX(회차설정!$B$13:$B$27,$S$1401))</f>
        <v/>
      </c>
      <c r="C1411" s="8" t="n"/>
      <c r="D1411" s="14">
        <f>IF($S$1401="","",IF($R$1398="언어와 매체",SUMPRODUCT((자동계산!$A$4:$A$48&gt;=INDEX(회차설정!$C$13:$C$27,$S$1401))*(자동계산!$A$4:$A$48&lt;=INDEX(회차설정!$D$13:$D$27,$S$1401))*자동계산!$E$4:$E$48),SUMPRODUCT((자동계산!$A$4:$A$48&gt;=INDEX(회차설정!$C$13:$C$27,$S$1401))*(자동계산!$A$4:$A$48&lt;=INDEX(회차설정!$D$13:$D$27,$S$1401))*자동계산!$C$4:$C$48)))</f>
        <v/>
      </c>
      <c r="E1411" s="14">
        <f>IF(OR($S$1401="",$R$1397=""),"",SUM(OFFSET(전체채점!$AW$2,$R$1397,INDEX(회차설정!$C$13:$C$27,$S$1401),1,INDEX(회차설정!$D$13:$D$27,$S$1401)-INDEX(회차설정!$C$13:$C$27,$S$1401)+1)))</f>
        <v/>
      </c>
      <c r="F1411" s="46">
        <f>IF(OR($S$1401="",$D1411=0,$D1411="",$E1411=""),"",$E1411/$D1411*100)</f>
        <v/>
      </c>
      <c r="G1411" s="8" t="n"/>
      <c r="H1411" s="47">
        <f>IF($F1411="","",REPT("■",ROUND($F1411/5,0)))</f>
        <v/>
      </c>
      <c r="I1411" s="7" t="n"/>
      <c r="J1411" s="7" t="n"/>
      <c r="K1411" s="7" t="n"/>
      <c r="L1411" s="7" t="n"/>
      <c r="M1411" s="7" t="n"/>
      <c r="N1411" s="7" t="n"/>
      <c r="O1411" s="7" t="n"/>
      <c r="P1411" s="8" t="n"/>
    </row>
    <row r="1412">
      <c r="A1412" s="14">
        <f>IF($S$1402="","",INDEX(회차설정!$A$13:$A$27,$S$1402))</f>
        <v/>
      </c>
      <c r="B1412" s="14">
        <f>IF($S$1402="","",INDEX(회차설정!$B$13:$B$27,$S$1402))</f>
        <v/>
      </c>
      <c r="C1412" s="8" t="n"/>
      <c r="D1412" s="14">
        <f>IF($S$1402="","",IF($R$1398="언어와 매체",SUMPRODUCT((자동계산!$A$4:$A$48&gt;=INDEX(회차설정!$C$13:$C$27,$S$1402))*(자동계산!$A$4:$A$48&lt;=INDEX(회차설정!$D$13:$D$27,$S$1402))*자동계산!$E$4:$E$48),SUMPRODUCT((자동계산!$A$4:$A$48&gt;=INDEX(회차설정!$C$13:$C$27,$S$1402))*(자동계산!$A$4:$A$48&lt;=INDEX(회차설정!$D$13:$D$27,$S$1402))*자동계산!$C$4:$C$48)))</f>
        <v/>
      </c>
      <c r="E1412" s="14">
        <f>IF(OR($S$1402="",$R$1397=""),"",SUM(OFFSET(전체채점!$AW$2,$R$1397,INDEX(회차설정!$C$13:$C$27,$S$1402),1,INDEX(회차설정!$D$13:$D$27,$S$1402)-INDEX(회차설정!$C$13:$C$27,$S$1402)+1)))</f>
        <v/>
      </c>
      <c r="F1412" s="46">
        <f>IF(OR($S$1402="",$D1412=0,$D1412="",$E1412=""),"",$E1412/$D1412*100)</f>
        <v/>
      </c>
      <c r="G1412" s="8" t="n"/>
      <c r="H1412" s="47">
        <f>IF($F1412="","",REPT("■",ROUND($F1412/5,0)))</f>
        <v/>
      </c>
      <c r="I1412" s="7" t="n"/>
      <c r="J1412" s="7" t="n"/>
      <c r="K1412" s="7" t="n"/>
      <c r="L1412" s="7" t="n"/>
      <c r="M1412" s="7" t="n"/>
      <c r="N1412" s="7" t="n"/>
      <c r="O1412" s="7" t="n"/>
      <c r="P1412" s="8" t="n"/>
    </row>
    <row r="1413">
      <c r="A1413" s="14">
        <f>IF($S$1403="","",INDEX(회차설정!$A$13:$A$27,$S$1403))</f>
        <v/>
      </c>
      <c r="B1413" s="14">
        <f>IF($S$1403="","",INDEX(회차설정!$B$13:$B$27,$S$1403))</f>
        <v/>
      </c>
      <c r="C1413" s="8" t="n"/>
      <c r="D1413" s="14">
        <f>IF($S$1403="","",IF($R$1398="언어와 매체",SUMPRODUCT((자동계산!$A$4:$A$48&gt;=INDEX(회차설정!$C$13:$C$27,$S$1403))*(자동계산!$A$4:$A$48&lt;=INDEX(회차설정!$D$13:$D$27,$S$1403))*자동계산!$E$4:$E$48),SUMPRODUCT((자동계산!$A$4:$A$48&gt;=INDEX(회차설정!$C$13:$C$27,$S$1403))*(자동계산!$A$4:$A$48&lt;=INDEX(회차설정!$D$13:$D$27,$S$1403))*자동계산!$C$4:$C$48)))</f>
        <v/>
      </c>
      <c r="E1413" s="14">
        <f>IF(OR($S$1403="",$R$1397=""),"",SUM(OFFSET(전체채점!$AW$2,$R$1397,INDEX(회차설정!$C$13:$C$27,$S$1403),1,INDEX(회차설정!$D$13:$D$27,$S$1403)-INDEX(회차설정!$C$13:$C$27,$S$1403)+1)))</f>
        <v/>
      </c>
      <c r="F1413" s="46">
        <f>IF(OR($S$1403="",$D1413=0,$D1413="",$E1413=""),"",$E1413/$D1413*100)</f>
        <v/>
      </c>
      <c r="G1413" s="8" t="n"/>
      <c r="H1413" s="47">
        <f>IF($F1413="","",REPT("■",ROUND($F1413/5,0)))</f>
        <v/>
      </c>
      <c r="I1413" s="7" t="n"/>
      <c r="J1413" s="7" t="n"/>
      <c r="K1413" s="7" t="n"/>
      <c r="L1413" s="7" t="n"/>
      <c r="M1413" s="7" t="n"/>
      <c r="N1413" s="7" t="n"/>
      <c r="O1413" s="7" t="n"/>
      <c r="P1413" s="8" t="n"/>
    </row>
    <row r="1414">
      <c r="A1414" s="14">
        <f>IF($S$1404="","",INDEX(회차설정!$A$13:$A$27,$S$1404))</f>
        <v/>
      </c>
      <c r="B1414" s="14">
        <f>IF($S$1404="","",INDEX(회차설정!$B$13:$B$27,$S$1404))</f>
        <v/>
      </c>
      <c r="C1414" s="8" t="n"/>
      <c r="D1414" s="14">
        <f>IF($S$1404="","",IF($R$1398="언어와 매체",SUMPRODUCT((자동계산!$A$4:$A$48&gt;=INDEX(회차설정!$C$13:$C$27,$S$1404))*(자동계산!$A$4:$A$48&lt;=INDEX(회차설정!$D$13:$D$27,$S$1404))*자동계산!$E$4:$E$48),SUMPRODUCT((자동계산!$A$4:$A$48&gt;=INDEX(회차설정!$C$13:$C$27,$S$1404))*(자동계산!$A$4:$A$48&lt;=INDEX(회차설정!$D$13:$D$27,$S$1404))*자동계산!$C$4:$C$48)))</f>
        <v/>
      </c>
      <c r="E1414" s="14">
        <f>IF(OR($S$1404="",$R$1397=""),"",SUM(OFFSET(전체채점!$AW$2,$R$1397,INDEX(회차설정!$C$13:$C$27,$S$1404),1,INDEX(회차설정!$D$13:$D$27,$S$1404)-INDEX(회차설정!$C$13:$C$27,$S$1404)+1)))</f>
        <v/>
      </c>
      <c r="F1414" s="46">
        <f>IF(OR($S$1404="",$D1414=0,$D1414="",$E1414=""),"",$E1414/$D1414*100)</f>
        <v/>
      </c>
      <c r="G1414" s="8" t="n"/>
      <c r="H1414" s="47">
        <f>IF($F1414="","",REPT("■",ROUND($F1414/5,0)))</f>
        <v/>
      </c>
      <c r="I1414" s="7" t="n"/>
      <c r="J1414" s="7" t="n"/>
      <c r="K1414" s="7" t="n"/>
      <c r="L1414" s="7" t="n"/>
      <c r="M1414" s="7" t="n"/>
      <c r="N1414" s="7" t="n"/>
      <c r="O1414" s="7" t="n"/>
      <c r="P1414" s="8" t="n"/>
    </row>
    <row r="1415">
      <c r="A1415" s="14">
        <f>IF($S$1405="","",INDEX(회차설정!$A$13:$A$27,$S$1405))</f>
        <v/>
      </c>
      <c r="B1415" s="14">
        <f>IF($S$1405="","",INDEX(회차설정!$B$13:$B$27,$S$1405))</f>
        <v/>
      </c>
      <c r="C1415" s="8" t="n"/>
      <c r="D1415" s="14">
        <f>IF($S$1405="","",IF($R$1398="언어와 매체",SUMPRODUCT((자동계산!$A$4:$A$48&gt;=INDEX(회차설정!$C$13:$C$27,$S$1405))*(자동계산!$A$4:$A$48&lt;=INDEX(회차설정!$D$13:$D$27,$S$1405))*자동계산!$E$4:$E$48),SUMPRODUCT((자동계산!$A$4:$A$48&gt;=INDEX(회차설정!$C$13:$C$27,$S$1405))*(자동계산!$A$4:$A$48&lt;=INDEX(회차설정!$D$13:$D$27,$S$1405))*자동계산!$C$4:$C$48)))</f>
        <v/>
      </c>
      <c r="E1415" s="14">
        <f>IF(OR($S$1405="",$R$1397=""),"",SUM(OFFSET(전체채점!$AW$2,$R$1397,INDEX(회차설정!$C$13:$C$27,$S$1405),1,INDEX(회차설정!$D$13:$D$27,$S$1405)-INDEX(회차설정!$C$13:$C$27,$S$1405)+1)))</f>
        <v/>
      </c>
      <c r="F1415" s="46">
        <f>IF(OR($S$1405="",$D1415=0,$D1415="",$E1415=""),"",$E1415/$D1415*100)</f>
        <v/>
      </c>
      <c r="G1415" s="8" t="n"/>
      <c r="H1415" s="47">
        <f>IF($F1415="","",REPT("■",ROUND($F1415/5,0)))</f>
        <v/>
      </c>
      <c r="I1415" s="7" t="n"/>
      <c r="J1415" s="7" t="n"/>
      <c r="K1415" s="7" t="n"/>
      <c r="L1415" s="7" t="n"/>
      <c r="M1415" s="7" t="n"/>
      <c r="N1415" s="7" t="n"/>
      <c r="O1415" s="7" t="n"/>
      <c r="P1415" s="8" t="n"/>
    </row>
    <row r="1416">
      <c r="A1416" s="14">
        <f>IF($S$1406="","",INDEX(회차설정!$A$13:$A$27,$S$1406))</f>
        <v/>
      </c>
      <c r="B1416" s="14">
        <f>IF($S$1406="","",INDEX(회차설정!$B$13:$B$27,$S$1406))</f>
        <v/>
      </c>
      <c r="C1416" s="8" t="n"/>
      <c r="D1416" s="14">
        <f>IF($S$1406="","",IF($R$1398="언어와 매체",SUMPRODUCT((자동계산!$A$4:$A$48&gt;=INDEX(회차설정!$C$13:$C$27,$S$1406))*(자동계산!$A$4:$A$48&lt;=INDEX(회차설정!$D$13:$D$27,$S$1406))*자동계산!$E$4:$E$48),SUMPRODUCT((자동계산!$A$4:$A$48&gt;=INDEX(회차설정!$C$13:$C$27,$S$1406))*(자동계산!$A$4:$A$48&lt;=INDEX(회차설정!$D$13:$D$27,$S$1406))*자동계산!$C$4:$C$48)))</f>
        <v/>
      </c>
      <c r="E1416" s="14">
        <f>IF(OR($S$1406="",$R$1397=""),"",SUM(OFFSET(전체채점!$AW$2,$R$1397,INDEX(회차설정!$C$13:$C$27,$S$1406),1,INDEX(회차설정!$D$13:$D$27,$S$1406)-INDEX(회차설정!$C$13:$C$27,$S$1406)+1)))</f>
        <v/>
      </c>
      <c r="F1416" s="46">
        <f>IF(OR($S$1406="",$D1416=0,$D1416="",$E1416=""),"",$E1416/$D1416*100)</f>
        <v/>
      </c>
      <c r="G1416" s="8" t="n"/>
      <c r="H1416" s="47">
        <f>IF($F1416="","",REPT("■",ROUND($F1416/5,0)))</f>
        <v/>
      </c>
      <c r="I1416" s="7" t="n"/>
      <c r="J1416" s="7" t="n"/>
      <c r="K1416" s="7" t="n"/>
      <c r="L1416" s="7" t="n"/>
      <c r="M1416" s="7" t="n"/>
      <c r="N1416" s="7" t="n"/>
      <c r="O1416" s="7" t="n"/>
      <c r="P1416" s="8" t="n"/>
    </row>
    <row r="1417">
      <c r="A1417" s="14">
        <f>IF($S$1407="","",INDEX(회차설정!$A$13:$A$27,$S$1407))</f>
        <v/>
      </c>
      <c r="B1417" s="14">
        <f>IF($S$1407="","",INDEX(회차설정!$B$13:$B$27,$S$1407))</f>
        <v/>
      </c>
      <c r="C1417" s="8" t="n"/>
      <c r="D1417" s="14">
        <f>IF($S$1407="","",IF($R$1398="언어와 매체",SUMPRODUCT((자동계산!$A$4:$A$48&gt;=INDEX(회차설정!$C$13:$C$27,$S$1407))*(자동계산!$A$4:$A$48&lt;=INDEX(회차설정!$D$13:$D$27,$S$1407))*자동계산!$E$4:$E$48),SUMPRODUCT((자동계산!$A$4:$A$48&gt;=INDEX(회차설정!$C$13:$C$27,$S$1407))*(자동계산!$A$4:$A$48&lt;=INDEX(회차설정!$D$13:$D$27,$S$1407))*자동계산!$C$4:$C$48)))</f>
        <v/>
      </c>
      <c r="E1417" s="14">
        <f>IF(OR($S$1407="",$R$1397=""),"",SUM(OFFSET(전체채점!$AW$2,$R$1397,INDEX(회차설정!$C$13:$C$27,$S$1407),1,INDEX(회차설정!$D$13:$D$27,$S$1407)-INDEX(회차설정!$C$13:$C$27,$S$1407)+1)))</f>
        <v/>
      </c>
      <c r="F1417" s="46">
        <f>IF(OR($S$1407="",$D1417=0,$D1417="",$E1417=""),"",$E1417/$D1417*100)</f>
        <v/>
      </c>
      <c r="G1417" s="8" t="n"/>
      <c r="H1417" s="47">
        <f>IF($F1417="","",REPT("■",ROUND($F1417/5,0)))</f>
        <v/>
      </c>
      <c r="I1417" s="7" t="n"/>
      <c r="J1417" s="7" t="n"/>
      <c r="K1417" s="7" t="n"/>
      <c r="L1417" s="7" t="n"/>
      <c r="M1417" s="7" t="n"/>
      <c r="N1417" s="7" t="n"/>
      <c r="O1417" s="7" t="n"/>
      <c r="P1417" s="8" t="n"/>
    </row>
    <row r="1418">
      <c r="A1418" s="14">
        <f>IF($S$1408="","",INDEX(회차설정!$A$13:$A$27,$S$1408))</f>
        <v/>
      </c>
      <c r="B1418" s="14">
        <f>IF($S$1408="","",INDEX(회차설정!$B$13:$B$27,$S$1408))</f>
        <v/>
      </c>
      <c r="C1418" s="8" t="n"/>
      <c r="D1418" s="14">
        <f>IF($S$1408="","",IF($R$1398="언어와 매체",SUMPRODUCT((자동계산!$A$4:$A$48&gt;=INDEX(회차설정!$C$13:$C$27,$S$1408))*(자동계산!$A$4:$A$48&lt;=INDEX(회차설정!$D$13:$D$27,$S$1408))*자동계산!$E$4:$E$48),SUMPRODUCT((자동계산!$A$4:$A$48&gt;=INDEX(회차설정!$C$13:$C$27,$S$1408))*(자동계산!$A$4:$A$48&lt;=INDEX(회차설정!$D$13:$D$27,$S$1408))*자동계산!$C$4:$C$48)))</f>
        <v/>
      </c>
      <c r="E1418" s="14">
        <f>IF(OR($S$1408="",$R$1397=""),"",SUM(OFFSET(전체채점!$AW$2,$R$1397,INDEX(회차설정!$C$13:$C$27,$S$1408),1,INDEX(회차설정!$D$13:$D$27,$S$1408)-INDEX(회차설정!$C$13:$C$27,$S$1408)+1)))</f>
        <v/>
      </c>
      <c r="F1418" s="46">
        <f>IF(OR($S$1408="",$D1418=0,$D1418="",$E1418=""),"",$E1418/$D1418*100)</f>
        <v/>
      </c>
      <c r="G1418" s="8" t="n"/>
      <c r="H1418" s="47">
        <f>IF($F1418="","",REPT("■",ROUND($F1418/5,0)))</f>
        <v/>
      </c>
      <c r="I1418" s="7" t="n"/>
      <c r="J1418" s="7" t="n"/>
      <c r="K1418" s="7" t="n"/>
      <c r="L1418" s="7" t="n"/>
      <c r="M1418" s="7" t="n"/>
      <c r="N1418" s="7" t="n"/>
      <c r="O1418" s="7" t="n"/>
      <c r="P1418" s="8" t="n"/>
    </row>
    <row r="1419">
      <c r="A1419" s="5">
        <f>IF($R$1397="","","합계")</f>
        <v/>
      </c>
      <c r="B1419" s="7" t="n"/>
      <c r="C1419" s="8" t="n"/>
      <c r="D1419" s="5">
        <f>IF($R$1397="","",SUM(D1407:D1418))</f>
        <v/>
      </c>
      <c r="E1419" s="5">
        <f>IF($R$1397="","",SUM(E1407:E1418))</f>
        <v/>
      </c>
      <c r="F1419" s="48">
        <f>IF(OR($D1419=0,$D1419=""),"",$E1419/$D1419*100)</f>
        <v/>
      </c>
      <c r="G1419" s="8" t="n"/>
      <c r="H1419" s="49">
        <f>IF($F1419="","",REPT("■",ROUND($F1419/5,0)))</f>
        <v/>
      </c>
      <c r="I1419" s="7" t="n"/>
      <c r="J1419" s="7" t="n"/>
      <c r="K1419" s="7" t="n"/>
      <c r="L1419" s="7" t="n"/>
      <c r="M1419" s="7" t="n"/>
      <c r="N1419" s="7" t="n"/>
      <c r="O1419" s="7" t="n"/>
      <c r="P1419" s="8" t="n"/>
    </row>
    <row r="1421">
      <c r="A1421" s="12" t="inlineStr">
        <is>
          <t>4. 문항 채점표</t>
        </is>
      </c>
    </row>
    <row r="1422">
      <c r="A1422" s="50" t="inlineStr">
        <is>
          <t>문항 번호</t>
        </is>
      </c>
      <c r="B1422" s="51" t="n">
        <v>1</v>
      </c>
      <c r="C1422" s="51" t="n">
        <v>2</v>
      </c>
      <c r="D1422" s="51" t="n">
        <v>3</v>
      </c>
      <c r="E1422" s="51" t="n">
        <v>4</v>
      </c>
      <c r="F1422" s="51" t="n">
        <v>5</v>
      </c>
      <c r="G1422" s="51" t="n">
        <v>6</v>
      </c>
      <c r="H1422" s="51" t="n">
        <v>7</v>
      </c>
      <c r="I1422" s="51" t="n">
        <v>8</v>
      </c>
      <c r="J1422" s="51" t="n">
        <v>9</v>
      </c>
      <c r="K1422" s="51" t="n">
        <v>10</v>
      </c>
      <c r="L1422" s="51" t="n">
        <v>11</v>
      </c>
      <c r="M1422" s="51" t="n">
        <v>12</v>
      </c>
      <c r="N1422" s="51" t="n">
        <v>13</v>
      </c>
      <c r="O1422" s="51" t="n">
        <v>14</v>
      </c>
      <c r="P1422" s="51" t="n">
        <v>15</v>
      </c>
    </row>
    <row r="1423">
      <c r="A1423" s="52" t="inlineStr">
        <is>
          <t>정답</t>
        </is>
      </c>
      <c r="B1423" s="33">
        <f>IF($R$1398="","",IF($R$1398="언어와 매체",자동계산!$D$4,자동계산!$B$4))</f>
        <v/>
      </c>
      <c r="C1423" s="33">
        <f>IF($R$1398="","",IF($R$1398="언어와 매체",자동계산!$D$5,자동계산!$B$5))</f>
        <v/>
      </c>
      <c r="D1423" s="33">
        <f>IF($R$1398="","",IF($R$1398="언어와 매체",자동계산!$D$6,자동계산!$B$6))</f>
        <v/>
      </c>
      <c r="E1423" s="33">
        <f>IF($R$1398="","",IF($R$1398="언어와 매체",자동계산!$D$7,자동계산!$B$7))</f>
        <v/>
      </c>
      <c r="F1423" s="33">
        <f>IF($R$1398="","",IF($R$1398="언어와 매체",자동계산!$D$8,자동계산!$B$8))</f>
        <v/>
      </c>
      <c r="G1423" s="33">
        <f>IF($R$1398="","",IF($R$1398="언어와 매체",자동계산!$D$9,자동계산!$B$9))</f>
        <v/>
      </c>
      <c r="H1423" s="33">
        <f>IF($R$1398="","",IF($R$1398="언어와 매체",자동계산!$D$10,자동계산!$B$10))</f>
        <v/>
      </c>
      <c r="I1423" s="33">
        <f>IF($R$1398="","",IF($R$1398="언어와 매체",자동계산!$D$11,자동계산!$B$11))</f>
        <v/>
      </c>
      <c r="J1423" s="33">
        <f>IF($R$1398="","",IF($R$1398="언어와 매체",자동계산!$D$12,자동계산!$B$12))</f>
        <v/>
      </c>
      <c r="K1423" s="33">
        <f>IF($R$1398="","",IF($R$1398="언어와 매체",자동계산!$D$13,자동계산!$B$13))</f>
        <v/>
      </c>
      <c r="L1423" s="33">
        <f>IF($R$1398="","",IF($R$1398="언어와 매체",자동계산!$D$14,자동계산!$B$14))</f>
        <v/>
      </c>
      <c r="M1423" s="33">
        <f>IF($R$1398="","",IF($R$1398="언어와 매체",자동계산!$D$15,자동계산!$B$15))</f>
        <v/>
      </c>
      <c r="N1423" s="33">
        <f>IF($R$1398="","",IF($R$1398="언어와 매체",자동계산!$D$16,자동계산!$B$16))</f>
        <v/>
      </c>
      <c r="O1423" s="33">
        <f>IF($R$1398="","",IF($R$1398="언어와 매체",자동계산!$D$17,자동계산!$B$17))</f>
        <v/>
      </c>
      <c r="P1423" s="33">
        <f>IF($R$1398="","",IF($R$1398="언어와 매체",자동계산!$D$18,자동계산!$B$18))</f>
        <v/>
      </c>
    </row>
    <row r="1424">
      <c r="A1424" s="52" t="inlineStr">
        <is>
          <t>학생답안</t>
        </is>
      </c>
      <c r="B1424" s="33">
        <f>IF($R$1397="","",INDEX(전체채점!E$3:E$62,$R$1397))</f>
        <v/>
      </c>
      <c r="C1424" s="33">
        <f>IF($R$1397="","",INDEX(전체채점!F$3:F$62,$R$1397))</f>
        <v/>
      </c>
      <c r="D1424" s="33">
        <f>IF($R$1397="","",INDEX(전체채점!G$3:G$62,$R$1397))</f>
        <v/>
      </c>
      <c r="E1424" s="33">
        <f>IF($R$1397="","",INDEX(전체채점!H$3:H$62,$R$1397))</f>
        <v/>
      </c>
      <c r="F1424" s="33">
        <f>IF($R$1397="","",INDEX(전체채점!I$3:I$62,$R$1397))</f>
        <v/>
      </c>
      <c r="G1424" s="33">
        <f>IF($R$1397="","",INDEX(전체채점!J$3:J$62,$R$1397))</f>
        <v/>
      </c>
      <c r="H1424" s="33">
        <f>IF($R$1397="","",INDEX(전체채점!K$3:K$62,$R$1397))</f>
        <v/>
      </c>
      <c r="I1424" s="33">
        <f>IF($R$1397="","",INDEX(전체채점!L$3:L$62,$R$1397))</f>
        <v/>
      </c>
      <c r="J1424" s="33">
        <f>IF($R$1397="","",INDEX(전체채점!M$3:M$62,$R$1397))</f>
        <v/>
      </c>
      <c r="K1424" s="33">
        <f>IF($R$1397="","",INDEX(전체채점!N$3:N$62,$R$1397))</f>
        <v/>
      </c>
      <c r="L1424" s="33">
        <f>IF($R$1397="","",INDEX(전체채점!O$3:O$62,$R$1397))</f>
        <v/>
      </c>
      <c r="M1424" s="33">
        <f>IF($R$1397="","",INDEX(전체채점!P$3:P$62,$R$1397))</f>
        <v/>
      </c>
      <c r="N1424" s="33">
        <f>IF($R$1397="","",INDEX(전체채점!Q$3:Q$62,$R$1397))</f>
        <v/>
      </c>
      <c r="O1424" s="33">
        <f>IF($R$1397="","",INDEX(전체채점!R$3:R$62,$R$1397))</f>
        <v/>
      </c>
      <c r="P1424" s="33">
        <f>IF($R$1397="","",INDEX(전체채점!S$3:S$62,$R$1397))</f>
        <v/>
      </c>
    </row>
    <row r="1425">
      <c r="A1425" s="52" t="inlineStr">
        <is>
          <t>정오</t>
        </is>
      </c>
      <c r="B1425" s="33">
        <f>IF($R$1397="","",INDEX(전체채점!AX$3:AX$62,$R$1397))</f>
        <v/>
      </c>
      <c r="C1425" s="33">
        <f>IF($R$1397="","",INDEX(전체채점!AY$3:AY$62,$R$1397))</f>
        <v/>
      </c>
      <c r="D1425" s="33">
        <f>IF($R$1397="","",INDEX(전체채점!AZ$3:AZ$62,$R$1397))</f>
        <v/>
      </c>
      <c r="E1425" s="33">
        <f>IF($R$1397="","",INDEX(전체채점!BA$3:BA$62,$R$1397))</f>
        <v/>
      </c>
      <c r="F1425" s="33">
        <f>IF($R$1397="","",INDEX(전체채점!BB$3:BB$62,$R$1397))</f>
        <v/>
      </c>
      <c r="G1425" s="33">
        <f>IF($R$1397="","",INDEX(전체채점!BC$3:BC$62,$R$1397))</f>
        <v/>
      </c>
      <c r="H1425" s="33">
        <f>IF($R$1397="","",INDEX(전체채점!BD$3:BD$62,$R$1397))</f>
        <v/>
      </c>
      <c r="I1425" s="33">
        <f>IF($R$1397="","",INDEX(전체채점!BE$3:BE$62,$R$1397))</f>
        <v/>
      </c>
      <c r="J1425" s="33">
        <f>IF($R$1397="","",INDEX(전체채점!BF$3:BF$62,$R$1397))</f>
        <v/>
      </c>
      <c r="K1425" s="33">
        <f>IF($R$1397="","",INDEX(전체채점!BG$3:BG$62,$R$1397))</f>
        <v/>
      </c>
      <c r="L1425" s="33">
        <f>IF($R$1397="","",INDEX(전체채점!BH$3:BH$62,$R$1397))</f>
        <v/>
      </c>
      <c r="M1425" s="33">
        <f>IF($R$1397="","",INDEX(전체채점!BI$3:BI$62,$R$1397))</f>
        <v/>
      </c>
      <c r="N1425" s="33">
        <f>IF($R$1397="","",INDEX(전체채점!BJ$3:BJ$62,$R$1397))</f>
        <v/>
      </c>
      <c r="O1425" s="33">
        <f>IF($R$1397="","",INDEX(전체채점!BK$3:BK$62,$R$1397))</f>
        <v/>
      </c>
      <c r="P1425" s="33">
        <f>IF($R$1397="","",INDEX(전체채점!BL$3:BL$62,$R$1397))</f>
        <v/>
      </c>
    </row>
    <row r="1426">
      <c r="A1426" s="50" t="inlineStr">
        <is>
          <t>문항 번호</t>
        </is>
      </c>
      <c r="B1426" s="51" t="n">
        <v>16</v>
      </c>
      <c r="C1426" s="51" t="n">
        <v>17</v>
      </c>
      <c r="D1426" s="51" t="n">
        <v>18</v>
      </c>
      <c r="E1426" s="51" t="n">
        <v>19</v>
      </c>
      <c r="F1426" s="51" t="n">
        <v>20</v>
      </c>
      <c r="G1426" s="51" t="n">
        <v>21</v>
      </c>
      <c r="H1426" s="51" t="n">
        <v>22</v>
      </c>
      <c r="I1426" s="51" t="n">
        <v>23</v>
      </c>
      <c r="J1426" s="51" t="n">
        <v>24</v>
      </c>
      <c r="K1426" s="51" t="n">
        <v>25</v>
      </c>
      <c r="L1426" s="51" t="n">
        <v>26</v>
      </c>
      <c r="M1426" s="51" t="n">
        <v>27</v>
      </c>
      <c r="N1426" s="51" t="n">
        <v>28</v>
      </c>
      <c r="O1426" s="51" t="n">
        <v>29</v>
      </c>
      <c r="P1426" s="51" t="n">
        <v>30</v>
      </c>
    </row>
    <row r="1427">
      <c r="A1427" s="52" t="inlineStr">
        <is>
          <t>정답</t>
        </is>
      </c>
      <c r="B1427" s="33">
        <f>IF($R$1398="","",IF($R$1398="언어와 매체",자동계산!$D$19,자동계산!$B$19))</f>
        <v/>
      </c>
      <c r="C1427" s="33">
        <f>IF($R$1398="","",IF($R$1398="언어와 매체",자동계산!$D$20,자동계산!$B$20))</f>
        <v/>
      </c>
      <c r="D1427" s="33">
        <f>IF($R$1398="","",IF($R$1398="언어와 매체",자동계산!$D$21,자동계산!$B$21))</f>
        <v/>
      </c>
      <c r="E1427" s="33">
        <f>IF($R$1398="","",IF($R$1398="언어와 매체",자동계산!$D$22,자동계산!$B$22))</f>
        <v/>
      </c>
      <c r="F1427" s="33">
        <f>IF($R$1398="","",IF($R$1398="언어와 매체",자동계산!$D$23,자동계산!$B$23))</f>
        <v/>
      </c>
      <c r="G1427" s="33">
        <f>IF($R$1398="","",IF($R$1398="언어와 매체",자동계산!$D$24,자동계산!$B$24))</f>
        <v/>
      </c>
      <c r="H1427" s="33">
        <f>IF($R$1398="","",IF($R$1398="언어와 매체",자동계산!$D$25,자동계산!$B$25))</f>
        <v/>
      </c>
      <c r="I1427" s="33">
        <f>IF($R$1398="","",IF($R$1398="언어와 매체",자동계산!$D$26,자동계산!$B$26))</f>
        <v/>
      </c>
      <c r="J1427" s="33">
        <f>IF($R$1398="","",IF($R$1398="언어와 매체",자동계산!$D$27,자동계산!$B$27))</f>
        <v/>
      </c>
      <c r="K1427" s="33">
        <f>IF($R$1398="","",IF($R$1398="언어와 매체",자동계산!$D$28,자동계산!$B$28))</f>
        <v/>
      </c>
      <c r="L1427" s="33">
        <f>IF($R$1398="","",IF($R$1398="언어와 매체",자동계산!$D$29,자동계산!$B$29))</f>
        <v/>
      </c>
      <c r="M1427" s="33">
        <f>IF($R$1398="","",IF($R$1398="언어와 매체",자동계산!$D$30,자동계산!$B$30))</f>
        <v/>
      </c>
      <c r="N1427" s="33">
        <f>IF($R$1398="","",IF($R$1398="언어와 매체",자동계산!$D$31,자동계산!$B$31))</f>
        <v/>
      </c>
      <c r="O1427" s="33">
        <f>IF($R$1398="","",IF($R$1398="언어와 매체",자동계산!$D$32,자동계산!$B$32))</f>
        <v/>
      </c>
      <c r="P1427" s="33">
        <f>IF($R$1398="","",IF($R$1398="언어와 매체",자동계산!$D$33,자동계산!$B$33))</f>
        <v/>
      </c>
    </row>
    <row r="1428">
      <c r="A1428" s="52" t="inlineStr">
        <is>
          <t>학생답안</t>
        </is>
      </c>
      <c r="B1428" s="33">
        <f>IF($R$1397="","",INDEX(전체채점!T$3:T$62,$R$1397))</f>
        <v/>
      </c>
      <c r="C1428" s="33">
        <f>IF($R$1397="","",INDEX(전체채점!U$3:U$62,$R$1397))</f>
        <v/>
      </c>
      <c r="D1428" s="33">
        <f>IF($R$1397="","",INDEX(전체채점!V$3:V$62,$R$1397))</f>
        <v/>
      </c>
      <c r="E1428" s="33">
        <f>IF($R$1397="","",INDEX(전체채점!W$3:W$62,$R$1397))</f>
        <v/>
      </c>
      <c r="F1428" s="33">
        <f>IF($R$1397="","",INDEX(전체채점!X$3:X$62,$R$1397))</f>
        <v/>
      </c>
      <c r="G1428" s="33">
        <f>IF($R$1397="","",INDEX(전체채점!Y$3:Y$62,$R$1397))</f>
        <v/>
      </c>
      <c r="H1428" s="33">
        <f>IF($R$1397="","",INDEX(전체채점!Z$3:Z$62,$R$1397))</f>
        <v/>
      </c>
      <c r="I1428" s="33">
        <f>IF($R$1397="","",INDEX(전체채점!AA$3:AA$62,$R$1397))</f>
        <v/>
      </c>
      <c r="J1428" s="33">
        <f>IF($R$1397="","",INDEX(전체채점!AB$3:AB$62,$R$1397))</f>
        <v/>
      </c>
      <c r="K1428" s="33">
        <f>IF($R$1397="","",INDEX(전체채점!AC$3:AC$62,$R$1397))</f>
        <v/>
      </c>
      <c r="L1428" s="33">
        <f>IF($R$1397="","",INDEX(전체채점!AD$3:AD$62,$R$1397))</f>
        <v/>
      </c>
      <c r="M1428" s="33">
        <f>IF($R$1397="","",INDEX(전체채점!AE$3:AE$62,$R$1397))</f>
        <v/>
      </c>
      <c r="N1428" s="33">
        <f>IF($R$1397="","",INDEX(전체채점!AF$3:AF$62,$R$1397))</f>
        <v/>
      </c>
      <c r="O1428" s="33">
        <f>IF($R$1397="","",INDEX(전체채점!AG$3:AG$62,$R$1397))</f>
        <v/>
      </c>
      <c r="P1428" s="33">
        <f>IF($R$1397="","",INDEX(전체채점!AH$3:AH$62,$R$1397))</f>
        <v/>
      </c>
    </row>
    <row r="1429">
      <c r="A1429" s="52" t="inlineStr">
        <is>
          <t>정오</t>
        </is>
      </c>
      <c r="B1429" s="33">
        <f>IF($R$1397="","",INDEX(전체채점!BM$3:BM$62,$R$1397))</f>
        <v/>
      </c>
      <c r="C1429" s="33">
        <f>IF($R$1397="","",INDEX(전체채점!BN$3:BN$62,$R$1397))</f>
        <v/>
      </c>
      <c r="D1429" s="33">
        <f>IF($R$1397="","",INDEX(전체채점!BO$3:BO$62,$R$1397))</f>
        <v/>
      </c>
      <c r="E1429" s="33">
        <f>IF($R$1397="","",INDEX(전체채점!BP$3:BP$62,$R$1397))</f>
        <v/>
      </c>
      <c r="F1429" s="33">
        <f>IF($R$1397="","",INDEX(전체채점!BQ$3:BQ$62,$R$1397))</f>
        <v/>
      </c>
      <c r="G1429" s="33">
        <f>IF($R$1397="","",INDEX(전체채점!BR$3:BR$62,$R$1397))</f>
        <v/>
      </c>
      <c r="H1429" s="33">
        <f>IF($R$1397="","",INDEX(전체채점!BS$3:BS$62,$R$1397))</f>
        <v/>
      </c>
      <c r="I1429" s="33">
        <f>IF($R$1397="","",INDEX(전체채점!BT$3:BT$62,$R$1397))</f>
        <v/>
      </c>
      <c r="J1429" s="33">
        <f>IF($R$1397="","",INDEX(전체채점!BU$3:BU$62,$R$1397))</f>
        <v/>
      </c>
      <c r="K1429" s="33">
        <f>IF($R$1397="","",INDEX(전체채점!BV$3:BV$62,$R$1397))</f>
        <v/>
      </c>
      <c r="L1429" s="33">
        <f>IF($R$1397="","",INDEX(전체채점!BW$3:BW$62,$R$1397))</f>
        <v/>
      </c>
      <c r="M1429" s="33">
        <f>IF($R$1397="","",INDEX(전체채점!BX$3:BX$62,$R$1397))</f>
        <v/>
      </c>
      <c r="N1429" s="33">
        <f>IF($R$1397="","",INDEX(전체채점!BY$3:BY$62,$R$1397))</f>
        <v/>
      </c>
      <c r="O1429" s="33">
        <f>IF($R$1397="","",INDEX(전체채점!BZ$3:BZ$62,$R$1397))</f>
        <v/>
      </c>
      <c r="P1429" s="33">
        <f>IF($R$1397="","",INDEX(전체채점!CA$3:CA$62,$R$1397))</f>
        <v/>
      </c>
    </row>
    <row r="1430">
      <c r="A1430" s="50" t="inlineStr">
        <is>
          <t>문항 번호</t>
        </is>
      </c>
      <c r="B1430" s="51" t="n">
        <v>31</v>
      </c>
      <c r="C1430" s="51" t="n">
        <v>32</v>
      </c>
      <c r="D1430" s="51" t="n">
        <v>33</v>
      </c>
      <c r="E1430" s="51" t="n">
        <v>34</v>
      </c>
      <c r="F1430" s="51" t="n">
        <v>35</v>
      </c>
      <c r="G1430" s="51" t="n">
        <v>36</v>
      </c>
      <c r="H1430" s="51" t="n">
        <v>37</v>
      </c>
      <c r="I1430" s="51" t="n">
        <v>38</v>
      </c>
      <c r="J1430" s="51" t="n">
        <v>39</v>
      </c>
      <c r="K1430" s="51" t="n">
        <v>40</v>
      </c>
      <c r="L1430" s="51" t="n">
        <v>41</v>
      </c>
      <c r="M1430" s="51" t="n">
        <v>42</v>
      </c>
      <c r="N1430" s="51" t="n">
        <v>43</v>
      </c>
      <c r="O1430" s="51" t="n">
        <v>44</v>
      </c>
      <c r="P1430" s="51" t="n">
        <v>45</v>
      </c>
    </row>
    <row r="1431">
      <c r="A1431" s="52" t="inlineStr">
        <is>
          <t>정답</t>
        </is>
      </c>
      <c r="B1431" s="33">
        <f>IF($R$1398="","",IF($R$1398="언어와 매체",자동계산!$D$34,자동계산!$B$34))</f>
        <v/>
      </c>
      <c r="C1431" s="33">
        <f>IF($R$1398="","",IF($R$1398="언어와 매체",자동계산!$D$35,자동계산!$B$35))</f>
        <v/>
      </c>
      <c r="D1431" s="33">
        <f>IF($R$1398="","",IF($R$1398="언어와 매체",자동계산!$D$36,자동계산!$B$36))</f>
        <v/>
      </c>
      <c r="E1431" s="33">
        <f>IF($R$1398="","",IF($R$1398="언어와 매체",자동계산!$D$37,자동계산!$B$37))</f>
        <v/>
      </c>
      <c r="F1431" s="33">
        <f>IF($R$1398="","",IF($R$1398="언어와 매체",자동계산!$D$38,자동계산!$B$38))</f>
        <v/>
      </c>
      <c r="G1431" s="33">
        <f>IF($R$1398="","",IF($R$1398="언어와 매체",자동계산!$D$39,자동계산!$B$39))</f>
        <v/>
      </c>
      <c r="H1431" s="33">
        <f>IF($R$1398="","",IF($R$1398="언어와 매체",자동계산!$D$40,자동계산!$B$40))</f>
        <v/>
      </c>
      <c r="I1431" s="33">
        <f>IF($R$1398="","",IF($R$1398="언어와 매체",자동계산!$D$41,자동계산!$B$41))</f>
        <v/>
      </c>
      <c r="J1431" s="33">
        <f>IF($R$1398="","",IF($R$1398="언어와 매체",자동계산!$D$42,자동계산!$B$42))</f>
        <v/>
      </c>
      <c r="K1431" s="33">
        <f>IF($R$1398="","",IF($R$1398="언어와 매체",자동계산!$D$43,자동계산!$B$43))</f>
        <v/>
      </c>
      <c r="L1431" s="33">
        <f>IF($R$1398="","",IF($R$1398="언어와 매체",자동계산!$D$44,자동계산!$B$44))</f>
        <v/>
      </c>
      <c r="M1431" s="33">
        <f>IF($R$1398="","",IF($R$1398="언어와 매체",자동계산!$D$45,자동계산!$B$45))</f>
        <v/>
      </c>
      <c r="N1431" s="33">
        <f>IF($R$1398="","",IF($R$1398="언어와 매체",자동계산!$D$46,자동계산!$B$46))</f>
        <v/>
      </c>
      <c r="O1431" s="33">
        <f>IF($R$1398="","",IF($R$1398="언어와 매체",자동계산!$D$47,자동계산!$B$47))</f>
        <v/>
      </c>
      <c r="P1431" s="33">
        <f>IF($R$1398="","",IF($R$1398="언어와 매체",자동계산!$D$48,자동계산!$B$48))</f>
        <v/>
      </c>
    </row>
    <row r="1432">
      <c r="A1432" s="52" t="inlineStr">
        <is>
          <t>학생답안</t>
        </is>
      </c>
      <c r="B1432" s="33">
        <f>IF($R$1397="","",INDEX(전체채점!AI$3:AI$62,$R$1397))</f>
        <v/>
      </c>
      <c r="C1432" s="33">
        <f>IF($R$1397="","",INDEX(전체채점!AJ$3:AJ$62,$R$1397))</f>
        <v/>
      </c>
      <c r="D1432" s="33">
        <f>IF($R$1397="","",INDEX(전체채점!AK$3:AK$62,$R$1397))</f>
        <v/>
      </c>
      <c r="E1432" s="33">
        <f>IF($R$1397="","",INDEX(전체채점!AL$3:AL$62,$R$1397))</f>
        <v/>
      </c>
      <c r="F1432" s="33">
        <f>IF($R$1397="","",INDEX(전체채점!AM$3:AM$62,$R$1397))</f>
        <v/>
      </c>
      <c r="G1432" s="33">
        <f>IF($R$1397="","",INDEX(전체채점!AN$3:AN$62,$R$1397))</f>
        <v/>
      </c>
      <c r="H1432" s="33">
        <f>IF($R$1397="","",INDEX(전체채점!AO$3:AO$62,$R$1397))</f>
        <v/>
      </c>
      <c r="I1432" s="33">
        <f>IF($R$1397="","",INDEX(전체채점!AP$3:AP$62,$R$1397))</f>
        <v/>
      </c>
      <c r="J1432" s="33">
        <f>IF($R$1397="","",INDEX(전체채점!AQ$3:AQ$62,$R$1397))</f>
        <v/>
      </c>
      <c r="K1432" s="33">
        <f>IF($R$1397="","",INDEX(전체채점!AR$3:AR$62,$R$1397))</f>
        <v/>
      </c>
      <c r="L1432" s="33">
        <f>IF($R$1397="","",INDEX(전체채점!AS$3:AS$62,$R$1397))</f>
        <v/>
      </c>
      <c r="M1432" s="33">
        <f>IF($R$1397="","",INDEX(전체채점!AT$3:AT$62,$R$1397))</f>
        <v/>
      </c>
      <c r="N1432" s="33">
        <f>IF($R$1397="","",INDEX(전체채점!AU$3:AU$62,$R$1397))</f>
        <v/>
      </c>
      <c r="O1432" s="33">
        <f>IF($R$1397="","",INDEX(전체채점!AV$3:AV$62,$R$1397))</f>
        <v/>
      </c>
      <c r="P1432" s="33">
        <f>IF($R$1397="","",INDEX(전체채점!AW$3:AW$62,$R$1397))</f>
        <v/>
      </c>
    </row>
    <row r="1433">
      <c r="A1433" s="52" t="inlineStr">
        <is>
          <t>정오</t>
        </is>
      </c>
      <c r="B1433" s="33">
        <f>IF($R$1397="","",INDEX(전체채점!CB$3:CB$62,$R$1397))</f>
        <v/>
      </c>
      <c r="C1433" s="33">
        <f>IF($R$1397="","",INDEX(전체채점!CC$3:CC$62,$R$1397))</f>
        <v/>
      </c>
      <c r="D1433" s="33">
        <f>IF($R$1397="","",INDEX(전체채점!CD$3:CD$62,$R$1397))</f>
        <v/>
      </c>
      <c r="E1433" s="33">
        <f>IF($R$1397="","",INDEX(전체채점!CE$3:CE$62,$R$1397))</f>
        <v/>
      </c>
      <c r="F1433" s="33">
        <f>IF($R$1397="","",INDEX(전체채점!CF$3:CF$62,$R$1397))</f>
        <v/>
      </c>
      <c r="G1433" s="33">
        <f>IF($R$1397="","",INDEX(전체채점!CG$3:CG$62,$R$1397))</f>
        <v/>
      </c>
      <c r="H1433" s="33">
        <f>IF($R$1397="","",INDEX(전체채점!CH$3:CH$62,$R$1397))</f>
        <v/>
      </c>
      <c r="I1433" s="33">
        <f>IF($R$1397="","",INDEX(전체채점!CI$3:CI$62,$R$1397))</f>
        <v/>
      </c>
      <c r="J1433" s="33">
        <f>IF($R$1397="","",INDEX(전체채점!CJ$3:CJ$62,$R$1397))</f>
        <v/>
      </c>
      <c r="K1433" s="33">
        <f>IF($R$1397="","",INDEX(전체채점!CK$3:CK$62,$R$1397))</f>
        <v/>
      </c>
      <c r="L1433" s="33">
        <f>IF($R$1397="","",INDEX(전체채점!CL$3:CL$62,$R$1397))</f>
        <v/>
      </c>
      <c r="M1433" s="33">
        <f>IF($R$1397="","",INDEX(전체채점!CM$3:CM$62,$R$1397))</f>
        <v/>
      </c>
      <c r="N1433" s="33">
        <f>IF($R$1397="","",INDEX(전체채점!CN$3:CN$62,$R$1397))</f>
        <v/>
      </c>
      <c r="O1433" s="33">
        <f>IF($R$1397="","",INDEX(전체채점!CO$3:CO$62,$R$1397))</f>
        <v/>
      </c>
      <c r="P1433" s="33">
        <f>IF($R$1397="","",INDEX(전체채점!CP$3:CP$62,$R$1397))</f>
        <v/>
      </c>
    </row>
    <row r="1436" ht="34" customHeight="1">
      <c r="A1436" s="36">
        <f>IF($R$1438="","",회차설정!$B$2&amp;" 성적표")</f>
        <v/>
      </c>
    </row>
    <row r="1438">
      <c r="A1438" s="12" t="inlineStr">
        <is>
          <t>1. 학생정보</t>
        </is>
      </c>
      <c r="R1438" s="37">
        <f>IF(답안입력!$A$38="","",36)</f>
        <v/>
      </c>
      <c r="S1438" s="37">
        <f>IF($R$1439="","",IFERROR(IF($R$1439="언어와 매체",MATCH(1,회차설정!$G$13:$G$27,0),MATCH(1,회차설정!$F$13:$F$27,0)),""))</f>
        <v/>
      </c>
    </row>
    <row r="1439">
      <c r="A1439" s="13" t="inlineStr">
        <is>
          <t>성명</t>
        </is>
      </c>
      <c r="B1439" s="7" t="n"/>
      <c r="C1439" s="8" t="n"/>
      <c r="D1439" s="13" t="inlineStr">
        <is>
          <t>선택과목</t>
        </is>
      </c>
      <c r="E1439" s="7" t="n"/>
      <c r="F1439" s="7" t="n"/>
      <c r="G1439" s="8" t="n"/>
      <c r="H1439" s="13" t="inlineStr">
        <is>
          <t>학년</t>
        </is>
      </c>
      <c r="I1439" s="7" t="n"/>
      <c r="J1439" s="7" t="n"/>
      <c r="K1439" s="8" t="n"/>
      <c r="L1439" s="13" t="inlineStr">
        <is>
          <t>시행일</t>
        </is>
      </c>
      <c r="M1439" s="7" t="n"/>
      <c r="N1439" s="7" t="n"/>
      <c r="O1439" s="7" t="n"/>
      <c r="P1439" s="8" t="n"/>
      <c r="R1439" s="37">
        <f>IF($R$1438="","",INDEX(전체채점!$B$3:$B$62,$R$1438))</f>
        <v/>
      </c>
      <c r="S1439" s="37">
        <f>IF($R$1439="","",IFERROR(IF($R$1439="언어와 매체",MATCH(2,회차설정!$G$13:$G$27,0),MATCH(2,회차설정!$F$13:$F$27,0)),""))</f>
        <v/>
      </c>
    </row>
    <row r="1440" ht="26" customHeight="1">
      <c r="A1440" s="39">
        <f>IF($R$1438="","",INDEX(답안입력!$A$3:$A$62,$R$1438))</f>
        <v/>
      </c>
      <c r="B1440" s="7" t="n"/>
      <c r="C1440" s="8" t="n"/>
      <c r="D1440" s="39">
        <f>IF($R$1438="","",INDEX(답안입력!$C$3:$C$62,$R$1438))</f>
        <v/>
      </c>
      <c r="E1440" s="7" t="n"/>
      <c r="F1440" s="7" t="n"/>
      <c r="G1440" s="8" t="n"/>
      <c r="H1440" s="39">
        <f>IF($R$1438="","",INDEX(답안입력!$B$3:$B$62,$R$1438))</f>
        <v/>
      </c>
      <c r="I1440" s="7" t="n"/>
      <c r="J1440" s="7" t="n"/>
      <c r="K1440" s="8" t="n"/>
      <c r="L1440" s="40">
        <f>회차설정!$B$3</f>
        <v/>
      </c>
      <c r="M1440" s="7" t="n"/>
      <c r="N1440" s="7" t="n"/>
      <c r="O1440" s="7" t="n"/>
      <c r="P1440" s="8" t="n"/>
      <c r="R1440" s="37">
        <f>IF($R$1439="언어와 매체",회차설정!$B$9,회차설정!$B$8)</f>
        <v/>
      </c>
      <c r="S1440" s="37">
        <f>IF($R$1439="","",IFERROR(IF($R$1439="언어와 매체",MATCH(3,회차설정!$G$13:$G$27,0),MATCH(3,회차설정!$F$13:$F$27,0)),""))</f>
        <v/>
      </c>
    </row>
    <row r="1441">
      <c r="R1441" s="37">
        <f>IF($R$1439="언어와 매체",회차설정!$C$9,회차설정!$C$8)</f>
        <v/>
      </c>
      <c r="S1441" s="37">
        <f>IF($R$1439="","",IFERROR(IF($R$1439="언어와 매체",MATCH(4,회차설정!$G$13:$G$27,0),MATCH(4,회차설정!$F$13:$F$27,0)),""))</f>
        <v/>
      </c>
    </row>
    <row r="1442">
      <c r="A1442" s="12" t="inlineStr">
        <is>
          <t>2. 성적</t>
        </is>
      </c>
      <c r="R1442" s="37">
        <f>IF($R$1439="언어와 매체",회차설정!$D$9,회차설정!$D$8)</f>
        <v/>
      </c>
      <c r="S1442" s="37">
        <f>IF($R$1439="","",IFERROR(IF($R$1439="언어와 매체",MATCH(5,회차설정!$G$13:$G$27,0),MATCH(5,회차설정!$F$13:$F$27,0)),""))</f>
        <v/>
      </c>
    </row>
    <row r="1443">
      <c r="A1443" s="13" t="inlineStr">
        <is>
          <t>점수 (100점 만점)</t>
        </is>
      </c>
      <c r="B1443" s="7" t="n"/>
      <c r="C1443" s="7" t="n"/>
      <c r="D1443" s="7" t="n"/>
      <c r="E1443" s="8" t="n"/>
      <c r="F1443" s="13" t="inlineStr">
        <is>
          <t>등급</t>
        </is>
      </c>
      <c r="G1443" s="7" t="n"/>
      <c r="H1443" s="8" t="n"/>
      <c r="I1443" s="13" t="inlineStr">
        <is>
          <t>등급컷</t>
        </is>
      </c>
      <c r="J1443" s="7" t="n"/>
      <c r="K1443" s="7" t="n"/>
      <c r="L1443" s="8" t="n"/>
      <c r="M1443" s="13" t="inlineStr">
        <is>
          <t>같은 선택과목 평균</t>
        </is>
      </c>
      <c r="N1443" s="7" t="n"/>
      <c r="O1443" s="7" t="n"/>
      <c r="P1443" s="8" t="n"/>
      <c r="R1443" s="37">
        <f>IF($R$1439="언어와 매체",회차설정!$E$9,회차설정!$E$8)</f>
        <v/>
      </c>
      <c r="S1443" s="37">
        <f>IF($R$1439="","",IFERROR(IF($R$1439="언어와 매체",MATCH(6,회차설정!$G$13:$G$27,0),MATCH(6,회차설정!$F$13:$F$27,0)),""))</f>
        <v/>
      </c>
    </row>
    <row r="1444" ht="34" customHeight="1">
      <c r="A1444" s="41">
        <f>IF($R$1438="","",INDEX(전체채점!$C$3:$C$62,$R$1438))</f>
        <v/>
      </c>
      <c r="B1444" s="7" t="n"/>
      <c r="C1444" s="7" t="n"/>
      <c r="D1444" s="7" t="n"/>
      <c r="E1444" s="8" t="n"/>
      <c r="F1444" s="42">
        <f>IF($R$1438="","",INDEX(전체채점!$D$3:$D$62,$R$1438))</f>
        <v/>
      </c>
      <c r="G1444" s="7" t="n"/>
      <c r="H1444" s="8" t="n"/>
      <c r="I1444" s="43">
        <f>IF($R$1438="","",$R$1440&amp;"-"&amp;$R$1441&amp;"-"&amp;$R$1442&amp;"-"&amp;$R$1443)</f>
        <v/>
      </c>
      <c r="J1444" s="7" t="n"/>
      <c r="K1444" s="7" t="n"/>
      <c r="L1444" s="8" t="n"/>
      <c r="M1444" s="44">
        <f>IFERROR(AVERAGEIF(전체채점!$B$3:$B$62,$R$1439,전체채점!$C$3:$C$62),"")</f>
        <v/>
      </c>
      <c r="N1444" s="7" t="n"/>
      <c r="O1444" s="7" t="n"/>
      <c r="P1444" s="8" t="n"/>
      <c r="S1444" s="37">
        <f>IF($R$1439="","",IFERROR(IF($R$1439="언어와 매체",MATCH(7,회차설정!$G$13:$G$27,0),MATCH(7,회차설정!$F$13:$F$27,0)),""))</f>
        <v/>
      </c>
    </row>
    <row r="1445">
      <c r="S1445" s="37">
        <f>IF($R$1439="","",IFERROR(IF($R$1439="언어와 매체",MATCH(8,회차설정!$G$13:$G$27,0),MATCH(8,회차설정!$F$13:$F$27,0)),""))</f>
        <v/>
      </c>
    </row>
    <row r="1446">
      <c r="A1446" s="12" t="inlineStr">
        <is>
          <t>3. 영역분류별 성취도 분석</t>
        </is>
      </c>
      <c r="F1446" s="45">
        <f>IF(OR($R$1438="",$E1460=""),"",IF($E1460=INDEX(전체채점!$C$3:$C$62,$R$1438),"","※ 회차설정의 영역 표를 확인하세요 — 영역 합계와 점수가 다릅니다"))</f>
        <v/>
      </c>
      <c r="S1446" s="37">
        <f>IF($R$1439="","",IFERROR(IF($R$1439="언어와 매체",MATCH(9,회차설정!$G$13:$G$27,0),MATCH(9,회차설정!$F$13:$F$27,0)),""))</f>
        <v/>
      </c>
    </row>
    <row r="1447">
      <c r="A1447" s="13" t="inlineStr">
        <is>
          <t>분류</t>
        </is>
      </c>
      <c r="B1447" s="13" t="inlineStr">
        <is>
          <t>영역</t>
        </is>
      </c>
      <c r="C1447" s="8" t="n"/>
      <c r="D1447" s="13" t="inlineStr">
        <is>
          <t>배점</t>
        </is>
      </c>
      <c r="E1447" s="13" t="inlineStr">
        <is>
          <t>득점</t>
        </is>
      </c>
      <c r="F1447" s="13" t="inlineStr">
        <is>
          <t>성취도(%)</t>
        </is>
      </c>
      <c r="G1447" s="8" t="n"/>
      <c r="H1447" s="13" t="inlineStr"/>
      <c r="I1447" s="7" t="n"/>
      <c r="J1447" s="7" t="n"/>
      <c r="K1447" s="7" t="n"/>
      <c r="L1447" s="7" t="n"/>
      <c r="M1447" s="7" t="n"/>
      <c r="N1447" s="7" t="n"/>
      <c r="O1447" s="7" t="n"/>
      <c r="P1447" s="8" t="n"/>
      <c r="S1447" s="37">
        <f>IF($R$1439="","",IFERROR(IF($R$1439="언어와 매체",MATCH(10,회차설정!$G$13:$G$27,0),MATCH(10,회차설정!$F$13:$F$27,0)),""))</f>
        <v/>
      </c>
    </row>
    <row r="1448">
      <c r="A1448" s="14">
        <f>IF($S$1438="","",INDEX(회차설정!$A$13:$A$27,$S$1438))</f>
        <v/>
      </c>
      <c r="B1448" s="14">
        <f>IF($S$1438="","",INDEX(회차설정!$B$13:$B$27,$S$1438))</f>
        <v/>
      </c>
      <c r="C1448" s="8" t="n"/>
      <c r="D1448" s="14">
        <f>IF($S$1438="","",IF($R$1439="언어와 매체",SUMPRODUCT((자동계산!$A$4:$A$48&gt;=INDEX(회차설정!$C$13:$C$27,$S$1438))*(자동계산!$A$4:$A$48&lt;=INDEX(회차설정!$D$13:$D$27,$S$1438))*자동계산!$E$4:$E$48),SUMPRODUCT((자동계산!$A$4:$A$48&gt;=INDEX(회차설정!$C$13:$C$27,$S$1438))*(자동계산!$A$4:$A$48&lt;=INDEX(회차설정!$D$13:$D$27,$S$1438))*자동계산!$C$4:$C$48)))</f>
        <v/>
      </c>
      <c r="E1448" s="14">
        <f>IF(OR($S$1438="",$R$1438=""),"",SUM(OFFSET(전체채점!$AW$2,$R$1438,INDEX(회차설정!$C$13:$C$27,$S$1438),1,INDEX(회차설정!$D$13:$D$27,$S$1438)-INDEX(회차설정!$C$13:$C$27,$S$1438)+1)))</f>
        <v/>
      </c>
      <c r="F1448" s="46">
        <f>IF(OR($S$1438="",$D1448=0,$D1448="",$E1448=""),"",$E1448/$D1448*100)</f>
        <v/>
      </c>
      <c r="G1448" s="8" t="n"/>
      <c r="H1448" s="47">
        <f>IF($F1448="","",REPT("■",ROUND($F1448/5,0)))</f>
        <v/>
      </c>
      <c r="I1448" s="7" t="n"/>
      <c r="J1448" s="7" t="n"/>
      <c r="K1448" s="7" t="n"/>
      <c r="L1448" s="7" t="n"/>
      <c r="M1448" s="7" t="n"/>
      <c r="N1448" s="7" t="n"/>
      <c r="O1448" s="7" t="n"/>
      <c r="P1448" s="8" t="n"/>
      <c r="S1448" s="37">
        <f>IF($R$1439="","",IFERROR(IF($R$1439="언어와 매체",MATCH(11,회차설정!$G$13:$G$27,0),MATCH(11,회차설정!$F$13:$F$27,0)),""))</f>
        <v/>
      </c>
    </row>
    <row r="1449">
      <c r="A1449" s="14">
        <f>IF($S$1439="","",INDEX(회차설정!$A$13:$A$27,$S$1439))</f>
        <v/>
      </c>
      <c r="B1449" s="14">
        <f>IF($S$1439="","",INDEX(회차설정!$B$13:$B$27,$S$1439))</f>
        <v/>
      </c>
      <c r="C1449" s="8" t="n"/>
      <c r="D1449" s="14">
        <f>IF($S$1439="","",IF($R$1439="언어와 매체",SUMPRODUCT((자동계산!$A$4:$A$48&gt;=INDEX(회차설정!$C$13:$C$27,$S$1439))*(자동계산!$A$4:$A$48&lt;=INDEX(회차설정!$D$13:$D$27,$S$1439))*자동계산!$E$4:$E$48),SUMPRODUCT((자동계산!$A$4:$A$48&gt;=INDEX(회차설정!$C$13:$C$27,$S$1439))*(자동계산!$A$4:$A$48&lt;=INDEX(회차설정!$D$13:$D$27,$S$1439))*자동계산!$C$4:$C$48)))</f>
        <v/>
      </c>
      <c r="E1449" s="14">
        <f>IF(OR($S$1439="",$R$1438=""),"",SUM(OFFSET(전체채점!$AW$2,$R$1438,INDEX(회차설정!$C$13:$C$27,$S$1439),1,INDEX(회차설정!$D$13:$D$27,$S$1439)-INDEX(회차설정!$C$13:$C$27,$S$1439)+1)))</f>
        <v/>
      </c>
      <c r="F1449" s="46">
        <f>IF(OR($S$1439="",$D1449=0,$D1449="",$E1449=""),"",$E1449/$D1449*100)</f>
        <v/>
      </c>
      <c r="G1449" s="8" t="n"/>
      <c r="H1449" s="47">
        <f>IF($F1449="","",REPT("■",ROUND($F1449/5,0)))</f>
        <v/>
      </c>
      <c r="I1449" s="7" t="n"/>
      <c r="J1449" s="7" t="n"/>
      <c r="K1449" s="7" t="n"/>
      <c r="L1449" s="7" t="n"/>
      <c r="M1449" s="7" t="n"/>
      <c r="N1449" s="7" t="n"/>
      <c r="O1449" s="7" t="n"/>
      <c r="P1449" s="8" t="n"/>
      <c r="S1449" s="37">
        <f>IF($R$1439="","",IFERROR(IF($R$1439="언어와 매체",MATCH(12,회차설정!$G$13:$G$27,0),MATCH(12,회차설정!$F$13:$F$27,0)),""))</f>
        <v/>
      </c>
    </row>
    <row r="1450">
      <c r="A1450" s="14">
        <f>IF($S$1440="","",INDEX(회차설정!$A$13:$A$27,$S$1440))</f>
        <v/>
      </c>
      <c r="B1450" s="14">
        <f>IF($S$1440="","",INDEX(회차설정!$B$13:$B$27,$S$1440))</f>
        <v/>
      </c>
      <c r="C1450" s="8" t="n"/>
      <c r="D1450" s="14">
        <f>IF($S$1440="","",IF($R$1439="언어와 매체",SUMPRODUCT((자동계산!$A$4:$A$48&gt;=INDEX(회차설정!$C$13:$C$27,$S$1440))*(자동계산!$A$4:$A$48&lt;=INDEX(회차설정!$D$13:$D$27,$S$1440))*자동계산!$E$4:$E$48),SUMPRODUCT((자동계산!$A$4:$A$48&gt;=INDEX(회차설정!$C$13:$C$27,$S$1440))*(자동계산!$A$4:$A$48&lt;=INDEX(회차설정!$D$13:$D$27,$S$1440))*자동계산!$C$4:$C$48)))</f>
        <v/>
      </c>
      <c r="E1450" s="14">
        <f>IF(OR($S$1440="",$R$1438=""),"",SUM(OFFSET(전체채점!$AW$2,$R$1438,INDEX(회차설정!$C$13:$C$27,$S$1440),1,INDEX(회차설정!$D$13:$D$27,$S$1440)-INDEX(회차설정!$C$13:$C$27,$S$1440)+1)))</f>
        <v/>
      </c>
      <c r="F1450" s="46">
        <f>IF(OR($S$1440="",$D1450=0,$D1450="",$E1450=""),"",$E1450/$D1450*100)</f>
        <v/>
      </c>
      <c r="G1450" s="8" t="n"/>
      <c r="H1450" s="47">
        <f>IF($F1450="","",REPT("■",ROUND($F1450/5,0)))</f>
        <v/>
      </c>
      <c r="I1450" s="7" t="n"/>
      <c r="J1450" s="7" t="n"/>
      <c r="K1450" s="7" t="n"/>
      <c r="L1450" s="7" t="n"/>
      <c r="M1450" s="7" t="n"/>
      <c r="N1450" s="7" t="n"/>
      <c r="O1450" s="7" t="n"/>
      <c r="P1450" s="8" t="n"/>
    </row>
    <row r="1451">
      <c r="A1451" s="14">
        <f>IF($S$1441="","",INDEX(회차설정!$A$13:$A$27,$S$1441))</f>
        <v/>
      </c>
      <c r="B1451" s="14">
        <f>IF($S$1441="","",INDEX(회차설정!$B$13:$B$27,$S$1441))</f>
        <v/>
      </c>
      <c r="C1451" s="8" t="n"/>
      <c r="D1451" s="14">
        <f>IF($S$1441="","",IF($R$1439="언어와 매체",SUMPRODUCT((자동계산!$A$4:$A$48&gt;=INDEX(회차설정!$C$13:$C$27,$S$1441))*(자동계산!$A$4:$A$48&lt;=INDEX(회차설정!$D$13:$D$27,$S$1441))*자동계산!$E$4:$E$48),SUMPRODUCT((자동계산!$A$4:$A$48&gt;=INDEX(회차설정!$C$13:$C$27,$S$1441))*(자동계산!$A$4:$A$48&lt;=INDEX(회차설정!$D$13:$D$27,$S$1441))*자동계산!$C$4:$C$48)))</f>
        <v/>
      </c>
      <c r="E1451" s="14">
        <f>IF(OR($S$1441="",$R$1438=""),"",SUM(OFFSET(전체채점!$AW$2,$R$1438,INDEX(회차설정!$C$13:$C$27,$S$1441),1,INDEX(회차설정!$D$13:$D$27,$S$1441)-INDEX(회차설정!$C$13:$C$27,$S$1441)+1)))</f>
        <v/>
      </c>
      <c r="F1451" s="46">
        <f>IF(OR($S$1441="",$D1451=0,$D1451="",$E1451=""),"",$E1451/$D1451*100)</f>
        <v/>
      </c>
      <c r="G1451" s="8" t="n"/>
      <c r="H1451" s="47">
        <f>IF($F1451="","",REPT("■",ROUND($F1451/5,0)))</f>
        <v/>
      </c>
      <c r="I1451" s="7" t="n"/>
      <c r="J1451" s="7" t="n"/>
      <c r="K1451" s="7" t="n"/>
      <c r="L1451" s="7" t="n"/>
      <c r="M1451" s="7" t="n"/>
      <c r="N1451" s="7" t="n"/>
      <c r="O1451" s="7" t="n"/>
      <c r="P1451" s="8" t="n"/>
    </row>
    <row r="1452">
      <c r="A1452" s="14">
        <f>IF($S$1442="","",INDEX(회차설정!$A$13:$A$27,$S$1442))</f>
        <v/>
      </c>
      <c r="B1452" s="14">
        <f>IF($S$1442="","",INDEX(회차설정!$B$13:$B$27,$S$1442))</f>
        <v/>
      </c>
      <c r="C1452" s="8" t="n"/>
      <c r="D1452" s="14">
        <f>IF($S$1442="","",IF($R$1439="언어와 매체",SUMPRODUCT((자동계산!$A$4:$A$48&gt;=INDEX(회차설정!$C$13:$C$27,$S$1442))*(자동계산!$A$4:$A$48&lt;=INDEX(회차설정!$D$13:$D$27,$S$1442))*자동계산!$E$4:$E$48),SUMPRODUCT((자동계산!$A$4:$A$48&gt;=INDEX(회차설정!$C$13:$C$27,$S$1442))*(자동계산!$A$4:$A$48&lt;=INDEX(회차설정!$D$13:$D$27,$S$1442))*자동계산!$C$4:$C$48)))</f>
        <v/>
      </c>
      <c r="E1452" s="14">
        <f>IF(OR($S$1442="",$R$1438=""),"",SUM(OFFSET(전체채점!$AW$2,$R$1438,INDEX(회차설정!$C$13:$C$27,$S$1442),1,INDEX(회차설정!$D$13:$D$27,$S$1442)-INDEX(회차설정!$C$13:$C$27,$S$1442)+1)))</f>
        <v/>
      </c>
      <c r="F1452" s="46">
        <f>IF(OR($S$1442="",$D1452=0,$D1452="",$E1452=""),"",$E1452/$D1452*100)</f>
        <v/>
      </c>
      <c r="G1452" s="8" t="n"/>
      <c r="H1452" s="47">
        <f>IF($F1452="","",REPT("■",ROUND($F1452/5,0)))</f>
        <v/>
      </c>
      <c r="I1452" s="7" t="n"/>
      <c r="J1452" s="7" t="n"/>
      <c r="K1452" s="7" t="n"/>
      <c r="L1452" s="7" t="n"/>
      <c r="M1452" s="7" t="n"/>
      <c r="N1452" s="7" t="n"/>
      <c r="O1452" s="7" t="n"/>
      <c r="P1452" s="8" t="n"/>
    </row>
    <row r="1453">
      <c r="A1453" s="14">
        <f>IF($S$1443="","",INDEX(회차설정!$A$13:$A$27,$S$1443))</f>
        <v/>
      </c>
      <c r="B1453" s="14">
        <f>IF($S$1443="","",INDEX(회차설정!$B$13:$B$27,$S$1443))</f>
        <v/>
      </c>
      <c r="C1453" s="8" t="n"/>
      <c r="D1453" s="14">
        <f>IF($S$1443="","",IF($R$1439="언어와 매체",SUMPRODUCT((자동계산!$A$4:$A$48&gt;=INDEX(회차설정!$C$13:$C$27,$S$1443))*(자동계산!$A$4:$A$48&lt;=INDEX(회차설정!$D$13:$D$27,$S$1443))*자동계산!$E$4:$E$48),SUMPRODUCT((자동계산!$A$4:$A$48&gt;=INDEX(회차설정!$C$13:$C$27,$S$1443))*(자동계산!$A$4:$A$48&lt;=INDEX(회차설정!$D$13:$D$27,$S$1443))*자동계산!$C$4:$C$48)))</f>
        <v/>
      </c>
      <c r="E1453" s="14">
        <f>IF(OR($S$1443="",$R$1438=""),"",SUM(OFFSET(전체채점!$AW$2,$R$1438,INDEX(회차설정!$C$13:$C$27,$S$1443),1,INDEX(회차설정!$D$13:$D$27,$S$1443)-INDEX(회차설정!$C$13:$C$27,$S$1443)+1)))</f>
        <v/>
      </c>
      <c r="F1453" s="46">
        <f>IF(OR($S$1443="",$D1453=0,$D1453="",$E1453=""),"",$E1453/$D1453*100)</f>
        <v/>
      </c>
      <c r="G1453" s="8" t="n"/>
      <c r="H1453" s="47">
        <f>IF($F1453="","",REPT("■",ROUND($F1453/5,0)))</f>
        <v/>
      </c>
      <c r="I1453" s="7" t="n"/>
      <c r="J1453" s="7" t="n"/>
      <c r="K1453" s="7" t="n"/>
      <c r="L1453" s="7" t="n"/>
      <c r="M1453" s="7" t="n"/>
      <c r="N1453" s="7" t="n"/>
      <c r="O1453" s="7" t="n"/>
      <c r="P1453" s="8" t="n"/>
    </row>
    <row r="1454">
      <c r="A1454" s="14">
        <f>IF($S$1444="","",INDEX(회차설정!$A$13:$A$27,$S$1444))</f>
        <v/>
      </c>
      <c r="B1454" s="14">
        <f>IF($S$1444="","",INDEX(회차설정!$B$13:$B$27,$S$1444))</f>
        <v/>
      </c>
      <c r="C1454" s="8" t="n"/>
      <c r="D1454" s="14">
        <f>IF($S$1444="","",IF($R$1439="언어와 매체",SUMPRODUCT((자동계산!$A$4:$A$48&gt;=INDEX(회차설정!$C$13:$C$27,$S$1444))*(자동계산!$A$4:$A$48&lt;=INDEX(회차설정!$D$13:$D$27,$S$1444))*자동계산!$E$4:$E$48),SUMPRODUCT((자동계산!$A$4:$A$48&gt;=INDEX(회차설정!$C$13:$C$27,$S$1444))*(자동계산!$A$4:$A$48&lt;=INDEX(회차설정!$D$13:$D$27,$S$1444))*자동계산!$C$4:$C$48)))</f>
        <v/>
      </c>
      <c r="E1454" s="14">
        <f>IF(OR($S$1444="",$R$1438=""),"",SUM(OFFSET(전체채점!$AW$2,$R$1438,INDEX(회차설정!$C$13:$C$27,$S$1444),1,INDEX(회차설정!$D$13:$D$27,$S$1444)-INDEX(회차설정!$C$13:$C$27,$S$1444)+1)))</f>
        <v/>
      </c>
      <c r="F1454" s="46">
        <f>IF(OR($S$1444="",$D1454=0,$D1454="",$E1454=""),"",$E1454/$D1454*100)</f>
        <v/>
      </c>
      <c r="G1454" s="8" t="n"/>
      <c r="H1454" s="47">
        <f>IF($F1454="","",REPT("■",ROUND($F1454/5,0)))</f>
        <v/>
      </c>
      <c r="I1454" s="7" t="n"/>
      <c r="J1454" s="7" t="n"/>
      <c r="K1454" s="7" t="n"/>
      <c r="L1454" s="7" t="n"/>
      <c r="M1454" s="7" t="n"/>
      <c r="N1454" s="7" t="n"/>
      <c r="O1454" s="7" t="n"/>
      <c r="P1454" s="8" t="n"/>
    </row>
    <row r="1455">
      <c r="A1455" s="14">
        <f>IF($S$1445="","",INDEX(회차설정!$A$13:$A$27,$S$1445))</f>
        <v/>
      </c>
      <c r="B1455" s="14">
        <f>IF($S$1445="","",INDEX(회차설정!$B$13:$B$27,$S$1445))</f>
        <v/>
      </c>
      <c r="C1455" s="8" t="n"/>
      <c r="D1455" s="14">
        <f>IF($S$1445="","",IF($R$1439="언어와 매체",SUMPRODUCT((자동계산!$A$4:$A$48&gt;=INDEX(회차설정!$C$13:$C$27,$S$1445))*(자동계산!$A$4:$A$48&lt;=INDEX(회차설정!$D$13:$D$27,$S$1445))*자동계산!$E$4:$E$48),SUMPRODUCT((자동계산!$A$4:$A$48&gt;=INDEX(회차설정!$C$13:$C$27,$S$1445))*(자동계산!$A$4:$A$48&lt;=INDEX(회차설정!$D$13:$D$27,$S$1445))*자동계산!$C$4:$C$48)))</f>
        <v/>
      </c>
      <c r="E1455" s="14">
        <f>IF(OR($S$1445="",$R$1438=""),"",SUM(OFFSET(전체채점!$AW$2,$R$1438,INDEX(회차설정!$C$13:$C$27,$S$1445),1,INDEX(회차설정!$D$13:$D$27,$S$1445)-INDEX(회차설정!$C$13:$C$27,$S$1445)+1)))</f>
        <v/>
      </c>
      <c r="F1455" s="46">
        <f>IF(OR($S$1445="",$D1455=0,$D1455="",$E1455=""),"",$E1455/$D1455*100)</f>
        <v/>
      </c>
      <c r="G1455" s="8" t="n"/>
      <c r="H1455" s="47">
        <f>IF($F1455="","",REPT("■",ROUND($F1455/5,0)))</f>
        <v/>
      </c>
      <c r="I1455" s="7" t="n"/>
      <c r="J1455" s="7" t="n"/>
      <c r="K1455" s="7" t="n"/>
      <c r="L1455" s="7" t="n"/>
      <c r="M1455" s="7" t="n"/>
      <c r="N1455" s="7" t="n"/>
      <c r="O1455" s="7" t="n"/>
      <c r="P1455" s="8" t="n"/>
    </row>
    <row r="1456">
      <c r="A1456" s="14">
        <f>IF($S$1446="","",INDEX(회차설정!$A$13:$A$27,$S$1446))</f>
        <v/>
      </c>
      <c r="B1456" s="14">
        <f>IF($S$1446="","",INDEX(회차설정!$B$13:$B$27,$S$1446))</f>
        <v/>
      </c>
      <c r="C1456" s="8" t="n"/>
      <c r="D1456" s="14">
        <f>IF($S$1446="","",IF($R$1439="언어와 매체",SUMPRODUCT((자동계산!$A$4:$A$48&gt;=INDEX(회차설정!$C$13:$C$27,$S$1446))*(자동계산!$A$4:$A$48&lt;=INDEX(회차설정!$D$13:$D$27,$S$1446))*자동계산!$E$4:$E$48),SUMPRODUCT((자동계산!$A$4:$A$48&gt;=INDEX(회차설정!$C$13:$C$27,$S$1446))*(자동계산!$A$4:$A$48&lt;=INDEX(회차설정!$D$13:$D$27,$S$1446))*자동계산!$C$4:$C$48)))</f>
        <v/>
      </c>
      <c r="E1456" s="14">
        <f>IF(OR($S$1446="",$R$1438=""),"",SUM(OFFSET(전체채점!$AW$2,$R$1438,INDEX(회차설정!$C$13:$C$27,$S$1446),1,INDEX(회차설정!$D$13:$D$27,$S$1446)-INDEX(회차설정!$C$13:$C$27,$S$1446)+1)))</f>
        <v/>
      </c>
      <c r="F1456" s="46">
        <f>IF(OR($S$1446="",$D1456=0,$D1456="",$E1456=""),"",$E1456/$D1456*100)</f>
        <v/>
      </c>
      <c r="G1456" s="8" t="n"/>
      <c r="H1456" s="47">
        <f>IF($F1456="","",REPT("■",ROUND($F1456/5,0)))</f>
        <v/>
      </c>
      <c r="I1456" s="7" t="n"/>
      <c r="J1456" s="7" t="n"/>
      <c r="K1456" s="7" t="n"/>
      <c r="L1456" s="7" t="n"/>
      <c r="M1456" s="7" t="n"/>
      <c r="N1456" s="7" t="n"/>
      <c r="O1456" s="7" t="n"/>
      <c r="P1456" s="8" t="n"/>
    </row>
    <row r="1457">
      <c r="A1457" s="14">
        <f>IF($S$1447="","",INDEX(회차설정!$A$13:$A$27,$S$1447))</f>
        <v/>
      </c>
      <c r="B1457" s="14">
        <f>IF($S$1447="","",INDEX(회차설정!$B$13:$B$27,$S$1447))</f>
        <v/>
      </c>
      <c r="C1457" s="8" t="n"/>
      <c r="D1457" s="14">
        <f>IF($S$1447="","",IF($R$1439="언어와 매체",SUMPRODUCT((자동계산!$A$4:$A$48&gt;=INDEX(회차설정!$C$13:$C$27,$S$1447))*(자동계산!$A$4:$A$48&lt;=INDEX(회차설정!$D$13:$D$27,$S$1447))*자동계산!$E$4:$E$48),SUMPRODUCT((자동계산!$A$4:$A$48&gt;=INDEX(회차설정!$C$13:$C$27,$S$1447))*(자동계산!$A$4:$A$48&lt;=INDEX(회차설정!$D$13:$D$27,$S$1447))*자동계산!$C$4:$C$48)))</f>
        <v/>
      </c>
      <c r="E1457" s="14">
        <f>IF(OR($S$1447="",$R$1438=""),"",SUM(OFFSET(전체채점!$AW$2,$R$1438,INDEX(회차설정!$C$13:$C$27,$S$1447),1,INDEX(회차설정!$D$13:$D$27,$S$1447)-INDEX(회차설정!$C$13:$C$27,$S$1447)+1)))</f>
        <v/>
      </c>
      <c r="F1457" s="46">
        <f>IF(OR($S$1447="",$D1457=0,$D1457="",$E1457=""),"",$E1457/$D1457*100)</f>
        <v/>
      </c>
      <c r="G1457" s="8" t="n"/>
      <c r="H1457" s="47">
        <f>IF($F1457="","",REPT("■",ROUND($F1457/5,0)))</f>
        <v/>
      </c>
      <c r="I1457" s="7" t="n"/>
      <c r="J1457" s="7" t="n"/>
      <c r="K1457" s="7" t="n"/>
      <c r="L1457" s="7" t="n"/>
      <c r="M1457" s="7" t="n"/>
      <c r="N1457" s="7" t="n"/>
      <c r="O1457" s="7" t="n"/>
      <c r="P1457" s="8" t="n"/>
    </row>
    <row r="1458">
      <c r="A1458" s="14">
        <f>IF($S$1448="","",INDEX(회차설정!$A$13:$A$27,$S$1448))</f>
        <v/>
      </c>
      <c r="B1458" s="14">
        <f>IF($S$1448="","",INDEX(회차설정!$B$13:$B$27,$S$1448))</f>
        <v/>
      </c>
      <c r="C1458" s="8" t="n"/>
      <c r="D1458" s="14">
        <f>IF($S$1448="","",IF($R$1439="언어와 매체",SUMPRODUCT((자동계산!$A$4:$A$48&gt;=INDEX(회차설정!$C$13:$C$27,$S$1448))*(자동계산!$A$4:$A$48&lt;=INDEX(회차설정!$D$13:$D$27,$S$1448))*자동계산!$E$4:$E$48),SUMPRODUCT((자동계산!$A$4:$A$48&gt;=INDEX(회차설정!$C$13:$C$27,$S$1448))*(자동계산!$A$4:$A$48&lt;=INDEX(회차설정!$D$13:$D$27,$S$1448))*자동계산!$C$4:$C$48)))</f>
        <v/>
      </c>
      <c r="E1458" s="14">
        <f>IF(OR($S$1448="",$R$1438=""),"",SUM(OFFSET(전체채점!$AW$2,$R$1438,INDEX(회차설정!$C$13:$C$27,$S$1448),1,INDEX(회차설정!$D$13:$D$27,$S$1448)-INDEX(회차설정!$C$13:$C$27,$S$1448)+1)))</f>
        <v/>
      </c>
      <c r="F1458" s="46">
        <f>IF(OR($S$1448="",$D1458=0,$D1458="",$E1458=""),"",$E1458/$D1458*100)</f>
        <v/>
      </c>
      <c r="G1458" s="8" t="n"/>
      <c r="H1458" s="47">
        <f>IF($F1458="","",REPT("■",ROUND($F1458/5,0)))</f>
        <v/>
      </c>
      <c r="I1458" s="7" t="n"/>
      <c r="J1458" s="7" t="n"/>
      <c r="K1458" s="7" t="n"/>
      <c r="L1458" s="7" t="n"/>
      <c r="M1458" s="7" t="n"/>
      <c r="N1458" s="7" t="n"/>
      <c r="O1458" s="7" t="n"/>
      <c r="P1458" s="8" t="n"/>
    </row>
    <row r="1459">
      <c r="A1459" s="14">
        <f>IF($S$1449="","",INDEX(회차설정!$A$13:$A$27,$S$1449))</f>
        <v/>
      </c>
      <c r="B1459" s="14">
        <f>IF($S$1449="","",INDEX(회차설정!$B$13:$B$27,$S$1449))</f>
        <v/>
      </c>
      <c r="C1459" s="8" t="n"/>
      <c r="D1459" s="14">
        <f>IF($S$1449="","",IF($R$1439="언어와 매체",SUMPRODUCT((자동계산!$A$4:$A$48&gt;=INDEX(회차설정!$C$13:$C$27,$S$1449))*(자동계산!$A$4:$A$48&lt;=INDEX(회차설정!$D$13:$D$27,$S$1449))*자동계산!$E$4:$E$48),SUMPRODUCT((자동계산!$A$4:$A$48&gt;=INDEX(회차설정!$C$13:$C$27,$S$1449))*(자동계산!$A$4:$A$48&lt;=INDEX(회차설정!$D$13:$D$27,$S$1449))*자동계산!$C$4:$C$48)))</f>
        <v/>
      </c>
      <c r="E1459" s="14">
        <f>IF(OR($S$1449="",$R$1438=""),"",SUM(OFFSET(전체채점!$AW$2,$R$1438,INDEX(회차설정!$C$13:$C$27,$S$1449),1,INDEX(회차설정!$D$13:$D$27,$S$1449)-INDEX(회차설정!$C$13:$C$27,$S$1449)+1)))</f>
        <v/>
      </c>
      <c r="F1459" s="46">
        <f>IF(OR($S$1449="",$D1459=0,$D1459="",$E1459=""),"",$E1459/$D1459*100)</f>
        <v/>
      </c>
      <c r="G1459" s="8" t="n"/>
      <c r="H1459" s="47">
        <f>IF($F1459="","",REPT("■",ROUND($F1459/5,0)))</f>
        <v/>
      </c>
      <c r="I1459" s="7" t="n"/>
      <c r="J1459" s="7" t="n"/>
      <c r="K1459" s="7" t="n"/>
      <c r="L1459" s="7" t="n"/>
      <c r="M1459" s="7" t="n"/>
      <c r="N1459" s="7" t="n"/>
      <c r="O1459" s="7" t="n"/>
      <c r="P1459" s="8" t="n"/>
    </row>
    <row r="1460">
      <c r="A1460" s="5">
        <f>IF($R$1438="","","합계")</f>
        <v/>
      </c>
      <c r="B1460" s="7" t="n"/>
      <c r="C1460" s="8" t="n"/>
      <c r="D1460" s="5">
        <f>IF($R$1438="","",SUM(D1448:D1459))</f>
        <v/>
      </c>
      <c r="E1460" s="5">
        <f>IF($R$1438="","",SUM(E1448:E1459))</f>
        <v/>
      </c>
      <c r="F1460" s="48">
        <f>IF(OR($D1460=0,$D1460=""),"",$E1460/$D1460*100)</f>
        <v/>
      </c>
      <c r="G1460" s="8" t="n"/>
      <c r="H1460" s="49">
        <f>IF($F1460="","",REPT("■",ROUND($F1460/5,0)))</f>
        <v/>
      </c>
      <c r="I1460" s="7" t="n"/>
      <c r="J1460" s="7" t="n"/>
      <c r="K1460" s="7" t="n"/>
      <c r="L1460" s="7" t="n"/>
      <c r="M1460" s="7" t="n"/>
      <c r="N1460" s="7" t="n"/>
      <c r="O1460" s="7" t="n"/>
      <c r="P1460" s="8" t="n"/>
    </row>
    <row r="1462">
      <c r="A1462" s="12" t="inlineStr">
        <is>
          <t>4. 문항 채점표</t>
        </is>
      </c>
    </row>
    <row r="1463">
      <c r="A1463" s="50" t="inlineStr">
        <is>
          <t>문항 번호</t>
        </is>
      </c>
      <c r="B1463" s="51" t="n">
        <v>1</v>
      </c>
      <c r="C1463" s="51" t="n">
        <v>2</v>
      </c>
      <c r="D1463" s="51" t="n">
        <v>3</v>
      </c>
      <c r="E1463" s="51" t="n">
        <v>4</v>
      </c>
      <c r="F1463" s="51" t="n">
        <v>5</v>
      </c>
      <c r="G1463" s="51" t="n">
        <v>6</v>
      </c>
      <c r="H1463" s="51" t="n">
        <v>7</v>
      </c>
      <c r="I1463" s="51" t="n">
        <v>8</v>
      </c>
      <c r="J1463" s="51" t="n">
        <v>9</v>
      </c>
      <c r="K1463" s="51" t="n">
        <v>10</v>
      </c>
      <c r="L1463" s="51" t="n">
        <v>11</v>
      </c>
      <c r="M1463" s="51" t="n">
        <v>12</v>
      </c>
      <c r="N1463" s="51" t="n">
        <v>13</v>
      </c>
      <c r="O1463" s="51" t="n">
        <v>14</v>
      </c>
      <c r="P1463" s="51" t="n">
        <v>15</v>
      </c>
    </row>
    <row r="1464">
      <c r="A1464" s="52" t="inlineStr">
        <is>
          <t>정답</t>
        </is>
      </c>
      <c r="B1464" s="33">
        <f>IF($R$1439="","",IF($R$1439="언어와 매체",자동계산!$D$4,자동계산!$B$4))</f>
        <v/>
      </c>
      <c r="C1464" s="33">
        <f>IF($R$1439="","",IF($R$1439="언어와 매체",자동계산!$D$5,자동계산!$B$5))</f>
        <v/>
      </c>
      <c r="D1464" s="33">
        <f>IF($R$1439="","",IF($R$1439="언어와 매체",자동계산!$D$6,자동계산!$B$6))</f>
        <v/>
      </c>
      <c r="E1464" s="33">
        <f>IF($R$1439="","",IF($R$1439="언어와 매체",자동계산!$D$7,자동계산!$B$7))</f>
        <v/>
      </c>
      <c r="F1464" s="33">
        <f>IF($R$1439="","",IF($R$1439="언어와 매체",자동계산!$D$8,자동계산!$B$8))</f>
        <v/>
      </c>
      <c r="G1464" s="33">
        <f>IF($R$1439="","",IF($R$1439="언어와 매체",자동계산!$D$9,자동계산!$B$9))</f>
        <v/>
      </c>
      <c r="H1464" s="33">
        <f>IF($R$1439="","",IF($R$1439="언어와 매체",자동계산!$D$10,자동계산!$B$10))</f>
        <v/>
      </c>
      <c r="I1464" s="33">
        <f>IF($R$1439="","",IF($R$1439="언어와 매체",자동계산!$D$11,자동계산!$B$11))</f>
        <v/>
      </c>
      <c r="J1464" s="33">
        <f>IF($R$1439="","",IF($R$1439="언어와 매체",자동계산!$D$12,자동계산!$B$12))</f>
        <v/>
      </c>
      <c r="K1464" s="33">
        <f>IF($R$1439="","",IF($R$1439="언어와 매체",자동계산!$D$13,자동계산!$B$13))</f>
        <v/>
      </c>
      <c r="L1464" s="33">
        <f>IF($R$1439="","",IF($R$1439="언어와 매체",자동계산!$D$14,자동계산!$B$14))</f>
        <v/>
      </c>
      <c r="M1464" s="33">
        <f>IF($R$1439="","",IF($R$1439="언어와 매체",자동계산!$D$15,자동계산!$B$15))</f>
        <v/>
      </c>
      <c r="N1464" s="33">
        <f>IF($R$1439="","",IF($R$1439="언어와 매체",자동계산!$D$16,자동계산!$B$16))</f>
        <v/>
      </c>
      <c r="O1464" s="33">
        <f>IF($R$1439="","",IF($R$1439="언어와 매체",자동계산!$D$17,자동계산!$B$17))</f>
        <v/>
      </c>
      <c r="P1464" s="33">
        <f>IF($R$1439="","",IF($R$1439="언어와 매체",자동계산!$D$18,자동계산!$B$18))</f>
        <v/>
      </c>
    </row>
    <row r="1465">
      <c r="A1465" s="52" t="inlineStr">
        <is>
          <t>학생답안</t>
        </is>
      </c>
      <c r="B1465" s="33">
        <f>IF($R$1438="","",INDEX(전체채점!E$3:E$62,$R$1438))</f>
        <v/>
      </c>
      <c r="C1465" s="33">
        <f>IF($R$1438="","",INDEX(전체채점!F$3:F$62,$R$1438))</f>
        <v/>
      </c>
      <c r="D1465" s="33">
        <f>IF($R$1438="","",INDEX(전체채점!G$3:G$62,$R$1438))</f>
        <v/>
      </c>
      <c r="E1465" s="33">
        <f>IF($R$1438="","",INDEX(전체채점!H$3:H$62,$R$1438))</f>
        <v/>
      </c>
      <c r="F1465" s="33">
        <f>IF($R$1438="","",INDEX(전체채점!I$3:I$62,$R$1438))</f>
        <v/>
      </c>
      <c r="G1465" s="33">
        <f>IF($R$1438="","",INDEX(전체채점!J$3:J$62,$R$1438))</f>
        <v/>
      </c>
      <c r="H1465" s="33">
        <f>IF($R$1438="","",INDEX(전체채점!K$3:K$62,$R$1438))</f>
        <v/>
      </c>
      <c r="I1465" s="33">
        <f>IF($R$1438="","",INDEX(전체채점!L$3:L$62,$R$1438))</f>
        <v/>
      </c>
      <c r="J1465" s="33">
        <f>IF($R$1438="","",INDEX(전체채점!M$3:M$62,$R$1438))</f>
        <v/>
      </c>
      <c r="K1465" s="33">
        <f>IF($R$1438="","",INDEX(전체채점!N$3:N$62,$R$1438))</f>
        <v/>
      </c>
      <c r="L1465" s="33">
        <f>IF($R$1438="","",INDEX(전체채점!O$3:O$62,$R$1438))</f>
        <v/>
      </c>
      <c r="M1465" s="33">
        <f>IF($R$1438="","",INDEX(전체채점!P$3:P$62,$R$1438))</f>
        <v/>
      </c>
      <c r="N1465" s="33">
        <f>IF($R$1438="","",INDEX(전체채점!Q$3:Q$62,$R$1438))</f>
        <v/>
      </c>
      <c r="O1465" s="33">
        <f>IF($R$1438="","",INDEX(전체채점!R$3:R$62,$R$1438))</f>
        <v/>
      </c>
      <c r="P1465" s="33">
        <f>IF($R$1438="","",INDEX(전체채점!S$3:S$62,$R$1438))</f>
        <v/>
      </c>
    </row>
    <row r="1466">
      <c r="A1466" s="52" t="inlineStr">
        <is>
          <t>정오</t>
        </is>
      </c>
      <c r="B1466" s="33">
        <f>IF($R$1438="","",INDEX(전체채점!AX$3:AX$62,$R$1438))</f>
        <v/>
      </c>
      <c r="C1466" s="33">
        <f>IF($R$1438="","",INDEX(전체채점!AY$3:AY$62,$R$1438))</f>
        <v/>
      </c>
      <c r="D1466" s="33">
        <f>IF($R$1438="","",INDEX(전체채점!AZ$3:AZ$62,$R$1438))</f>
        <v/>
      </c>
      <c r="E1466" s="33">
        <f>IF($R$1438="","",INDEX(전체채점!BA$3:BA$62,$R$1438))</f>
        <v/>
      </c>
      <c r="F1466" s="33">
        <f>IF($R$1438="","",INDEX(전체채점!BB$3:BB$62,$R$1438))</f>
        <v/>
      </c>
      <c r="G1466" s="33">
        <f>IF($R$1438="","",INDEX(전체채점!BC$3:BC$62,$R$1438))</f>
        <v/>
      </c>
      <c r="H1466" s="33">
        <f>IF($R$1438="","",INDEX(전체채점!BD$3:BD$62,$R$1438))</f>
        <v/>
      </c>
      <c r="I1466" s="33">
        <f>IF($R$1438="","",INDEX(전체채점!BE$3:BE$62,$R$1438))</f>
        <v/>
      </c>
      <c r="J1466" s="33">
        <f>IF($R$1438="","",INDEX(전체채점!BF$3:BF$62,$R$1438))</f>
        <v/>
      </c>
      <c r="K1466" s="33">
        <f>IF($R$1438="","",INDEX(전체채점!BG$3:BG$62,$R$1438))</f>
        <v/>
      </c>
      <c r="L1466" s="33">
        <f>IF($R$1438="","",INDEX(전체채점!BH$3:BH$62,$R$1438))</f>
        <v/>
      </c>
      <c r="M1466" s="33">
        <f>IF($R$1438="","",INDEX(전체채점!BI$3:BI$62,$R$1438))</f>
        <v/>
      </c>
      <c r="N1466" s="33">
        <f>IF($R$1438="","",INDEX(전체채점!BJ$3:BJ$62,$R$1438))</f>
        <v/>
      </c>
      <c r="O1466" s="33">
        <f>IF($R$1438="","",INDEX(전체채점!BK$3:BK$62,$R$1438))</f>
        <v/>
      </c>
      <c r="P1466" s="33">
        <f>IF($R$1438="","",INDEX(전체채점!BL$3:BL$62,$R$1438))</f>
        <v/>
      </c>
    </row>
    <row r="1467">
      <c r="A1467" s="50" t="inlineStr">
        <is>
          <t>문항 번호</t>
        </is>
      </c>
      <c r="B1467" s="51" t="n">
        <v>16</v>
      </c>
      <c r="C1467" s="51" t="n">
        <v>17</v>
      </c>
      <c r="D1467" s="51" t="n">
        <v>18</v>
      </c>
      <c r="E1467" s="51" t="n">
        <v>19</v>
      </c>
      <c r="F1467" s="51" t="n">
        <v>20</v>
      </c>
      <c r="G1467" s="51" t="n">
        <v>21</v>
      </c>
      <c r="H1467" s="51" t="n">
        <v>22</v>
      </c>
      <c r="I1467" s="51" t="n">
        <v>23</v>
      </c>
      <c r="J1467" s="51" t="n">
        <v>24</v>
      </c>
      <c r="K1467" s="51" t="n">
        <v>25</v>
      </c>
      <c r="L1467" s="51" t="n">
        <v>26</v>
      </c>
      <c r="M1467" s="51" t="n">
        <v>27</v>
      </c>
      <c r="N1467" s="51" t="n">
        <v>28</v>
      </c>
      <c r="O1467" s="51" t="n">
        <v>29</v>
      </c>
      <c r="P1467" s="51" t="n">
        <v>30</v>
      </c>
    </row>
    <row r="1468">
      <c r="A1468" s="52" t="inlineStr">
        <is>
          <t>정답</t>
        </is>
      </c>
      <c r="B1468" s="33">
        <f>IF($R$1439="","",IF($R$1439="언어와 매체",자동계산!$D$19,자동계산!$B$19))</f>
        <v/>
      </c>
      <c r="C1468" s="33">
        <f>IF($R$1439="","",IF($R$1439="언어와 매체",자동계산!$D$20,자동계산!$B$20))</f>
        <v/>
      </c>
      <c r="D1468" s="33">
        <f>IF($R$1439="","",IF($R$1439="언어와 매체",자동계산!$D$21,자동계산!$B$21))</f>
        <v/>
      </c>
      <c r="E1468" s="33">
        <f>IF($R$1439="","",IF($R$1439="언어와 매체",자동계산!$D$22,자동계산!$B$22))</f>
        <v/>
      </c>
      <c r="F1468" s="33">
        <f>IF($R$1439="","",IF($R$1439="언어와 매체",자동계산!$D$23,자동계산!$B$23))</f>
        <v/>
      </c>
      <c r="G1468" s="33">
        <f>IF($R$1439="","",IF($R$1439="언어와 매체",자동계산!$D$24,자동계산!$B$24))</f>
        <v/>
      </c>
      <c r="H1468" s="33">
        <f>IF($R$1439="","",IF($R$1439="언어와 매체",자동계산!$D$25,자동계산!$B$25))</f>
        <v/>
      </c>
      <c r="I1468" s="33">
        <f>IF($R$1439="","",IF($R$1439="언어와 매체",자동계산!$D$26,자동계산!$B$26))</f>
        <v/>
      </c>
      <c r="J1468" s="33">
        <f>IF($R$1439="","",IF($R$1439="언어와 매체",자동계산!$D$27,자동계산!$B$27))</f>
        <v/>
      </c>
      <c r="K1468" s="33">
        <f>IF($R$1439="","",IF($R$1439="언어와 매체",자동계산!$D$28,자동계산!$B$28))</f>
        <v/>
      </c>
      <c r="L1468" s="33">
        <f>IF($R$1439="","",IF($R$1439="언어와 매체",자동계산!$D$29,자동계산!$B$29))</f>
        <v/>
      </c>
      <c r="M1468" s="33">
        <f>IF($R$1439="","",IF($R$1439="언어와 매체",자동계산!$D$30,자동계산!$B$30))</f>
        <v/>
      </c>
      <c r="N1468" s="33">
        <f>IF($R$1439="","",IF($R$1439="언어와 매체",자동계산!$D$31,자동계산!$B$31))</f>
        <v/>
      </c>
      <c r="O1468" s="33">
        <f>IF($R$1439="","",IF($R$1439="언어와 매체",자동계산!$D$32,자동계산!$B$32))</f>
        <v/>
      </c>
      <c r="P1468" s="33">
        <f>IF($R$1439="","",IF($R$1439="언어와 매체",자동계산!$D$33,자동계산!$B$33))</f>
        <v/>
      </c>
    </row>
    <row r="1469">
      <c r="A1469" s="52" t="inlineStr">
        <is>
          <t>학생답안</t>
        </is>
      </c>
      <c r="B1469" s="33">
        <f>IF($R$1438="","",INDEX(전체채점!T$3:T$62,$R$1438))</f>
        <v/>
      </c>
      <c r="C1469" s="33">
        <f>IF($R$1438="","",INDEX(전체채점!U$3:U$62,$R$1438))</f>
        <v/>
      </c>
      <c r="D1469" s="33">
        <f>IF($R$1438="","",INDEX(전체채점!V$3:V$62,$R$1438))</f>
        <v/>
      </c>
      <c r="E1469" s="33">
        <f>IF($R$1438="","",INDEX(전체채점!W$3:W$62,$R$1438))</f>
        <v/>
      </c>
      <c r="F1469" s="33">
        <f>IF($R$1438="","",INDEX(전체채점!X$3:X$62,$R$1438))</f>
        <v/>
      </c>
      <c r="G1469" s="33">
        <f>IF($R$1438="","",INDEX(전체채점!Y$3:Y$62,$R$1438))</f>
        <v/>
      </c>
      <c r="H1469" s="33">
        <f>IF($R$1438="","",INDEX(전체채점!Z$3:Z$62,$R$1438))</f>
        <v/>
      </c>
      <c r="I1469" s="33">
        <f>IF($R$1438="","",INDEX(전체채점!AA$3:AA$62,$R$1438))</f>
        <v/>
      </c>
      <c r="J1469" s="33">
        <f>IF($R$1438="","",INDEX(전체채점!AB$3:AB$62,$R$1438))</f>
        <v/>
      </c>
      <c r="K1469" s="33">
        <f>IF($R$1438="","",INDEX(전체채점!AC$3:AC$62,$R$1438))</f>
        <v/>
      </c>
      <c r="L1469" s="33">
        <f>IF($R$1438="","",INDEX(전체채점!AD$3:AD$62,$R$1438))</f>
        <v/>
      </c>
      <c r="M1469" s="33">
        <f>IF($R$1438="","",INDEX(전체채점!AE$3:AE$62,$R$1438))</f>
        <v/>
      </c>
      <c r="N1469" s="33">
        <f>IF($R$1438="","",INDEX(전체채점!AF$3:AF$62,$R$1438))</f>
        <v/>
      </c>
      <c r="O1469" s="33">
        <f>IF($R$1438="","",INDEX(전체채점!AG$3:AG$62,$R$1438))</f>
        <v/>
      </c>
      <c r="P1469" s="33">
        <f>IF($R$1438="","",INDEX(전체채점!AH$3:AH$62,$R$1438))</f>
        <v/>
      </c>
    </row>
    <row r="1470">
      <c r="A1470" s="52" t="inlineStr">
        <is>
          <t>정오</t>
        </is>
      </c>
      <c r="B1470" s="33">
        <f>IF($R$1438="","",INDEX(전체채점!BM$3:BM$62,$R$1438))</f>
        <v/>
      </c>
      <c r="C1470" s="33">
        <f>IF($R$1438="","",INDEX(전체채점!BN$3:BN$62,$R$1438))</f>
        <v/>
      </c>
      <c r="D1470" s="33">
        <f>IF($R$1438="","",INDEX(전체채점!BO$3:BO$62,$R$1438))</f>
        <v/>
      </c>
      <c r="E1470" s="33">
        <f>IF($R$1438="","",INDEX(전체채점!BP$3:BP$62,$R$1438))</f>
        <v/>
      </c>
      <c r="F1470" s="33">
        <f>IF($R$1438="","",INDEX(전체채점!BQ$3:BQ$62,$R$1438))</f>
        <v/>
      </c>
      <c r="G1470" s="33">
        <f>IF($R$1438="","",INDEX(전체채점!BR$3:BR$62,$R$1438))</f>
        <v/>
      </c>
      <c r="H1470" s="33">
        <f>IF($R$1438="","",INDEX(전체채점!BS$3:BS$62,$R$1438))</f>
        <v/>
      </c>
      <c r="I1470" s="33">
        <f>IF($R$1438="","",INDEX(전체채점!BT$3:BT$62,$R$1438))</f>
        <v/>
      </c>
      <c r="J1470" s="33">
        <f>IF($R$1438="","",INDEX(전체채점!BU$3:BU$62,$R$1438))</f>
        <v/>
      </c>
      <c r="K1470" s="33">
        <f>IF($R$1438="","",INDEX(전체채점!BV$3:BV$62,$R$1438))</f>
        <v/>
      </c>
      <c r="L1470" s="33">
        <f>IF($R$1438="","",INDEX(전체채점!BW$3:BW$62,$R$1438))</f>
        <v/>
      </c>
      <c r="M1470" s="33">
        <f>IF($R$1438="","",INDEX(전체채점!BX$3:BX$62,$R$1438))</f>
        <v/>
      </c>
      <c r="N1470" s="33">
        <f>IF($R$1438="","",INDEX(전체채점!BY$3:BY$62,$R$1438))</f>
        <v/>
      </c>
      <c r="O1470" s="33">
        <f>IF($R$1438="","",INDEX(전체채점!BZ$3:BZ$62,$R$1438))</f>
        <v/>
      </c>
      <c r="P1470" s="33">
        <f>IF($R$1438="","",INDEX(전체채점!CA$3:CA$62,$R$1438))</f>
        <v/>
      </c>
    </row>
    <row r="1471">
      <c r="A1471" s="50" t="inlineStr">
        <is>
          <t>문항 번호</t>
        </is>
      </c>
      <c r="B1471" s="51" t="n">
        <v>31</v>
      </c>
      <c r="C1471" s="51" t="n">
        <v>32</v>
      </c>
      <c r="D1471" s="51" t="n">
        <v>33</v>
      </c>
      <c r="E1471" s="51" t="n">
        <v>34</v>
      </c>
      <c r="F1471" s="51" t="n">
        <v>35</v>
      </c>
      <c r="G1471" s="51" t="n">
        <v>36</v>
      </c>
      <c r="H1471" s="51" t="n">
        <v>37</v>
      </c>
      <c r="I1471" s="51" t="n">
        <v>38</v>
      </c>
      <c r="J1471" s="51" t="n">
        <v>39</v>
      </c>
      <c r="K1471" s="51" t="n">
        <v>40</v>
      </c>
      <c r="L1471" s="51" t="n">
        <v>41</v>
      </c>
      <c r="M1471" s="51" t="n">
        <v>42</v>
      </c>
      <c r="N1471" s="51" t="n">
        <v>43</v>
      </c>
      <c r="O1471" s="51" t="n">
        <v>44</v>
      </c>
      <c r="P1471" s="51" t="n">
        <v>45</v>
      </c>
    </row>
    <row r="1472">
      <c r="A1472" s="52" t="inlineStr">
        <is>
          <t>정답</t>
        </is>
      </c>
      <c r="B1472" s="33">
        <f>IF($R$1439="","",IF($R$1439="언어와 매체",자동계산!$D$34,자동계산!$B$34))</f>
        <v/>
      </c>
      <c r="C1472" s="33">
        <f>IF($R$1439="","",IF($R$1439="언어와 매체",자동계산!$D$35,자동계산!$B$35))</f>
        <v/>
      </c>
      <c r="D1472" s="33">
        <f>IF($R$1439="","",IF($R$1439="언어와 매체",자동계산!$D$36,자동계산!$B$36))</f>
        <v/>
      </c>
      <c r="E1472" s="33">
        <f>IF($R$1439="","",IF($R$1439="언어와 매체",자동계산!$D$37,자동계산!$B$37))</f>
        <v/>
      </c>
      <c r="F1472" s="33">
        <f>IF($R$1439="","",IF($R$1439="언어와 매체",자동계산!$D$38,자동계산!$B$38))</f>
        <v/>
      </c>
      <c r="G1472" s="33">
        <f>IF($R$1439="","",IF($R$1439="언어와 매체",자동계산!$D$39,자동계산!$B$39))</f>
        <v/>
      </c>
      <c r="H1472" s="33">
        <f>IF($R$1439="","",IF($R$1439="언어와 매체",자동계산!$D$40,자동계산!$B$40))</f>
        <v/>
      </c>
      <c r="I1472" s="33">
        <f>IF($R$1439="","",IF($R$1439="언어와 매체",자동계산!$D$41,자동계산!$B$41))</f>
        <v/>
      </c>
      <c r="J1472" s="33">
        <f>IF($R$1439="","",IF($R$1439="언어와 매체",자동계산!$D$42,자동계산!$B$42))</f>
        <v/>
      </c>
      <c r="K1472" s="33">
        <f>IF($R$1439="","",IF($R$1439="언어와 매체",자동계산!$D$43,자동계산!$B$43))</f>
        <v/>
      </c>
      <c r="L1472" s="33">
        <f>IF($R$1439="","",IF($R$1439="언어와 매체",자동계산!$D$44,자동계산!$B$44))</f>
        <v/>
      </c>
      <c r="M1472" s="33">
        <f>IF($R$1439="","",IF($R$1439="언어와 매체",자동계산!$D$45,자동계산!$B$45))</f>
        <v/>
      </c>
      <c r="N1472" s="33">
        <f>IF($R$1439="","",IF($R$1439="언어와 매체",자동계산!$D$46,자동계산!$B$46))</f>
        <v/>
      </c>
      <c r="O1472" s="33">
        <f>IF($R$1439="","",IF($R$1439="언어와 매체",자동계산!$D$47,자동계산!$B$47))</f>
        <v/>
      </c>
      <c r="P1472" s="33">
        <f>IF($R$1439="","",IF($R$1439="언어와 매체",자동계산!$D$48,자동계산!$B$48))</f>
        <v/>
      </c>
    </row>
    <row r="1473">
      <c r="A1473" s="52" t="inlineStr">
        <is>
          <t>학생답안</t>
        </is>
      </c>
      <c r="B1473" s="33">
        <f>IF($R$1438="","",INDEX(전체채점!AI$3:AI$62,$R$1438))</f>
        <v/>
      </c>
      <c r="C1473" s="33">
        <f>IF($R$1438="","",INDEX(전체채점!AJ$3:AJ$62,$R$1438))</f>
        <v/>
      </c>
      <c r="D1473" s="33">
        <f>IF($R$1438="","",INDEX(전체채점!AK$3:AK$62,$R$1438))</f>
        <v/>
      </c>
      <c r="E1473" s="33">
        <f>IF($R$1438="","",INDEX(전체채점!AL$3:AL$62,$R$1438))</f>
        <v/>
      </c>
      <c r="F1473" s="33">
        <f>IF($R$1438="","",INDEX(전체채점!AM$3:AM$62,$R$1438))</f>
        <v/>
      </c>
      <c r="G1473" s="33">
        <f>IF($R$1438="","",INDEX(전체채점!AN$3:AN$62,$R$1438))</f>
        <v/>
      </c>
      <c r="H1473" s="33">
        <f>IF($R$1438="","",INDEX(전체채점!AO$3:AO$62,$R$1438))</f>
        <v/>
      </c>
      <c r="I1473" s="33">
        <f>IF($R$1438="","",INDEX(전체채점!AP$3:AP$62,$R$1438))</f>
        <v/>
      </c>
      <c r="J1473" s="33">
        <f>IF($R$1438="","",INDEX(전체채점!AQ$3:AQ$62,$R$1438))</f>
        <v/>
      </c>
      <c r="K1473" s="33">
        <f>IF($R$1438="","",INDEX(전체채점!AR$3:AR$62,$R$1438))</f>
        <v/>
      </c>
      <c r="L1473" s="33">
        <f>IF($R$1438="","",INDEX(전체채점!AS$3:AS$62,$R$1438))</f>
        <v/>
      </c>
      <c r="M1473" s="33">
        <f>IF($R$1438="","",INDEX(전체채점!AT$3:AT$62,$R$1438))</f>
        <v/>
      </c>
      <c r="N1473" s="33">
        <f>IF($R$1438="","",INDEX(전체채점!AU$3:AU$62,$R$1438))</f>
        <v/>
      </c>
      <c r="O1473" s="33">
        <f>IF($R$1438="","",INDEX(전체채점!AV$3:AV$62,$R$1438))</f>
        <v/>
      </c>
      <c r="P1473" s="33">
        <f>IF($R$1438="","",INDEX(전체채점!AW$3:AW$62,$R$1438))</f>
        <v/>
      </c>
    </row>
    <row r="1474">
      <c r="A1474" s="52" t="inlineStr">
        <is>
          <t>정오</t>
        </is>
      </c>
      <c r="B1474" s="33">
        <f>IF($R$1438="","",INDEX(전체채점!CB$3:CB$62,$R$1438))</f>
        <v/>
      </c>
      <c r="C1474" s="33">
        <f>IF($R$1438="","",INDEX(전체채점!CC$3:CC$62,$R$1438))</f>
        <v/>
      </c>
      <c r="D1474" s="33">
        <f>IF($R$1438="","",INDEX(전체채점!CD$3:CD$62,$R$1438))</f>
        <v/>
      </c>
      <c r="E1474" s="33">
        <f>IF($R$1438="","",INDEX(전체채점!CE$3:CE$62,$R$1438))</f>
        <v/>
      </c>
      <c r="F1474" s="33">
        <f>IF($R$1438="","",INDEX(전체채점!CF$3:CF$62,$R$1438))</f>
        <v/>
      </c>
      <c r="G1474" s="33">
        <f>IF($R$1438="","",INDEX(전체채점!CG$3:CG$62,$R$1438))</f>
        <v/>
      </c>
      <c r="H1474" s="33">
        <f>IF($R$1438="","",INDEX(전체채점!CH$3:CH$62,$R$1438))</f>
        <v/>
      </c>
      <c r="I1474" s="33">
        <f>IF($R$1438="","",INDEX(전체채점!CI$3:CI$62,$R$1438))</f>
        <v/>
      </c>
      <c r="J1474" s="33">
        <f>IF($R$1438="","",INDEX(전체채점!CJ$3:CJ$62,$R$1438))</f>
        <v/>
      </c>
      <c r="K1474" s="33">
        <f>IF($R$1438="","",INDEX(전체채점!CK$3:CK$62,$R$1438))</f>
        <v/>
      </c>
      <c r="L1474" s="33">
        <f>IF($R$1438="","",INDEX(전체채점!CL$3:CL$62,$R$1438))</f>
        <v/>
      </c>
      <c r="M1474" s="33">
        <f>IF($R$1438="","",INDEX(전체채점!CM$3:CM$62,$R$1438))</f>
        <v/>
      </c>
      <c r="N1474" s="33">
        <f>IF($R$1438="","",INDEX(전체채점!CN$3:CN$62,$R$1438))</f>
        <v/>
      </c>
      <c r="O1474" s="33">
        <f>IF($R$1438="","",INDEX(전체채점!CO$3:CO$62,$R$1438))</f>
        <v/>
      </c>
      <c r="P1474" s="33">
        <f>IF($R$1438="","",INDEX(전체채점!CP$3:CP$62,$R$1438))</f>
        <v/>
      </c>
    </row>
    <row r="1477" ht="34" customHeight="1">
      <c r="A1477" s="36">
        <f>IF($R$1479="","",회차설정!$B$2&amp;" 성적표")</f>
        <v/>
      </c>
    </row>
    <row r="1479">
      <c r="A1479" s="12" t="inlineStr">
        <is>
          <t>1. 학생정보</t>
        </is>
      </c>
      <c r="R1479" s="37">
        <f>IF(답안입력!$A$39="","",37)</f>
        <v/>
      </c>
      <c r="S1479" s="37">
        <f>IF($R$1480="","",IFERROR(IF($R$1480="언어와 매체",MATCH(1,회차설정!$G$13:$G$27,0),MATCH(1,회차설정!$F$13:$F$27,0)),""))</f>
        <v/>
      </c>
    </row>
    <row r="1480">
      <c r="A1480" s="13" t="inlineStr">
        <is>
          <t>성명</t>
        </is>
      </c>
      <c r="B1480" s="7" t="n"/>
      <c r="C1480" s="8" t="n"/>
      <c r="D1480" s="13" t="inlineStr">
        <is>
          <t>선택과목</t>
        </is>
      </c>
      <c r="E1480" s="7" t="n"/>
      <c r="F1480" s="7" t="n"/>
      <c r="G1480" s="8" t="n"/>
      <c r="H1480" s="13" t="inlineStr">
        <is>
          <t>학년</t>
        </is>
      </c>
      <c r="I1480" s="7" t="n"/>
      <c r="J1480" s="7" t="n"/>
      <c r="K1480" s="8" t="n"/>
      <c r="L1480" s="13" t="inlineStr">
        <is>
          <t>시행일</t>
        </is>
      </c>
      <c r="M1480" s="7" t="n"/>
      <c r="N1480" s="7" t="n"/>
      <c r="O1480" s="7" t="n"/>
      <c r="P1480" s="8" t="n"/>
      <c r="R1480" s="37">
        <f>IF($R$1479="","",INDEX(전체채점!$B$3:$B$62,$R$1479))</f>
        <v/>
      </c>
      <c r="S1480" s="37">
        <f>IF($R$1480="","",IFERROR(IF($R$1480="언어와 매체",MATCH(2,회차설정!$G$13:$G$27,0),MATCH(2,회차설정!$F$13:$F$27,0)),""))</f>
        <v/>
      </c>
    </row>
    <row r="1481" ht="26" customHeight="1">
      <c r="A1481" s="39">
        <f>IF($R$1479="","",INDEX(답안입력!$A$3:$A$62,$R$1479))</f>
        <v/>
      </c>
      <c r="B1481" s="7" t="n"/>
      <c r="C1481" s="8" t="n"/>
      <c r="D1481" s="39">
        <f>IF($R$1479="","",INDEX(답안입력!$C$3:$C$62,$R$1479))</f>
        <v/>
      </c>
      <c r="E1481" s="7" t="n"/>
      <c r="F1481" s="7" t="n"/>
      <c r="G1481" s="8" t="n"/>
      <c r="H1481" s="39">
        <f>IF($R$1479="","",INDEX(답안입력!$B$3:$B$62,$R$1479))</f>
        <v/>
      </c>
      <c r="I1481" s="7" t="n"/>
      <c r="J1481" s="7" t="n"/>
      <c r="K1481" s="8" t="n"/>
      <c r="L1481" s="40">
        <f>회차설정!$B$3</f>
        <v/>
      </c>
      <c r="M1481" s="7" t="n"/>
      <c r="N1481" s="7" t="n"/>
      <c r="O1481" s="7" t="n"/>
      <c r="P1481" s="8" t="n"/>
      <c r="R1481" s="37">
        <f>IF($R$1480="언어와 매체",회차설정!$B$9,회차설정!$B$8)</f>
        <v/>
      </c>
      <c r="S1481" s="37">
        <f>IF($R$1480="","",IFERROR(IF($R$1480="언어와 매체",MATCH(3,회차설정!$G$13:$G$27,0),MATCH(3,회차설정!$F$13:$F$27,0)),""))</f>
        <v/>
      </c>
    </row>
    <row r="1482">
      <c r="R1482" s="37">
        <f>IF($R$1480="언어와 매체",회차설정!$C$9,회차설정!$C$8)</f>
        <v/>
      </c>
      <c r="S1482" s="37">
        <f>IF($R$1480="","",IFERROR(IF($R$1480="언어와 매체",MATCH(4,회차설정!$G$13:$G$27,0),MATCH(4,회차설정!$F$13:$F$27,0)),""))</f>
        <v/>
      </c>
    </row>
    <row r="1483">
      <c r="A1483" s="12" t="inlineStr">
        <is>
          <t>2. 성적</t>
        </is>
      </c>
      <c r="R1483" s="37">
        <f>IF($R$1480="언어와 매체",회차설정!$D$9,회차설정!$D$8)</f>
        <v/>
      </c>
      <c r="S1483" s="37">
        <f>IF($R$1480="","",IFERROR(IF($R$1480="언어와 매체",MATCH(5,회차설정!$G$13:$G$27,0),MATCH(5,회차설정!$F$13:$F$27,0)),""))</f>
        <v/>
      </c>
    </row>
    <row r="1484">
      <c r="A1484" s="13" t="inlineStr">
        <is>
          <t>점수 (100점 만점)</t>
        </is>
      </c>
      <c r="B1484" s="7" t="n"/>
      <c r="C1484" s="7" t="n"/>
      <c r="D1484" s="7" t="n"/>
      <c r="E1484" s="8" t="n"/>
      <c r="F1484" s="13" t="inlineStr">
        <is>
          <t>등급</t>
        </is>
      </c>
      <c r="G1484" s="7" t="n"/>
      <c r="H1484" s="8" t="n"/>
      <c r="I1484" s="13" t="inlineStr">
        <is>
          <t>등급컷</t>
        </is>
      </c>
      <c r="J1484" s="7" t="n"/>
      <c r="K1484" s="7" t="n"/>
      <c r="L1484" s="8" t="n"/>
      <c r="M1484" s="13" t="inlineStr">
        <is>
          <t>같은 선택과목 평균</t>
        </is>
      </c>
      <c r="N1484" s="7" t="n"/>
      <c r="O1484" s="7" t="n"/>
      <c r="P1484" s="8" t="n"/>
      <c r="R1484" s="37">
        <f>IF($R$1480="언어와 매체",회차설정!$E$9,회차설정!$E$8)</f>
        <v/>
      </c>
      <c r="S1484" s="37">
        <f>IF($R$1480="","",IFERROR(IF($R$1480="언어와 매체",MATCH(6,회차설정!$G$13:$G$27,0),MATCH(6,회차설정!$F$13:$F$27,0)),""))</f>
        <v/>
      </c>
    </row>
    <row r="1485" ht="34" customHeight="1">
      <c r="A1485" s="41">
        <f>IF($R$1479="","",INDEX(전체채점!$C$3:$C$62,$R$1479))</f>
        <v/>
      </c>
      <c r="B1485" s="7" t="n"/>
      <c r="C1485" s="7" t="n"/>
      <c r="D1485" s="7" t="n"/>
      <c r="E1485" s="8" t="n"/>
      <c r="F1485" s="42">
        <f>IF($R$1479="","",INDEX(전체채점!$D$3:$D$62,$R$1479))</f>
        <v/>
      </c>
      <c r="G1485" s="7" t="n"/>
      <c r="H1485" s="8" t="n"/>
      <c r="I1485" s="43">
        <f>IF($R$1479="","",$R$1481&amp;"-"&amp;$R$1482&amp;"-"&amp;$R$1483&amp;"-"&amp;$R$1484)</f>
        <v/>
      </c>
      <c r="J1485" s="7" t="n"/>
      <c r="K1485" s="7" t="n"/>
      <c r="L1485" s="8" t="n"/>
      <c r="M1485" s="44">
        <f>IFERROR(AVERAGEIF(전체채점!$B$3:$B$62,$R$1480,전체채점!$C$3:$C$62),"")</f>
        <v/>
      </c>
      <c r="N1485" s="7" t="n"/>
      <c r="O1485" s="7" t="n"/>
      <c r="P1485" s="8" t="n"/>
      <c r="S1485" s="37">
        <f>IF($R$1480="","",IFERROR(IF($R$1480="언어와 매체",MATCH(7,회차설정!$G$13:$G$27,0),MATCH(7,회차설정!$F$13:$F$27,0)),""))</f>
        <v/>
      </c>
    </row>
    <row r="1486">
      <c r="S1486" s="37">
        <f>IF($R$1480="","",IFERROR(IF($R$1480="언어와 매체",MATCH(8,회차설정!$G$13:$G$27,0),MATCH(8,회차설정!$F$13:$F$27,0)),""))</f>
        <v/>
      </c>
    </row>
    <row r="1487">
      <c r="A1487" s="12" t="inlineStr">
        <is>
          <t>3. 영역분류별 성취도 분석</t>
        </is>
      </c>
      <c r="F1487" s="45">
        <f>IF(OR($R$1479="",$E1501=""),"",IF($E1501=INDEX(전체채점!$C$3:$C$62,$R$1479),"","※ 회차설정의 영역 표를 확인하세요 — 영역 합계와 점수가 다릅니다"))</f>
        <v/>
      </c>
      <c r="S1487" s="37">
        <f>IF($R$1480="","",IFERROR(IF($R$1480="언어와 매체",MATCH(9,회차설정!$G$13:$G$27,0),MATCH(9,회차설정!$F$13:$F$27,0)),""))</f>
        <v/>
      </c>
    </row>
    <row r="1488">
      <c r="A1488" s="13" t="inlineStr">
        <is>
          <t>분류</t>
        </is>
      </c>
      <c r="B1488" s="13" t="inlineStr">
        <is>
          <t>영역</t>
        </is>
      </c>
      <c r="C1488" s="8" t="n"/>
      <c r="D1488" s="13" t="inlineStr">
        <is>
          <t>배점</t>
        </is>
      </c>
      <c r="E1488" s="13" t="inlineStr">
        <is>
          <t>득점</t>
        </is>
      </c>
      <c r="F1488" s="13" t="inlineStr">
        <is>
          <t>성취도(%)</t>
        </is>
      </c>
      <c r="G1488" s="8" t="n"/>
      <c r="H1488" s="13" t="inlineStr"/>
      <c r="I1488" s="7" t="n"/>
      <c r="J1488" s="7" t="n"/>
      <c r="K1488" s="7" t="n"/>
      <c r="L1488" s="7" t="n"/>
      <c r="M1488" s="7" t="n"/>
      <c r="N1488" s="7" t="n"/>
      <c r="O1488" s="7" t="n"/>
      <c r="P1488" s="8" t="n"/>
      <c r="S1488" s="37">
        <f>IF($R$1480="","",IFERROR(IF($R$1480="언어와 매체",MATCH(10,회차설정!$G$13:$G$27,0),MATCH(10,회차설정!$F$13:$F$27,0)),""))</f>
        <v/>
      </c>
    </row>
    <row r="1489">
      <c r="A1489" s="14">
        <f>IF($S$1479="","",INDEX(회차설정!$A$13:$A$27,$S$1479))</f>
        <v/>
      </c>
      <c r="B1489" s="14">
        <f>IF($S$1479="","",INDEX(회차설정!$B$13:$B$27,$S$1479))</f>
        <v/>
      </c>
      <c r="C1489" s="8" t="n"/>
      <c r="D1489" s="14">
        <f>IF($S$1479="","",IF($R$1480="언어와 매체",SUMPRODUCT((자동계산!$A$4:$A$48&gt;=INDEX(회차설정!$C$13:$C$27,$S$1479))*(자동계산!$A$4:$A$48&lt;=INDEX(회차설정!$D$13:$D$27,$S$1479))*자동계산!$E$4:$E$48),SUMPRODUCT((자동계산!$A$4:$A$48&gt;=INDEX(회차설정!$C$13:$C$27,$S$1479))*(자동계산!$A$4:$A$48&lt;=INDEX(회차설정!$D$13:$D$27,$S$1479))*자동계산!$C$4:$C$48)))</f>
        <v/>
      </c>
      <c r="E1489" s="14">
        <f>IF(OR($S$1479="",$R$1479=""),"",SUM(OFFSET(전체채점!$AW$2,$R$1479,INDEX(회차설정!$C$13:$C$27,$S$1479),1,INDEX(회차설정!$D$13:$D$27,$S$1479)-INDEX(회차설정!$C$13:$C$27,$S$1479)+1)))</f>
        <v/>
      </c>
      <c r="F1489" s="46">
        <f>IF(OR($S$1479="",$D1489=0,$D1489="",$E1489=""),"",$E1489/$D1489*100)</f>
        <v/>
      </c>
      <c r="G1489" s="8" t="n"/>
      <c r="H1489" s="47">
        <f>IF($F1489="","",REPT("■",ROUND($F1489/5,0)))</f>
        <v/>
      </c>
      <c r="I1489" s="7" t="n"/>
      <c r="J1489" s="7" t="n"/>
      <c r="K1489" s="7" t="n"/>
      <c r="L1489" s="7" t="n"/>
      <c r="M1489" s="7" t="n"/>
      <c r="N1489" s="7" t="n"/>
      <c r="O1489" s="7" t="n"/>
      <c r="P1489" s="8" t="n"/>
      <c r="S1489" s="37">
        <f>IF($R$1480="","",IFERROR(IF($R$1480="언어와 매체",MATCH(11,회차설정!$G$13:$G$27,0),MATCH(11,회차설정!$F$13:$F$27,0)),""))</f>
        <v/>
      </c>
    </row>
    <row r="1490">
      <c r="A1490" s="14">
        <f>IF($S$1480="","",INDEX(회차설정!$A$13:$A$27,$S$1480))</f>
        <v/>
      </c>
      <c r="B1490" s="14">
        <f>IF($S$1480="","",INDEX(회차설정!$B$13:$B$27,$S$1480))</f>
        <v/>
      </c>
      <c r="C1490" s="8" t="n"/>
      <c r="D1490" s="14">
        <f>IF($S$1480="","",IF($R$1480="언어와 매체",SUMPRODUCT((자동계산!$A$4:$A$48&gt;=INDEX(회차설정!$C$13:$C$27,$S$1480))*(자동계산!$A$4:$A$48&lt;=INDEX(회차설정!$D$13:$D$27,$S$1480))*자동계산!$E$4:$E$48),SUMPRODUCT((자동계산!$A$4:$A$48&gt;=INDEX(회차설정!$C$13:$C$27,$S$1480))*(자동계산!$A$4:$A$48&lt;=INDEX(회차설정!$D$13:$D$27,$S$1480))*자동계산!$C$4:$C$48)))</f>
        <v/>
      </c>
      <c r="E1490" s="14">
        <f>IF(OR($S$1480="",$R$1479=""),"",SUM(OFFSET(전체채점!$AW$2,$R$1479,INDEX(회차설정!$C$13:$C$27,$S$1480),1,INDEX(회차설정!$D$13:$D$27,$S$1480)-INDEX(회차설정!$C$13:$C$27,$S$1480)+1)))</f>
        <v/>
      </c>
      <c r="F1490" s="46">
        <f>IF(OR($S$1480="",$D1490=0,$D1490="",$E1490=""),"",$E1490/$D1490*100)</f>
        <v/>
      </c>
      <c r="G1490" s="8" t="n"/>
      <c r="H1490" s="47">
        <f>IF($F1490="","",REPT("■",ROUND($F1490/5,0)))</f>
        <v/>
      </c>
      <c r="I1490" s="7" t="n"/>
      <c r="J1490" s="7" t="n"/>
      <c r="K1490" s="7" t="n"/>
      <c r="L1490" s="7" t="n"/>
      <c r="M1490" s="7" t="n"/>
      <c r="N1490" s="7" t="n"/>
      <c r="O1490" s="7" t="n"/>
      <c r="P1490" s="8" t="n"/>
      <c r="S1490" s="37">
        <f>IF($R$1480="","",IFERROR(IF($R$1480="언어와 매체",MATCH(12,회차설정!$G$13:$G$27,0),MATCH(12,회차설정!$F$13:$F$27,0)),""))</f>
        <v/>
      </c>
    </row>
    <row r="1491">
      <c r="A1491" s="14">
        <f>IF($S$1481="","",INDEX(회차설정!$A$13:$A$27,$S$1481))</f>
        <v/>
      </c>
      <c r="B1491" s="14">
        <f>IF($S$1481="","",INDEX(회차설정!$B$13:$B$27,$S$1481))</f>
        <v/>
      </c>
      <c r="C1491" s="8" t="n"/>
      <c r="D1491" s="14">
        <f>IF($S$1481="","",IF($R$1480="언어와 매체",SUMPRODUCT((자동계산!$A$4:$A$48&gt;=INDEX(회차설정!$C$13:$C$27,$S$1481))*(자동계산!$A$4:$A$48&lt;=INDEX(회차설정!$D$13:$D$27,$S$1481))*자동계산!$E$4:$E$48),SUMPRODUCT((자동계산!$A$4:$A$48&gt;=INDEX(회차설정!$C$13:$C$27,$S$1481))*(자동계산!$A$4:$A$48&lt;=INDEX(회차설정!$D$13:$D$27,$S$1481))*자동계산!$C$4:$C$48)))</f>
        <v/>
      </c>
      <c r="E1491" s="14">
        <f>IF(OR($S$1481="",$R$1479=""),"",SUM(OFFSET(전체채점!$AW$2,$R$1479,INDEX(회차설정!$C$13:$C$27,$S$1481),1,INDEX(회차설정!$D$13:$D$27,$S$1481)-INDEX(회차설정!$C$13:$C$27,$S$1481)+1)))</f>
        <v/>
      </c>
      <c r="F1491" s="46">
        <f>IF(OR($S$1481="",$D1491=0,$D1491="",$E1491=""),"",$E1491/$D1491*100)</f>
        <v/>
      </c>
      <c r="G1491" s="8" t="n"/>
      <c r="H1491" s="47">
        <f>IF($F1491="","",REPT("■",ROUND($F1491/5,0)))</f>
        <v/>
      </c>
      <c r="I1491" s="7" t="n"/>
      <c r="J1491" s="7" t="n"/>
      <c r="K1491" s="7" t="n"/>
      <c r="L1491" s="7" t="n"/>
      <c r="M1491" s="7" t="n"/>
      <c r="N1491" s="7" t="n"/>
      <c r="O1491" s="7" t="n"/>
      <c r="P1491" s="8" t="n"/>
    </row>
    <row r="1492">
      <c r="A1492" s="14">
        <f>IF($S$1482="","",INDEX(회차설정!$A$13:$A$27,$S$1482))</f>
        <v/>
      </c>
      <c r="B1492" s="14">
        <f>IF($S$1482="","",INDEX(회차설정!$B$13:$B$27,$S$1482))</f>
        <v/>
      </c>
      <c r="C1492" s="8" t="n"/>
      <c r="D1492" s="14">
        <f>IF($S$1482="","",IF($R$1480="언어와 매체",SUMPRODUCT((자동계산!$A$4:$A$48&gt;=INDEX(회차설정!$C$13:$C$27,$S$1482))*(자동계산!$A$4:$A$48&lt;=INDEX(회차설정!$D$13:$D$27,$S$1482))*자동계산!$E$4:$E$48),SUMPRODUCT((자동계산!$A$4:$A$48&gt;=INDEX(회차설정!$C$13:$C$27,$S$1482))*(자동계산!$A$4:$A$48&lt;=INDEX(회차설정!$D$13:$D$27,$S$1482))*자동계산!$C$4:$C$48)))</f>
        <v/>
      </c>
      <c r="E1492" s="14">
        <f>IF(OR($S$1482="",$R$1479=""),"",SUM(OFFSET(전체채점!$AW$2,$R$1479,INDEX(회차설정!$C$13:$C$27,$S$1482),1,INDEX(회차설정!$D$13:$D$27,$S$1482)-INDEX(회차설정!$C$13:$C$27,$S$1482)+1)))</f>
        <v/>
      </c>
      <c r="F1492" s="46">
        <f>IF(OR($S$1482="",$D1492=0,$D1492="",$E1492=""),"",$E1492/$D1492*100)</f>
        <v/>
      </c>
      <c r="G1492" s="8" t="n"/>
      <c r="H1492" s="47">
        <f>IF($F1492="","",REPT("■",ROUND($F1492/5,0)))</f>
        <v/>
      </c>
      <c r="I1492" s="7" t="n"/>
      <c r="J1492" s="7" t="n"/>
      <c r="K1492" s="7" t="n"/>
      <c r="L1492" s="7" t="n"/>
      <c r="M1492" s="7" t="n"/>
      <c r="N1492" s="7" t="n"/>
      <c r="O1492" s="7" t="n"/>
      <c r="P1492" s="8" t="n"/>
    </row>
    <row r="1493">
      <c r="A1493" s="14">
        <f>IF($S$1483="","",INDEX(회차설정!$A$13:$A$27,$S$1483))</f>
        <v/>
      </c>
      <c r="B1493" s="14">
        <f>IF($S$1483="","",INDEX(회차설정!$B$13:$B$27,$S$1483))</f>
        <v/>
      </c>
      <c r="C1493" s="8" t="n"/>
      <c r="D1493" s="14">
        <f>IF($S$1483="","",IF($R$1480="언어와 매체",SUMPRODUCT((자동계산!$A$4:$A$48&gt;=INDEX(회차설정!$C$13:$C$27,$S$1483))*(자동계산!$A$4:$A$48&lt;=INDEX(회차설정!$D$13:$D$27,$S$1483))*자동계산!$E$4:$E$48),SUMPRODUCT((자동계산!$A$4:$A$48&gt;=INDEX(회차설정!$C$13:$C$27,$S$1483))*(자동계산!$A$4:$A$48&lt;=INDEX(회차설정!$D$13:$D$27,$S$1483))*자동계산!$C$4:$C$48)))</f>
        <v/>
      </c>
      <c r="E1493" s="14">
        <f>IF(OR($S$1483="",$R$1479=""),"",SUM(OFFSET(전체채점!$AW$2,$R$1479,INDEX(회차설정!$C$13:$C$27,$S$1483),1,INDEX(회차설정!$D$13:$D$27,$S$1483)-INDEX(회차설정!$C$13:$C$27,$S$1483)+1)))</f>
        <v/>
      </c>
      <c r="F1493" s="46">
        <f>IF(OR($S$1483="",$D1493=0,$D1493="",$E1493=""),"",$E1493/$D1493*100)</f>
        <v/>
      </c>
      <c r="G1493" s="8" t="n"/>
      <c r="H1493" s="47">
        <f>IF($F1493="","",REPT("■",ROUND($F1493/5,0)))</f>
        <v/>
      </c>
      <c r="I1493" s="7" t="n"/>
      <c r="J1493" s="7" t="n"/>
      <c r="K1493" s="7" t="n"/>
      <c r="L1493" s="7" t="n"/>
      <c r="M1493" s="7" t="n"/>
      <c r="N1493" s="7" t="n"/>
      <c r="O1493" s="7" t="n"/>
      <c r="P1493" s="8" t="n"/>
    </row>
    <row r="1494">
      <c r="A1494" s="14">
        <f>IF($S$1484="","",INDEX(회차설정!$A$13:$A$27,$S$1484))</f>
        <v/>
      </c>
      <c r="B1494" s="14">
        <f>IF($S$1484="","",INDEX(회차설정!$B$13:$B$27,$S$1484))</f>
        <v/>
      </c>
      <c r="C1494" s="8" t="n"/>
      <c r="D1494" s="14">
        <f>IF($S$1484="","",IF($R$1480="언어와 매체",SUMPRODUCT((자동계산!$A$4:$A$48&gt;=INDEX(회차설정!$C$13:$C$27,$S$1484))*(자동계산!$A$4:$A$48&lt;=INDEX(회차설정!$D$13:$D$27,$S$1484))*자동계산!$E$4:$E$48),SUMPRODUCT((자동계산!$A$4:$A$48&gt;=INDEX(회차설정!$C$13:$C$27,$S$1484))*(자동계산!$A$4:$A$48&lt;=INDEX(회차설정!$D$13:$D$27,$S$1484))*자동계산!$C$4:$C$48)))</f>
        <v/>
      </c>
      <c r="E1494" s="14">
        <f>IF(OR($S$1484="",$R$1479=""),"",SUM(OFFSET(전체채점!$AW$2,$R$1479,INDEX(회차설정!$C$13:$C$27,$S$1484),1,INDEX(회차설정!$D$13:$D$27,$S$1484)-INDEX(회차설정!$C$13:$C$27,$S$1484)+1)))</f>
        <v/>
      </c>
      <c r="F1494" s="46">
        <f>IF(OR($S$1484="",$D1494=0,$D1494="",$E1494=""),"",$E1494/$D1494*100)</f>
        <v/>
      </c>
      <c r="G1494" s="8" t="n"/>
      <c r="H1494" s="47">
        <f>IF($F1494="","",REPT("■",ROUND($F1494/5,0)))</f>
        <v/>
      </c>
      <c r="I1494" s="7" t="n"/>
      <c r="J1494" s="7" t="n"/>
      <c r="K1494" s="7" t="n"/>
      <c r="L1494" s="7" t="n"/>
      <c r="M1494" s="7" t="n"/>
      <c r="N1494" s="7" t="n"/>
      <c r="O1494" s="7" t="n"/>
      <c r="P1494" s="8" t="n"/>
    </row>
    <row r="1495">
      <c r="A1495" s="14">
        <f>IF($S$1485="","",INDEX(회차설정!$A$13:$A$27,$S$1485))</f>
        <v/>
      </c>
      <c r="B1495" s="14">
        <f>IF($S$1485="","",INDEX(회차설정!$B$13:$B$27,$S$1485))</f>
        <v/>
      </c>
      <c r="C1495" s="8" t="n"/>
      <c r="D1495" s="14">
        <f>IF($S$1485="","",IF($R$1480="언어와 매체",SUMPRODUCT((자동계산!$A$4:$A$48&gt;=INDEX(회차설정!$C$13:$C$27,$S$1485))*(자동계산!$A$4:$A$48&lt;=INDEX(회차설정!$D$13:$D$27,$S$1485))*자동계산!$E$4:$E$48),SUMPRODUCT((자동계산!$A$4:$A$48&gt;=INDEX(회차설정!$C$13:$C$27,$S$1485))*(자동계산!$A$4:$A$48&lt;=INDEX(회차설정!$D$13:$D$27,$S$1485))*자동계산!$C$4:$C$48)))</f>
        <v/>
      </c>
      <c r="E1495" s="14">
        <f>IF(OR($S$1485="",$R$1479=""),"",SUM(OFFSET(전체채점!$AW$2,$R$1479,INDEX(회차설정!$C$13:$C$27,$S$1485),1,INDEX(회차설정!$D$13:$D$27,$S$1485)-INDEX(회차설정!$C$13:$C$27,$S$1485)+1)))</f>
        <v/>
      </c>
      <c r="F1495" s="46">
        <f>IF(OR($S$1485="",$D1495=0,$D1495="",$E1495=""),"",$E1495/$D1495*100)</f>
        <v/>
      </c>
      <c r="G1495" s="8" t="n"/>
      <c r="H1495" s="47">
        <f>IF($F1495="","",REPT("■",ROUND($F1495/5,0)))</f>
        <v/>
      </c>
      <c r="I1495" s="7" t="n"/>
      <c r="J1495" s="7" t="n"/>
      <c r="K1495" s="7" t="n"/>
      <c r="L1495" s="7" t="n"/>
      <c r="M1495" s="7" t="n"/>
      <c r="N1495" s="7" t="n"/>
      <c r="O1495" s="7" t="n"/>
      <c r="P1495" s="8" t="n"/>
    </row>
    <row r="1496">
      <c r="A1496" s="14">
        <f>IF($S$1486="","",INDEX(회차설정!$A$13:$A$27,$S$1486))</f>
        <v/>
      </c>
      <c r="B1496" s="14">
        <f>IF($S$1486="","",INDEX(회차설정!$B$13:$B$27,$S$1486))</f>
        <v/>
      </c>
      <c r="C1496" s="8" t="n"/>
      <c r="D1496" s="14">
        <f>IF($S$1486="","",IF($R$1480="언어와 매체",SUMPRODUCT((자동계산!$A$4:$A$48&gt;=INDEX(회차설정!$C$13:$C$27,$S$1486))*(자동계산!$A$4:$A$48&lt;=INDEX(회차설정!$D$13:$D$27,$S$1486))*자동계산!$E$4:$E$48),SUMPRODUCT((자동계산!$A$4:$A$48&gt;=INDEX(회차설정!$C$13:$C$27,$S$1486))*(자동계산!$A$4:$A$48&lt;=INDEX(회차설정!$D$13:$D$27,$S$1486))*자동계산!$C$4:$C$48)))</f>
        <v/>
      </c>
      <c r="E1496" s="14">
        <f>IF(OR($S$1486="",$R$1479=""),"",SUM(OFFSET(전체채점!$AW$2,$R$1479,INDEX(회차설정!$C$13:$C$27,$S$1486),1,INDEX(회차설정!$D$13:$D$27,$S$1486)-INDEX(회차설정!$C$13:$C$27,$S$1486)+1)))</f>
        <v/>
      </c>
      <c r="F1496" s="46">
        <f>IF(OR($S$1486="",$D1496=0,$D1496="",$E1496=""),"",$E1496/$D1496*100)</f>
        <v/>
      </c>
      <c r="G1496" s="8" t="n"/>
      <c r="H1496" s="47">
        <f>IF($F1496="","",REPT("■",ROUND($F1496/5,0)))</f>
        <v/>
      </c>
      <c r="I1496" s="7" t="n"/>
      <c r="J1496" s="7" t="n"/>
      <c r="K1496" s="7" t="n"/>
      <c r="L1496" s="7" t="n"/>
      <c r="M1496" s="7" t="n"/>
      <c r="N1496" s="7" t="n"/>
      <c r="O1496" s="7" t="n"/>
      <c r="P1496" s="8" t="n"/>
    </row>
    <row r="1497">
      <c r="A1497" s="14">
        <f>IF($S$1487="","",INDEX(회차설정!$A$13:$A$27,$S$1487))</f>
        <v/>
      </c>
      <c r="B1497" s="14">
        <f>IF($S$1487="","",INDEX(회차설정!$B$13:$B$27,$S$1487))</f>
        <v/>
      </c>
      <c r="C1497" s="8" t="n"/>
      <c r="D1497" s="14">
        <f>IF($S$1487="","",IF($R$1480="언어와 매체",SUMPRODUCT((자동계산!$A$4:$A$48&gt;=INDEX(회차설정!$C$13:$C$27,$S$1487))*(자동계산!$A$4:$A$48&lt;=INDEX(회차설정!$D$13:$D$27,$S$1487))*자동계산!$E$4:$E$48),SUMPRODUCT((자동계산!$A$4:$A$48&gt;=INDEX(회차설정!$C$13:$C$27,$S$1487))*(자동계산!$A$4:$A$48&lt;=INDEX(회차설정!$D$13:$D$27,$S$1487))*자동계산!$C$4:$C$48)))</f>
        <v/>
      </c>
      <c r="E1497" s="14">
        <f>IF(OR($S$1487="",$R$1479=""),"",SUM(OFFSET(전체채점!$AW$2,$R$1479,INDEX(회차설정!$C$13:$C$27,$S$1487),1,INDEX(회차설정!$D$13:$D$27,$S$1487)-INDEX(회차설정!$C$13:$C$27,$S$1487)+1)))</f>
        <v/>
      </c>
      <c r="F1497" s="46">
        <f>IF(OR($S$1487="",$D1497=0,$D1497="",$E1497=""),"",$E1497/$D1497*100)</f>
        <v/>
      </c>
      <c r="G1497" s="8" t="n"/>
      <c r="H1497" s="47">
        <f>IF($F1497="","",REPT("■",ROUND($F1497/5,0)))</f>
        <v/>
      </c>
      <c r="I1497" s="7" t="n"/>
      <c r="J1497" s="7" t="n"/>
      <c r="K1497" s="7" t="n"/>
      <c r="L1497" s="7" t="n"/>
      <c r="M1497" s="7" t="n"/>
      <c r="N1497" s="7" t="n"/>
      <c r="O1497" s="7" t="n"/>
      <c r="P1497" s="8" t="n"/>
    </row>
    <row r="1498">
      <c r="A1498" s="14">
        <f>IF($S$1488="","",INDEX(회차설정!$A$13:$A$27,$S$1488))</f>
        <v/>
      </c>
      <c r="B1498" s="14">
        <f>IF($S$1488="","",INDEX(회차설정!$B$13:$B$27,$S$1488))</f>
        <v/>
      </c>
      <c r="C1498" s="8" t="n"/>
      <c r="D1498" s="14">
        <f>IF($S$1488="","",IF($R$1480="언어와 매체",SUMPRODUCT((자동계산!$A$4:$A$48&gt;=INDEX(회차설정!$C$13:$C$27,$S$1488))*(자동계산!$A$4:$A$48&lt;=INDEX(회차설정!$D$13:$D$27,$S$1488))*자동계산!$E$4:$E$48),SUMPRODUCT((자동계산!$A$4:$A$48&gt;=INDEX(회차설정!$C$13:$C$27,$S$1488))*(자동계산!$A$4:$A$48&lt;=INDEX(회차설정!$D$13:$D$27,$S$1488))*자동계산!$C$4:$C$48)))</f>
        <v/>
      </c>
      <c r="E1498" s="14">
        <f>IF(OR($S$1488="",$R$1479=""),"",SUM(OFFSET(전체채점!$AW$2,$R$1479,INDEX(회차설정!$C$13:$C$27,$S$1488),1,INDEX(회차설정!$D$13:$D$27,$S$1488)-INDEX(회차설정!$C$13:$C$27,$S$1488)+1)))</f>
        <v/>
      </c>
      <c r="F1498" s="46">
        <f>IF(OR($S$1488="",$D1498=0,$D1498="",$E1498=""),"",$E1498/$D1498*100)</f>
        <v/>
      </c>
      <c r="G1498" s="8" t="n"/>
      <c r="H1498" s="47">
        <f>IF($F1498="","",REPT("■",ROUND($F1498/5,0)))</f>
        <v/>
      </c>
      <c r="I1498" s="7" t="n"/>
      <c r="J1498" s="7" t="n"/>
      <c r="K1498" s="7" t="n"/>
      <c r="L1498" s="7" t="n"/>
      <c r="M1498" s="7" t="n"/>
      <c r="N1498" s="7" t="n"/>
      <c r="O1498" s="7" t="n"/>
      <c r="P1498" s="8" t="n"/>
    </row>
    <row r="1499">
      <c r="A1499" s="14">
        <f>IF($S$1489="","",INDEX(회차설정!$A$13:$A$27,$S$1489))</f>
        <v/>
      </c>
      <c r="B1499" s="14">
        <f>IF($S$1489="","",INDEX(회차설정!$B$13:$B$27,$S$1489))</f>
        <v/>
      </c>
      <c r="C1499" s="8" t="n"/>
      <c r="D1499" s="14">
        <f>IF($S$1489="","",IF($R$1480="언어와 매체",SUMPRODUCT((자동계산!$A$4:$A$48&gt;=INDEX(회차설정!$C$13:$C$27,$S$1489))*(자동계산!$A$4:$A$48&lt;=INDEX(회차설정!$D$13:$D$27,$S$1489))*자동계산!$E$4:$E$48),SUMPRODUCT((자동계산!$A$4:$A$48&gt;=INDEX(회차설정!$C$13:$C$27,$S$1489))*(자동계산!$A$4:$A$48&lt;=INDEX(회차설정!$D$13:$D$27,$S$1489))*자동계산!$C$4:$C$48)))</f>
        <v/>
      </c>
      <c r="E1499" s="14">
        <f>IF(OR($S$1489="",$R$1479=""),"",SUM(OFFSET(전체채점!$AW$2,$R$1479,INDEX(회차설정!$C$13:$C$27,$S$1489),1,INDEX(회차설정!$D$13:$D$27,$S$1489)-INDEX(회차설정!$C$13:$C$27,$S$1489)+1)))</f>
        <v/>
      </c>
      <c r="F1499" s="46">
        <f>IF(OR($S$1489="",$D1499=0,$D1499="",$E1499=""),"",$E1499/$D1499*100)</f>
        <v/>
      </c>
      <c r="G1499" s="8" t="n"/>
      <c r="H1499" s="47">
        <f>IF($F1499="","",REPT("■",ROUND($F1499/5,0)))</f>
        <v/>
      </c>
      <c r="I1499" s="7" t="n"/>
      <c r="J1499" s="7" t="n"/>
      <c r="K1499" s="7" t="n"/>
      <c r="L1499" s="7" t="n"/>
      <c r="M1499" s="7" t="n"/>
      <c r="N1499" s="7" t="n"/>
      <c r="O1499" s="7" t="n"/>
      <c r="P1499" s="8" t="n"/>
    </row>
    <row r="1500">
      <c r="A1500" s="14">
        <f>IF($S$1490="","",INDEX(회차설정!$A$13:$A$27,$S$1490))</f>
        <v/>
      </c>
      <c r="B1500" s="14">
        <f>IF($S$1490="","",INDEX(회차설정!$B$13:$B$27,$S$1490))</f>
        <v/>
      </c>
      <c r="C1500" s="8" t="n"/>
      <c r="D1500" s="14">
        <f>IF($S$1490="","",IF($R$1480="언어와 매체",SUMPRODUCT((자동계산!$A$4:$A$48&gt;=INDEX(회차설정!$C$13:$C$27,$S$1490))*(자동계산!$A$4:$A$48&lt;=INDEX(회차설정!$D$13:$D$27,$S$1490))*자동계산!$E$4:$E$48),SUMPRODUCT((자동계산!$A$4:$A$48&gt;=INDEX(회차설정!$C$13:$C$27,$S$1490))*(자동계산!$A$4:$A$48&lt;=INDEX(회차설정!$D$13:$D$27,$S$1490))*자동계산!$C$4:$C$48)))</f>
        <v/>
      </c>
      <c r="E1500" s="14">
        <f>IF(OR($S$1490="",$R$1479=""),"",SUM(OFFSET(전체채점!$AW$2,$R$1479,INDEX(회차설정!$C$13:$C$27,$S$1490),1,INDEX(회차설정!$D$13:$D$27,$S$1490)-INDEX(회차설정!$C$13:$C$27,$S$1490)+1)))</f>
        <v/>
      </c>
      <c r="F1500" s="46">
        <f>IF(OR($S$1490="",$D1500=0,$D1500="",$E1500=""),"",$E1500/$D1500*100)</f>
        <v/>
      </c>
      <c r="G1500" s="8" t="n"/>
      <c r="H1500" s="47">
        <f>IF($F1500="","",REPT("■",ROUND($F1500/5,0)))</f>
        <v/>
      </c>
      <c r="I1500" s="7" t="n"/>
      <c r="J1500" s="7" t="n"/>
      <c r="K1500" s="7" t="n"/>
      <c r="L1500" s="7" t="n"/>
      <c r="M1500" s="7" t="n"/>
      <c r="N1500" s="7" t="n"/>
      <c r="O1500" s="7" t="n"/>
      <c r="P1500" s="8" t="n"/>
    </row>
    <row r="1501">
      <c r="A1501" s="5">
        <f>IF($R$1479="","","합계")</f>
        <v/>
      </c>
      <c r="B1501" s="7" t="n"/>
      <c r="C1501" s="8" t="n"/>
      <c r="D1501" s="5">
        <f>IF($R$1479="","",SUM(D1489:D1500))</f>
        <v/>
      </c>
      <c r="E1501" s="5">
        <f>IF($R$1479="","",SUM(E1489:E1500))</f>
        <v/>
      </c>
      <c r="F1501" s="48">
        <f>IF(OR($D1501=0,$D1501=""),"",$E1501/$D1501*100)</f>
        <v/>
      </c>
      <c r="G1501" s="8" t="n"/>
      <c r="H1501" s="49">
        <f>IF($F1501="","",REPT("■",ROUND($F1501/5,0)))</f>
        <v/>
      </c>
      <c r="I1501" s="7" t="n"/>
      <c r="J1501" s="7" t="n"/>
      <c r="K1501" s="7" t="n"/>
      <c r="L1501" s="7" t="n"/>
      <c r="M1501" s="7" t="n"/>
      <c r="N1501" s="7" t="n"/>
      <c r="O1501" s="7" t="n"/>
      <c r="P1501" s="8" t="n"/>
    </row>
    <row r="1503">
      <c r="A1503" s="12" t="inlineStr">
        <is>
          <t>4. 문항 채점표</t>
        </is>
      </c>
    </row>
    <row r="1504">
      <c r="A1504" s="50" t="inlineStr">
        <is>
          <t>문항 번호</t>
        </is>
      </c>
      <c r="B1504" s="51" t="n">
        <v>1</v>
      </c>
      <c r="C1504" s="51" t="n">
        <v>2</v>
      </c>
      <c r="D1504" s="51" t="n">
        <v>3</v>
      </c>
      <c r="E1504" s="51" t="n">
        <v>4</v>
      </c>
      <c r="F1504" s="51" t="n">
        <v>5</v>
      </c>
      <c r="G1504" s="51" t="n">
        <v>6</v>
      </c>
      <c r="H1504" s="51" t="n">
        <v>7</v>
      </c>
      <c r="I1504" s="51" t="n">
        <v>8</v>
      </c>
      <c r="J1504" s="51" t="n">
        <v>9</v>
      </c>
      <c r="K1504" s="51" t="n">
        <v>10</v>
      </c>
      <c r="L1504" s="51" t="n">
        <v>11</v>
      </c>
      <c r="M1504" s="51" t="n">
        <v>12</v>
      </c>
      <c r="N1504" s="51" t="n">
        <v>13</v>
      </c>
      <c r="O1504" s="51" t="n">
        <v>14</v>
      </c>
      <c r="P1504" s="51" t="n">
        <v>15</v>
      </c>
    </row>
    <row r="1505">
      <c r="A1505" s="52" t="inlineStr">
        <is>
          <t>정답</t>
        </is>
      </c>
      <c r="B1505" s="33">
        <f>IF($R$1480="","",IF($R$1480="언어와 매체",자동계산!$D$4,자동계산!$B$4))</f>
        <v/>
      </c>
      <c r="C1505" s="33">
        <f>IF($R$1480="","",IF($R$1480="언어와 매체",자동계산!$D$5,자동계산!$B$5))</f>
        <v/>
      </c>
      <c r="D1505" s="33">
        <f>IF($R$1480="","",IF($R$1480="언어와 매체",자동계산!$D$6,자동계산!$B$6))</f>
        <v/>
      </c>
      <c r="E1505" s="33">
        <f>IF($R$1480="","",IF($R$1480="언어와 매체",자동계산!$D$7,자동계산!$B$7))</f>
        <v/>
      </c>
      <c r="F1505" s="33">
        <f>IF($R$1480="","",IF($R$1480="언어와 매체",자동계산!$D$8,자동계산!$B$8))</f>
        <v/>
      </c>
      <c r="G1505" s="33">
        <f>IF($R$1480="","",IF($R$1480="언어와 매체",자동계산!$D$9,자동계산!$B$9))</f>
        <v/>
      </c>
      <c r="H1505" s="33">
        <f>IF($R$1480="","",IF($R$1480="언어와 매체",자동계산!$D$10,자동계산!$B$10))</f>
        <v/>
      </c>
      <c r="I1505" s="33">
        <f>IF($R$1480="","",IF($R$1480="언어와 매체",자동계산!$D$11,자동계산!$B$11))</f>
        <v/>
      </c>
      <c r="J1505" s="33">
        <f>IF($R$1480="","",IF($R$1480="언어와 매체",자동계산!$D$12,자동계산!$B$12))</f>
        <v/>
      </c>
      <c r="K1505" s="33">
        <f>IF($R$1480="","",IF($R$1480="언어와 매체",자동계산!$D$13,자동계산!$B$13))</f>
        <v/>
      </c>
      <c r="L1505" s="33">
        <f>IF($R$1480="","",IF($R$1480="언어와 매체",자동계산!$D$14,자동계산!$B$14))</f>
        <v/>
      </c>
      <c r="M1505" s="33">
        <f>IF($R$1480="","",IF($R$1480="언어와 매체",자동계산!$D$15,자동계산!$B$15))</f>
        <v/>
      </c>
      <c r="N1505" s="33">
        <f>IF($R$1480="","",IF($R$1480="언어와 매체",자동계산!$D$16,자동계산!$B$16))</f>
        <v/>
      </c>
      <c r="O1505" s="33">
        <f>IF($R$1480="","",IF($R$1480="언어와 매체",자동계산!$D$17,자동계산!$B$17))</f>
        <v/>
      </c>
      <c r="P1505" s="33">
        <f>IF($R$1480="","",IF($R$1480="언어와 매체",자동계산!$D$18,자동계산!$B$18))</f>
        <v/>
      </c>
    </row>
    <row r="1506">
      <c r="A1506" s="52" t="inlineStr">
        <is>
          <t>학생답안</t>
        </is>
      </c>
      <c r="B1506" s="33">
        <f>IF($R$1479="","",INDEX(전체채점!E$3:E$62,$R$1479))</f>
        <v/>
      </c>
      <c r="C1506" s="33">
        <f>IF($R$1479="","",INDEX(전체채점!F$3:F$62,$R$1479))</f>
        <v/>
      </c>
      <c r="D1506" s="33">
        <f>IF($R$1479="","",INDEX(전체채점!G$3:G$62,$R$1479))</f>
        <v/>
      </c>
      <c r="E1506" s="33">
        <f>IF($R$1479="","",INDEX(전체채점!H$3:H$62,$R$1479))</f>
        <v/>
      </c>
      <c r="F1506" s="33">
        <f>IF($R$1479="","",INDEX(전체채점!I$3:I$62,$R$1479))</f>
        <v/>
      </c>
      <c r="G1506" s="33">
        <f>IF($R$1479="","",INDEX(전체채점!J$3:J$62,$R$1479))</f>
        <v/>
      </c>
      <c r="H1506" s="33">
        <f>IF($R$1479="","",INDEX(전체채점!K$3:K$62,$R$1479))</f>
        <v/>
      </c>
      <c r="I1506" s="33">
        <f>IF($R$1479="","",INDEX(전체채점!L$3:L$62,$R$1479))</f>
        <v/>
      </c>
      <c r="J1506" s="33">
        <f>IF($R$1479="","",INDEX(전체채점!M$3:M$62,$R$1479))</f>
        <v/>
      </c>
      <c r="K1506" s="33">
        <f>IF($R$1479="","",INDEX(전체채점!N$3:N$62,$R$1479))</f>
        <v/>
      </c>
      <c r="L1506" s="33">
        <f>IF($R$1479="","",INDEX(전체채점!O$3:O$62,$R$1479))</f>
        <v/>
      </c>
      <c r="M1506" s="33">
        <f>IF($R$1479="","",INDEX(전체채점!P$3:P$62,$R$1479))</f>
        <v/>
      </c>
      <c r="N1506" s="33">
        <f>IF($R$1479="","",INDEX(전체채점!Q$3:Q$62,$R$1479))</f>
        <v/>
      </c>
      <c r="O1506" s="33">
        <f>IF($R$1479="","",INDEX(전체채점!R$3:R$62,$R$1479))</f>
        <v/>
      </c>
      <c r="P1506" s="33">
        <f>IF($R$1479="","",INDEX(전체채점!S$3:S$62,$R$1479))</f>
        <v/>
      </c>
    </row>
    <row r="1507">
      <c r="A1507" s="52" t="inlineStr">
        <is>
          <t>정오</t>
        </is>
      </c>
      <c r="B1507" s="33">
        <f>IF($R$1479="","",INDEX(전체채점!AX$3:AX$62,$R$1479))</f>
        <v/>
      </c>
      <c r="C1507" s="33">
        <f>IF($R$1479="","",INDEX(전체채점!AY$3:AY$62,$R$1479))</f>
        <v/>
      </c>
      <c r="D1507" s="33">
        <f>IF($R$1479="","",INDEX(전체채점!AZ$3:AZ$62,$R$1479))</f>
        <v/>
      </c>
      <c r="E1507" s="33">
        <f>IF($R$1479="","",INDEX(전체채점!BA$3:BA$62,$R$1479))</f>
        <v/>
      </c>
      <c r="F1507" s="33">
        <f>IF($R$1479="","",INDEX(전체채점!BB$3:BB$62,$R$1479))</f>
        <v/>
      </c>
      <c r="G1507" s="33">
        <f>IF($R$1479="","",INDEX(전체채점!BC$3:BC$62,$R$1479))</f>
        <v/>
      </c>
      <c r="H1507" s="33">
        <f>IF($R$1479="","",INDEX(전체채점!BD$3:BD$62,$R$1479))</f>
        <v/>
      </c>
      <c r="I1507" s="33">
        <f>IF($R$1479="","",INDEX(전체채점!BE$3:BE$62,$R$1479))</f>
        <v/>
      </c>
      <c r="J1507" s="33">
        <f>IF($R$1479="","",INDEX(전체채점!BF$3:BF$62,$R$1479))</f>
        <v/>
      </c>
      <c r="K1507" s="33">
        <f>IF($R$1479="","",INDEX(전체채점!BG$3:BG$62,$R$1479))</f>
        <v/>
      </c>
      <c r="L1507" s="33">
        <f>IF($R$1479="","",INDEX(전체채점!BH$3:BH$62,$R$1479))</f>
        <v/>
      </c>
      <c r="M1507" s="33">
        <f>IF($R$1479="","",INDEX(전체채점!BI$3:BI$62,$R$1479))</f>
        <v/>
      </c>
      <c r="N1507" s="33">
        <f>IF($R$1479="","",INDEX(전체채점!BJ$3:BJ$62,$R$1479))</f>
        <v/>
      </c>
      <c r="O1507" s="33">
        <f>IF($R$1479="","",INDEX(전체채점!BK$3:BK$62,$R$1479))</f>
        <v/>
      </c>
      <c r="P1507" s="33">
        <f>IF($R$1479="","",INDEX(전체채점!BL$3:BL$62,$R$1479))</f>
        <v/>
      </c>
    </row>
    <row r="1508">
      <c r="A1508" s="50" t="inlineStr">
        <is>
          <t>문항 번호</t>
        </is>
      </c>
      <c r="B1508" s="51" t="n">
        <v>16</v>
      </c>
      <c r="C1508" s="51" t="n">
        <v>17</v>
      </c>
      <c r="D1508" s="51" t="n">
        <v>18</v>
      </c>
      <c r="E1508" s="51" t="n">
        <v>19</v>
      </c>
      <c r="F1508" s="51" t="n">
        <v>20</v>
      </c>
      <c r="G1508" s="51" t="n">
        <v>21</v>
      </c>
      <c r="H1508" s="51" t="n">
        <v>22</v>
      </c>
      <c r="I1508" s="51" t="n">
        <v>23</v>
      </c>
      <c r="J1508" s="51" t="n">
        <v>24</v>
      </c>
      <c r="K1508" s="51" t="n">
        <v>25</v>
      </c>
      <c r="L1508" s="51" t="n">
        <v>26</v>
      </c>
      <c r="M1508" s="51" t="n">
        <v>27</v>
      </c>
      <c r="N1508" s="51" t="n">
        <v>28</v>
      </c>
      <c r="O1508" s="51" t="n">
        <v>29</v>
      </c>
      <c r="P1508" s="51" t="n">
        <v>30</v>
      </c>
    </row>
    <row r="1509">
      <c r="A1509" s="52" t="inlineStr">
        <is>
          <t>정답</t>
        </is>
      </c>
      <c r="B1509" s="33">
        <f>IF($R$1480="","",IF($R$1480="언어와 매체",자동계산!$D$19,자동계산!$B$19))</f>
        <v/>
      </c>
      <c r="C1509" s="33">
        <f>IF($R$1480="","",IF($R$1480="언어와 매체",자동계산!$D$20,자동계산!$B$20))</f>
        <v/>
      </c>
      <c r="D1509" s="33">
        <f>IF($R$1480="","",IF($R$1480="언어와 매체",자동계산!$D$21,자동계산!$B$21))</f>
        <v/>
      </c>
      <c r="E1509" s="33">
        <f>IF($R$1480="","",IF($R$1480="언어와 매체",자동계산!$D$22,자동계산!$B$22))</f>
        <v/>
      </c>
      <c r="F1509" s="33">
        <f>IF($R$1480="","",IF($R$1480="언어와 매체",자동계산!$D$23,자동계산!$B$23))</f>
        <v/>
      </c>
      <c r="G1509" s="33">
        <f>IF($R$1480="","",IF($R$1480="언어와 매체",자동계산!$D$24,자동계산!$B$24))</f>
        <v/>
      </c>
      <c r="H1509" s="33">
        <f>IF($R$1480="","",IF($R$1480="언어와 매체",자동계산!$D$25,자동계산!$B$25))</f>
        <v/>
      </c>
      <c r="I1509" s="33">
        <f>IF($R$1480="","",IF($R$1480="언어와 매체",자동계산!$D$26,자동계산!$B$26))</f>
        <v/>
      </c>
      <c r="J1509" s="33">
        <f>IF($R$1480="","",IF($R$1480="언어와 매체",자동계산!$D$27,자동계산!$B$27))</f>
        <v/>
      </c>
      <c r="K1509" s="33">
        <f>IF($R$1480="","",IF($R$1480="언어와 매체",자동계산!$D$28,자동계산!$B$28))</f>
        <v/>
      </c>
      <c r="L1509" s="33">
        <f>IF($R$1480="","",IF($R$1480="언어와 매체",자동계산!$D$29,자동계산!$B$29))</f>
        <v/>
      </c>
      <c r="M1509" s="33">
        <f>IF($R$1480="","",IF($R$1480="언어와 매체",자동계산!$D$30,자동계산!$B$30))</f>
        <v/>
      </c>
      <c r="N1509" s="33">
        <f>IF($R$1480="","",IF($R$1480="언어와 매체",자동계산!$D$31,자동계산!$B$31))</f>
        <v/>
      </c>
      <c r="O1509" s="33">
        <f>IF($R$1480="","",IF($R$1480="언어와 매체",자동계산!$D$32,자동계산!$B$32))</f>
        <v/>
      </c>
      <c r="P1509" s="33">
        <f>IF($R$1480="","",IF($R$1480="언어와 매체",자동계산!$D$33,자동계산!$B$33))</f>
        <v/>
      </c>
    </row>
    <row r="1510">
      <c r="A1510" s="52" t="inlineStr">
        <is>
          <t>학생답안</t>
        </is>
      </c>
      <c r="B1510" s="33">
        <f>IF($R$1479="","",INDEX(전체채점!T$3:T$62,$R$1479))</f>
        <v/>
      </c>
      <c r="C1510" s="33">
        <f>IF($R$1479="","",INDEX(전체채점!U$3:U$62,$R$1479))</f>
        <v/>
      </c>
      <c r="D1510" s="33">
        <f>IF($R$1479="","",INDEX(전체채점!V$3:V$62,$R$1479))</f>
        <v/>
      </c>
      <c r="E1510" s="33">
        <f>IF($R$1479="","",INDEX(전체채점!W$3:W$62,$R$1479))</f>
        <v/>
      </c>
      <c r="F1510" s="33">
        <f>IF($R$1479="","",INDEX(전체채점!X$3:X$62,$R$1479))</f>
        <v/>
      </c>
      <c r="G1510" s="33">
        <f>IF($R$1479="","",INDEX(전체채점!Y$3:Y$62,$R$1479))</f>
        <v/>
      </c>
      <c r="H1510" s="33">
        <f>IF($R$1479="","",INDEX(전체채점!Z$3:Z$62,$R$1479))</f>
        <v/>
      </c>
      <c r="I1510" s="33">
        <f>IF($R$1479="","",INDEX(전체채점!AA$3:AA$62,$R$1479))</f>
        <v/>
      </c>
      <c r="J1510" s="33">
        <f>IF($R$1479="","",INDEX(전체채점!AB$3:AB$62,$R$1479))</f>
        <v/>
      </c>
      <c r="K1510" s="33">
        <f>IF($R$1479="","",INDEX(전체채점!AC$3:AC$62,$R$1479))</f>
        <v/>
      </c>
      <c r="L1510" s="33">
        <f>IF($R$1479="","",INDEX(전체채점!AD$3:AD$62,$R$1479))</f>
        <v/>
      </c>
      <c r="M1510" s="33">
        <f>IF($R$1479="","",INDEX(전체채점!AE$3:AE$62,$R$1479))</f>
        <v/>
      </c>
      <c r="N1510" s="33">
        <f>IF($R$1479="","",INDEX(전체채점!AF$3:AF$62,$R$1479))</f>
        <v/>
      </c>
      <c r="O1510" s="33">
        <f>IF($R$1479="","",INDEX(전체채점!AG$3:AG$62,$R$1479))</f>
        <v/>
      </c>
      <c r="P1510" s="33">
        <f>IF($R$1479="","",INDEX(전체채점!AH$3:AH$62,$R$1479))</f>
        <v/>
      </c>
    </row>
    <row r="1511">
      <c r="A1511" s="52" t="inlineStr">
        <is>
          <t>정오</t>
        </is>
      </c>
      <c r="B1511" s="33">
        <f>IF($R$1479="","",INDEX(전체채점!BM$3:BM$62,$R$1479))</f>
        <v/>
      </c>
      <c r="C1511" s="33">
        <f>IF($R$1479="","",INDEX(전체채점!BN$3:BN$62,$R$1479))</f>
        <v/>
      </c>
      <c r="D1511" s="33">
        <f>IF($R$1479="","",INDEX(전체채점!BO$3:BO$62,$R$1479))</f>
        <v/>
      </c>
      <c r="E1511" s="33">
        <f>IF($R$1479="","",INDEX(전체채점!BP$3:BP$62,$R$1479))</f>
        <v/>
      </c>
      <c r="F1511" s="33">
        <f>IF($R$1479="","",INDEX(전체채점!BQ$3:BQ$62,$R$1479))</f>
        <v/>
      </c>
      <c r="G1511" s="33">
        <f>IF($R$1479="","",INDEX(전체채점!BR$3:BR$62,$R$1479))</f>
        <v/>
      </c>
      <c r="H1511" s="33">
        <f>IF($R$1479="","",INDEX(전체채점!BS$3:BS$62,$R$1479))</f>
        <v/>
      </c>
      <c r="I1511" s="33">
        <f>IF($R$1479="","",INDEX(전체채점!BT$3:BT$62,$R$1479))</f>
        <v/>
      </c>
      <c r="J1511" s="33">
        <f>IF($R$1479="","",INDEX(전체채점!BU$3:BU$62,$R$1479))</f>
        <v/>
      </c>
      <c r="K1511" s="33">
        <f>IF($R$1479="","",INDEX(전체채점!BV$3:BV$62,$R$1479))</f>
        <v/>
      </c>
      <c r="L1511" s="33">
        <f>IF($R$1479="","",INDEX(전체채점!BW$3:BW$62,$R$1479))</f>
        <v/>
      </c>
      <c r="M1511" s="33">
        <f>IF($R$1479="","",INDEX(전체채점!BX$3:BX$62,$R$1479))</f>
        <v/>
      </c>
      <c r="N1511" s="33">
        <f>IF($R$1479="","",INDEX(전체채점!BY$3:BY$62,$R$1479))</f>
        <v/>
      </c>
      <c r="O1511" s="33">
        <f>IF($R$1479="","",INDEX(전체채점!BZ$3:BZ$62,$R$1479))</f>
        <v/>
      </c>
      <c r="P1511" s="33">
        <f>IF($R$1479="","",INDEX(전체채점!CA$3:CA$62,$R$1479))</f>
        <v/>
      </c>
    </row>
    <row r="1512">
      <c r="A1512" s="50" t="inlineStr">
        <is>
          <t>문항 번호</t>
        </is>
      </c>
      <c r="B1512" s="51" t="n">
        <v>31</v>
      </c>
      <c r="C1512" s="51" t="n">
        <v>32</v>
      </c>
      <c r="D1512" s="51" t="n">
        <v>33</v>
      </c>
      <c r="E1512" s="51" t="n">
        <v>34</v>
      </c>
      <c r="F1512" s="51" t="n">
        <v>35</v>
      </c>
      <c r="G1512" s="51" t="n">
        <v>36</v>
      </c>
      <c r="H1512" s="51" t="n">
        <v>37</v>
      </c>
      <c r="I1512" s="51" t="n">
        <v>38</v>
      </c>
      <c r="J1512" s="51" t="n">
        <v>39</v>
      </c>
      <c r="K1512" s="51" t="n">
        <v>40</v>
      </c>
      <c r="L1512" s="51" t="n">
        <v>41</v>
      </c>
      <c r="M1512" s="51" t="n">
        <v>42</v>
      </c>
      <c r="N1512" s="51" t="n">
        <v>43</v>
      </c>
      <c r="O1512" s="51" t="n">
        <v>44</v>
      </c>
      <c r="P1512" s="51" t="n">
        <v>45</v>
      </c>
    </row>
    <row r="1513">
      <c r="A1513" s="52" t="inlineStr">
        <is>
          <t>정답</t>
        </is>
      </c>
      <c r="B1513" s="33">
        <f>IF($R$1480="","",IF($R$1480="언어와 매체",자동계산!$D$34,자동계산!$B$34))</f>
        <v/>
      </c>
      <c r="C1513" s="33">
        <f>IF($R$1480="","",IF($R$1480="언어와 매체",자동계산!$D$35,자동계산!$B$35))</f>
        <v/>
      </c>
      <c r="D1513" s="33">
        <f>IF($R$1480="","",IF($R$1480="언어와 매체",자동계산!$D$36,자동계산!$B$36))</f>
        <v/>
      </c>
      <c r="E1513" s="33">
        <f>IF($R$1480="","",IF($R$1480="언어와 매체",자동계산!$D$37,자동계산!$B$37))</f>
        <v/>
      </c>
      <c r="F1513" s="33">
        <f>IF($R$1480="","",IF($R$1480="언어와 매체",자동계산!$D$38,자동계산!$B$38))</f>
        <v/>
      </c>
      <c r="G1513" s="33">
        <f>IF($R$1480="","",IF($R$1480="언어와 매체",자동계산!$D$39,자동계산!$B$39))</f>
        <v/>
      </c>
      <c r="H1513" s="33">
        <f>IF($R$1480="","",IF($R$1480="언어와 매체",자동계산!$D$40,자동계산!$B$40))</f>
        <v/>
      </c>
      <c r="I1513" s="33">
        <f>IF($R$1480="","",IF($R$1480="언어와 매체",자동계산!$D$41,자동계산!$B$41))</f>
        <v/>
      </c>
      <c r="J1513" s="33">
        <f>IF($R$1480="","",IF($R$1480="언어와 매체",자동계산!$D$42,자동계산!$B$42))</f>
        <v/>
      </c>
      <c r="K1513" s="33">
        <f>IF($R$1480="","",IF($R$1480="언어와 매체",자동계산!$D$43,자동계산!$B$43))</f>
        <v/>
      </c>
      <c r="L1513" s="33">
        <f>IF($R$1480="","",IF($R$1480="언어와 매체",자동계산!$D$44,자동계산!$B$44))</f>
        <v/>
      </c>
      <c r="M1513" s="33">
        <f>IF($R$1480="","",IF($R$1480="언어와 매체",자동계산!$D$45,자동계산!$B$45))</f>
        <v/>
      </c>
      <c r="N1513" s="33">
        <f>IF($R$1480="","",IF($R$1480="언어와 매체",자동계산!$D$46,자동계산!$B$46))</f>
        <v/>
      </c>
      <c r="O1513" s="33">
        <f>IF($R$1480="","",IF($R$1480="언어와 매체",자동계산!$D$47,자동계산!$B$47))</f>
        <v/>
      </c>
      <c r="P1513" s="33">
        <f>IF($R$1480="","",IF($R$1480="언어와 매체",자동계산!$D$48,자동계산!$B$48))</f>
        <v/>
      </c>
    </row>
    <row r="1514">
      <c r="A1514" s="52" t="inlineStr">
        <is>
          <t>학생답안</t>
        </is>
      </c>
      <c r="B1514" s="33">
        <f>IF($R$1479="","",INDEX(전체채점!AI$3:AI$62,$R$1479))</f>
        <v/>
      </c>
      <c r="C1514" s="33">
        <f>IF($R$1479="","",INDEX(전체채점!AJ$3:AJ$62,$R$1479))</f>
        <v/>
      </c>
      <c r="D1514" s="33">
        <f>IF($R$1479="","",INDEX(전체채점!AK$3:AK$62,$R$1479))</f>
        <v/>
      </c>
      <c r="E1514" s="33">
        <f>IF($R$1479="","",INDEX(전체채점!AL$3:AL$62,$R$1479))</f>
        <v/>
      </c>
      <c r="F1514" s="33">
        <f>IF($R$1479="","",INDEX(전체채점!AM$3:AM$62,$R$1479))</f>
        <v/>
      </c>
      <c r="G1514" s="33">
        <f>IF($R$1479="","",INDEX(전체채점!AN$3:AN$62,$R$1479))</f>
        <v/>
      </c>
      <c r="H1514" s="33">
        <f>IF($R$1479="","",INDEX(전체채점!AO$3:AO$62,$R$1479))</f>
        <v/>
      </c>
      <c r="I1514" s="33">
        <f>IF($R$1479="","",INDEX(전체채점!AP$3:AP$62,$R$1479))</f>
        <v/>
      </c>
      <c r="J1514" s="33">
        <f>IF($R$1479="","",INDEX(전체채점!AQ$3:AQ$62,$R$1479))</f>
        <v/>
      </c>
      <c r="K1514" s="33">
        <f>IF($R$1479="","",INDEX(전체채점!AR$3:AR$62,$R$1479))</f>
        <v/>
      </c>
      <c r="L1514" s="33">
        <f>IF($R$1479="","",INDEX(전체채점!AS$3:AS$62,$R$1479))</f>
        <v/>
      </c>
      <c r="M1514" s="33">
        <f>IF($R$1479="","",INDEX(전체채점!AT$3:AT$62,$R$1479))</f>
        <v/>
      </c>
      <c r="N1514" s="33">
        <f>IF($R$1479="","",INDEX(전체채점!AU$3:AU$62,$R$1479))</f>
        <v/>
      </c>
      <c r="O1514" s="33">
        <f>IF($R$1479="","",INDEX(전체채점!AV$3:AV$62,$R$1479))</f>
        <v/>
      </c>
      <c r="P1514" s="33">
        <f>IF($R$1479="","",INDEX(전체채점!AW$3:AW$62,$R$1479))</f>
        <v/>
      </c>
    </row>
    <row r="1515">
      <c r="A1515" s="52" t="inlineStr">
        <is>
          <t>정오</t>
        </is>
      </c>
      <c r="B1515" s="33">
        <f>IF($R$1479="","",INDEX(전체채점!CB$3:CB$62,$R$1479))</f>
        <v/>
      </c>
      <c r="C1515" s="33">
        <f>IF($R$1479="","",INDEX(전체채점!CC$3:CC$62,$R$1479))</f>
        <v/>
      </c>
      <c r="D1515" s="33">
        <f>IF($R$1479="","",INDEX(전체채점!CD$3:CD$62,$R$1479))</f>
        <v/>
      </c>
      <c r="E1515" s="33">
        <f>IF($R$1479="","",INDEX(전체채점!CE$3:CE$62,$R$1479))</f>
        <v/>
      </c>
      <c r="F1515" s="33">
        <f>IF($R$1479="","",INDEX(전체채점!CF$3:CF$62,$R$1479))</f>
        <v/>
      </c>
      <c r="G1515" s="33">
        <f>IF($R$1479="","",INDEX(전체채점!CG$3:CG$62,$R$1479))</f>
        <v/>
      </c>
      <c r="H1515" s="33">
        <f>IF($R$1479="","",INDEX(전체채점!CH$3:CH$62,$R$1479))</f>
        <v/>
      </c>
      <c r="I1515" s="33">
        <f>IF($R$1479="","",INDEX(전체채점!CI$3:CI$62,$R$1479))</f>
        <v/>
      </c>
      <c r="J1515" s="33">
        <f>IF($R$1479="","",INDEX(전체채점!CJ$3:CJ$62,$R$1479))</f>
        <v/>
      </c>
      <c r="K1515" s="33">
        <f>IF($R$1479="","",INDEX(전체채점!CK$3:CK$62,$R$1479))</f>
        <v/>
      </c>
      <c r="L1515" s="33">
        <f>IF($R$1479="","",INDEX(전체채점!CL$3:CL$62,$R$1479))</f>
        <v/>
      </c>
      <c r="M1515" s="33">
        <f>IF($R$1479="","",INDEX(전체채점!CM$3:CM$62,$R$1479))</f>
        <v/>
      </c>
      <c r="N1515" s="33">
        <f>IF($R$1479="","",INDEX(전체채점!CN$3:CN$62,$R$1479))</f>
        <v/>
      </c>
      <c r="O1515" s="33">
        <f>IF($R$1479="","",INDEX(전체채점!CO$3:CO$62,$R$1479))</f>
        <v/>
      </c>
      <c r="P1515" s="33">
        <f>IF($R$1479="","",INDEX(전체채점!CP$3:CP$62,$R$1479))</f>
        <v/>
      </c>
    </row>
    <row r="1518" ht="34" customHeight="1">
      <c r="A1518" s="36">
        <f>IF($R$1520="","",회차설정!$B$2&amp;" 성적표")</f>
        <v/>
      </c>
    </row>
    <row r="1520">
      <c r="A1520" s="12" t="inlineStr">
        <is>
          <t>1. 학생정보</t>
        </is>
      </c>
      <c r="R1520" s="37">
        <f>IF(답안입력!$A$40="","",38)</f>
        <v/>
      </c>
      <c r="S1520" s="37">
        <f>IF($R$1521="","",IFERROR(IF($R$1521="언어와 매체",MATCH(1,회차설정!$G$13:$G$27,0),MATCH(1,회차설정!$F$13:$F$27,0)),""))</f>
        <v/>
      </c>
    </row>
    <row r="1521">
      <c r="A1521" s="13" t="inlineStr">
        <is>
          <t>성명</t>
        </is>
      </c>
      <c r="B1521" s="7" t="n"/>
      <c r="C1521" s="8" t="n"/>
      <c r="D1521" s="13" t="inlineStr">
        <is>
          <t>선택과목</t>
        </is>
      </c>
      <c r="E1521" s="7" t="n"/>
      <c r="F1521" s="7" t="n"/>
      <c r="G1521" s="8" t="n"/>
      <c r="H1521" s="13" t="inlineStr">
        <is>
          <t>학년</t>
        </is>
      </c>
      <c r="I1521" s="7" t="n"/>
      <c r="J1521" s="7" t="n"/>
      <c r="K1521" s="8" t="n"/>
      <c r="L1521" s="13" t="inlineStr">
        <is>
          <t>시행일</t>
        </is>
      </c>
      <c r="M1521" s="7" t="n"/>
      <c r="N1521" s="7" t="n"/>
      <c r="O1521" s="7" t="n"/>
      <c r="P1521" s="8" t="n"/>
      <c r="R1521" s="37">
        <f>IF($R$1520="","",INDEX(전체채점!$B$3:$B$62,$R$1520))</f>
        <v/>
      </c>
      <c r="S1521" s="37">
        <f>IF($R$1521="","",IFERROR(IF($R$1521="언어와 매체",MATCH(2,회차설정!$G$13:$G$27,0),MATCH(2,회차설정!$F$13:$F$27,0)),""))</f>
        <v/>
      </c>
    </row>
    <row r="1522" ht="26" customHeight="1">
      <c r="A1522" s="39">
        <f>IF($R$1520="","",INDEX(답안입력!$A$3:$A$62,$R$1520))</f>
        <v/>
      </c>
      <c r="B1522" s="7" t="n"/>
      <c r="C1522" s="8" t="n"/>
      <c r="D1522" s="39">
        <f>IF($R$1520="","",INDEX(답안입력!$C$3:$C$62,$R$1520))</f>
        <v/>
      </c>
      <c r="E1522" s="7" t="n"/>
      <c r="F1522" s="7" t="n"/>
      <c r="G1522" s="8" t="n"/>
      <c r="H1522" s="39">
        <f>IF($R$1520="","",INDEX(답안입력!$B$3:$B$62,$R$1520))</f>
        <v/>
      </c>
      <c r="I1522" s="7" t="n"/>
      <c r="J1522" s="7" t="n"/>
      <c r="K1522" s="8" t="n"/>
      <c r="L1522" s="40">
        <f>회차설정!$B$3</f>
        <v/>
      </c>
      <c r="M1522" s="7" t="n"/>
      <c r="N1522" s="7" t="n"/>
      <c r="O1522" s="7" t="n"/>
      <c r="P1522" s="8" t="n"/>
      <c r="R1522" s="37">
        <f>IF($R$1521="언어와 매체",회차설정!$B$9,회차설정!$B$8)</f>
        <v/>
      </c>
      <c r="S1522" s="37">
        <f>IF($R$1521="","",IFERROR(IF($R$1521="언어와 매체",MATCH(3,회차설정!$G$13:$G$27,0),MATCH(3,회차설정!$F$13:$F$27,0)),""))</f>
        <v/>
      </c>
    </row>
    <row r="1523">
      <c r="R1523" s="37">
        <f>IF($R$1521="언어와 매체",회차설정!$C$9,회차설정!$C$8)</f>
        <v/>
      </c>
      <c r="S1523" s="37">
        <f>IF($R$1521="","",IFERROR(IF($R$1521="언어와 매체",MATCH(4,회차설정!$G$13:$G$27,0),MATCH(4,회차설정!$F$13:$F$27,0)),""))</f>
        <v/>
      </c>
    </row>
    <row r="1524">
      <c r="A1524" s="12" t="inlineStr">
        <is>
          <t>2. 성적</t>
        </is>
      </c>
      <c r="R1524" s="37">
        <f>IF($R$1521="언어와 매체",회차설정!$D$9,회차설정!$D$8)</f>
        <v/>
      </c>
      <c r="S1524" s="37">
        <f>IF($R$1521="","",IFERROR(IF($R$1521="언어와 매체",MATCH(5,회차설정!$G$13:$G$27,0),MATCH(5,회차설정!$F$13:$F$27,0)),""))</f>
        <v/>
      </c>
    </row>
    <row r="1525">
      <c r="A1525" s="13" t="inlineStr">
        <is>
          <t>점수 (100점 만점)</t>
        </is>
      </c>
      <c r="B1525" s="7" t="n"/>
      <c r="C1525" s="7" t="n"/>
      <c r="D1525" s="7" t="n"/>
      <c r="E1525" s="8" t="n"/>
      <c r="F1525" s="13" t="inlineStr">
        <is>
          <t>등급</t>
        </is>
      </c>
      <c r="G1525" s="7" t="n"/>
      <c r="H1525" s="8" t="n"/>
      <c r="I1525" s="13" t="inlineStr">
        <is>
          <t>등급컷</t>
        </is>
      </c>
      <c r="J1525" s="7" t="n"/>
      <c r="K1525" s="7" t="n"/>
      <c r="L1525" s="8" t="n"/>
      <c r="M1525" s="13" t="inlineStr">
        <is>
          <t>같은 선택과목 평균</t>
        </is>
      </c>
      <c r="N1525" s="7" t="n"/>
      <c r="O1525" s="7" t="n"/>
      <c r="P1525" s="8" t="n"/>
      <c r="R1525" s="37">
        <f>IF($R$1521="언어와 매체",회차설정!$E$9,회차설정!$E$8)</f>
        <v/>
      </c>
      <c r="S1525" s="37">
        <f>IF($R$1521="","",IFERROR(IF($R$1521="언어와 매체",MATCH(6,회차설정!$G$13:$G$27,0),MATCH(6,회차설정!$F$13:$F$27,0)),""))</f>
        <v/>
      </c>
    </row>
    <row r="1526" ht="34" customHeight="1">
      <c r="A1526" s="41">
        <f>IF($R$1520="","",INDEX(전체채점!$C$3:$C$62,$R$1520))</f>
        <v/>
      </c>
      <c r="B1526" s="7" t="n"/>
      <c r="C1526" s="7" t="n"/>
      <c r="D1526" s="7" t="n"/>
      <c r="E1526" s="8" t="n"/>
      <c r="F1526" s="42">
        <f>IF($R$1520="","",INDEX(전체채점!$D$3:$D$62,$R$1520))</f>
        <v/>
      </c>
      <c r="G1526" s="7" t="n"/>
      <c r="H1526" s="8" t="n"/>
      <c r="I1526" s="43">
        <f>IF($R$1520="","",$R$1522&amp;"-"&amp;$R$1523&amp;"-"&amp;$R$1524&amp;"-"&amp;$R$1525)</f>
        <v/>
      </c>
      <c r="J1526" s="7" t="n"/>
      <c r="K1526" s="7" t="n"/>
      <c r="L1526" s="8" t="n"/>
      <c r="M1526" s="44">
        <f>IFERROR(AVERAGEIF(전체채점!$B$3:$B$62,$R$1521,전체채점!$C$3:$C$62),"")</f>
        <v/>
      </c>
      <c r="N1526" s="7" t="n"/>
      <c r="O1526" s="7" t="n"/>
      <c r="P1526" s="8" t="n"/>
      <c r="S1526" s="37">
        <f>IF($R$1521="","",IFERROR(IF($R$1521="언어와 매체",MATCH(7,회차설정!$G$13:$G$27,0),MATCH(7,회차설정!$F$13:$F$27,0)),""))</f>
        <v/>
      </c>
    </row>
    <row r="1527">
      <c r="S1527" s="37">
        <f>IF($R$1521="","",IFERROR(IF($R$1521="언어와 매체",MATCH(8,회차설정!$G$13:$G$27,0),MATCH(8,회차설정!$F$13:$F$27,0)),""))</f>
        <v/>
      </c>
    </row>
    <row r="1528">
      <c r="A1528" s="12" t="inlineStr">
        <is>
          <t>3. 영역분류별 성취도 분석</t>
        </is>
      </c>
      <c r="F1528" s="45">
        <f>IF(OR($R$1520="",$E1542=""),"",IF($E1542=INDEX(전체채점!$C$3:$C$62,$R$1520),"","※ 회차설정의 영역 표를 확인하세요 — 영역 합계와 점수가 다릅니다"))</f>
        <v/>
      </c>
      <c r="S1528" s="37">
        <f>IF($R$1521="","",IFERROR(IF($R$1521="언어와 매체",MATCH(9,회차설정!$G$13:$G$27,0),MATCH(9,회차설정!$F$13:$F$27,0)),""))</f>
        <v/>
      </c>
    </row>
    <row r="1529">
      <c r="A1529" s="13" t="inlineStr">
        <is>
          <t>분류</t>
        </is>
      </c>
      <c r="B1529" s="13" t="inlineStr">
        <is>
          <t>영역</t>
        </is>
      </c>
      <c r="C1529" s="8" t="n"/>
      <c r="D1529" s="13" t="inlineStr">
        <is>
          <t>배점</t>
        </is>
      </c>
      <c r="E1529" s="13" t="inlineStr">
        <is>
          <t>득점</t>
        </is>
      </c>
      <c r="F1529" s="13" t="inlineStr">
        <is>
          <t>성취도(%)</t>
        </is>
      </c>
      <c r="G1529" s="8" t="n"/>
      <c r="H1529" s="13" t="inlineStr"/>
      <c r="I1529" s="7" t="n"/>
      <c r="J1529" s="7" t="n"/>
      <c r="K1529" s="7" t="n"/>
      <c r="L1529" s="7" t="n"/>
      <c r="M1529" s="7" t="n"/>
      <c r="N1529" s="7" t="n"/>
      <c r="O1529" s="7" t="n"/>
      <c r="P1529" s="8" t="n"/>
      <c r="S1529" s="37">
        <f>IF($R$1521="","",IFERROR(IF($R$1521="언어와 매체",MATCH(10,회차설정!$G$13:$G$27,0),MATCH(10,회차설정!$F$13:$F$27,0)),""))</f>
        <v/>
      </c>
    </row>
    <row r="1530">
      <c r="A1530" s="14">
        <f>IF($S$1520="","",INDEX(회차설정!$A$13:$A$27,$S$1520))</f>
        <v/>
      </c>
      <c r="B1530" s="14">
        <f>IF($S$1520="","",INDEX(회차설정!$B$13:$B$27,$S$1520))</f>
        <v/>
      </c>
      <c r="C1530" s="8" t="n"/>
      <c r="D1530" s="14">
        <f>IF($S$1520="","",IF($R$1521="언어와 매체",SUMPRODUCT((자동계산!$A$4:$A$48&gt;=INDEX(회차설정!$C$13:$C$27,$S$1520))*(자동계산!$A$4:$A$48&lt;=INDEX(회차설정!$D$13:$D$27,$S$1520))*자동계산!$E$4:$E$48),SUMPRODUCT((자동계산!$A$4:$A$48&gt;=INDEX(회차설정!$C$13:$C$27,$S$1520))*(자동계산!$A$4:$A$48&lt;=INDEX(회차설정!$D$13:$D$27,$S$1520))*자동계산!$C$4:$C$48)))</f>
        <v/>
      </c>
      <c r="E1530" s="14">
        <f>IF(OR($S$1520="",$R$1520=""),"",SUM(OFFSET(전체채점!$AW$2,$R$1520,INDEX(회차설정!$C$13:$C$27,$S$1520),1,INDEX(회차설정!$D$13:$D$27,$S$1520)-INDEX(회차설정!$C$13:$C$27,$S$1520)+1)))</f>
        <v/>
      </c>
      <c r="F1530" s="46">
        <f>IF(OR($S$1520="",$D1530=0,$D1530="",$E1530=""),"",$E1530/$D1530*100)</f>
        <v/>
      </c>
      <c r="G1530" s="8" t="n"/>
      <c r="H1530" s="47">
        <f>IF($F1530="","",REPT("■",ROUND($F1530/5,0)))</f>
        <v/>
      </c>
      <c r="I1530" s="7" t="n"/>
      <c r="J1530" s="7" t="n"/>
      <c r="K1530" s="7" t="n"/>
      <c r="L1530" s="7" t="n"/>
      <c r="M1530" s="7" t="n"/>
      <c r="N1530" s="7" t="n"/>
      <c r="O1530" s="7" t="n"/>
      <c r="P1530" s="8" t="n"/>
      <c r="S1530" s="37">
        <f>IF($R$1521="","",IFERROR(IF($R$1521="언어와 매체",MATCH(11,회차설정!$G$13:$G$27,0),MATCH(11,회차설정!$F$13:$F$27,0)),""))</f>
        <v/>
      </c>
    </row>
    <row r="1531">
      <c r="A1531" s="14">
        <f>IF($S$1521="","",INDEX(회차설정!$A$13:$A$27,$S$1521))</f>
        <v/>
      </c>
      <c r="B1531" s="14">
        <f>IF($S$1521="","",INDEX(회차설정!$B$13:$B$27,$S$1521))</f>
        <v/>
      </c>
      <c r="C1531" s="8" t="n"/>
      <c r="D1531" s="14">
        <f>IF($S$1521="","",IF($R$1521="언어와 매체",SUMPRODUCT((자동계산!$A$4:$A$48&gt;=INDEX(회차설정!$C$13:$C$27,$S$1521))*(자동계산!$A$4:$A$48&lt;=INDEX(회차설정!$D$13:$D$27,$S$1521))*자동계산!$E$4:$E$48),SUMPRODUCT((자동계산!$A$4:$A$48&gt;=INDEX(회차설정!$C$13:$C$27,$S$1521))*(자동계산!$A$4:$A$48&lt;=INDEX(회차설정!$D$13:$D$27,$S$1521))*자동계산!$C$4:$C$48)))</f>
        <v/>
      </c>
      <c r="E1531" s="14">
        <f>IF(OR($S$1521="",$R$1520=""),"",SUM(OFFSET(전체채점!$AW$2,$R$1520,INDEX(회차설정!$C$13:$C$27,$S$1521),1,INDEX(회차설정!$D$13:$D$27,$S$1521)-INDEX(회차설정!$C$13:$C$27,$S$1521)+1)))</f>
        <v/>
      </c>
      <c r="F1531" s="46">
        <f>IF(OR($S$1521="",$D1531=0,$D1531="",$E1531=""),"",$E1531/$D1531*100)</f>
        <v/>
      </c>
      <c r="G1531" s="8" t="n"/>
      <c r="H1531" s="47">
        <f>IF($F1531="","",REPT("■",ROUND($F1531/5,0)))</f>
        <v/>
      </c>
      <c r="I1531" s="7" t="n"/>
      <c r="J1531" s="7" t="n"/>
      <c r="K1531" s="7" t="n"/>
      <c r="L1531" s="7" t="n"/>
      <c r="M1531" s="7" t="n"/>
      <c r="N1531" s="7" t="n"/>
      <c r="O1531" s="7" t="n"/>
      <c r="P1531" s="8" t="n"/>
      <c r="S1531" s="37">
        <f>IF($R$1521="","",IFERROR(IF($R$1521="언어와 매체",MATCH(12,회차설정!$G$13:$G$27,0),MATCH(12,회차설정!$F$13:$F$27,0)),""))</f>
        <v/>
      </c>
    </row>
    <row r="1532">
      <c r="A1532" s="14">
        <f>IF($S$1522="","",INDEX(회차설정!$A$13:$A$27,$S$1522))</f>
        <v/>
      </c>
      <c r="B1532" s="14">
        <f>IF($S$1522="","",INDEX(회차설정!$B$13:$B$27,$S$1522))</f>
        <v/>
      </c>
      <c r="C1532" s="8" t="n"/>
      <c r="D1532" s="14">
        <f>IF($S$1522="","",IF($R$1521="언어와 매체",SUMPRODUCT((자동계산!$A$4:$A$48&gt;=INDEX(회차설정!$C$13:$C$27,$S$1522))*(자동계산!$A$4:$A$48&lt;=INDEX(회차설정!$D$13:$D$27,$S$1522))*자동계산!$E$4:$E$48),SUMPRODUCT((자동계산!$A$4:$A$48&gt;=INDEX(회차설정!$C$13:$C$27,$S$1522))*(자동계산!$A$4:$A$48&lt;=INDEX(회차설정!$D$13:$D$27,$S$1522))*자동계산!$C$4:$C$48)))</f>
        <v/>
      </c>
      <c r="E1532" s="14">
        <f>IF(OR($S$1522="",$R$1520=""),"",SUM(OFFSET(전체채점!$AW$2,$R$1520,INDEX(회차설정!$C$13:$C$27,$S$1522),1,INDEX(회차설정!$D$13:$D$27,$S$1522)-INDEX(회차설정!$C$13:$C$27,$S$1522)+1)))</f>
        <v/>
      </c>
      <c r="F1532" s="46">
        <f>IF(OR($S$1522="",$D1532=0,$D1532="",$E1532=""),"",$E1532/$D1532*100)</f>
        <v/>
      </c>
      <c r="G1532" s="8" t="n"/>
      <c r="H1532" s="47">
        <f>IF($F1532="","",REPT("■",ROUND($F1532/5,0)))</f>
        <v/>
      </c>
      <c r="I1532" s="7" t="n"/>
      <c r="J1532" s="7" t="n"/>
      <c r="K1532" s="7" t="n"/>
      <c r="L1532" s="7" t="n"/>
      <c r="M1532" s="7" t="n"/>
      <c r="N1532" s="7" t="n"/>
      <c r="O1532" s="7" t="n"/>
      <c r="P1532" s="8" t="n"/>
    </row>
    <row r="1533">
      <c r="A1533" s="14">
        <f>IF($S$1523="","",INDEX(회차설정!$A$13:$A$27,$S$1523))</f>
        <v/>
      </c>
      <c r="B1533" s="14">
        <f>IF($S$1523="","",INDEX(회차설정!$B$13:$B$27,$S$1523))</f>
        <v/>
      </c>
      <c r="C1533" s="8" t="n"/>
      <c r="D1533" s="14">
        <f>IF($S$1523="","",IF($R$1521="언어와 매체",SUMPRODUCT((자동계산!$A$4:$A$48&gt;=INDEX(회차설정!$C$13:$C$27,$S$1523))*(자동계산!$A$4:$A$48&lt;=INDEX(회차설정!$D$13:$D$27,$S$1523))*자동계산!$E$4:$E$48),SUMPRODUCT((자동계산!$A$4:$A$48&gt;=INDEX(회차설정!$C$13:$C$27,$S$1523))*(자동계산!$A$4:$A$48&lt;=INDEX(회차설정!$D$13:$D$27,$S$1523))*자동계산!$C$4:$C$48)))</f>
        <v/>
      </c>
      <c r="E1533" s="14">
        <f>IF(OR($S$1523="",$R$1520=""),"",SUM(OFFSET(전체채점!$AW$2,$R$1520,INDEX(회차설정!$C$13:$C$27,$S$1523),1,INDEX(회차설정!$D$13:$D$27,$S$1523)-INDEX(회차설정!$C$13:$C$27,$S$1523)+1)))</f>
        <v/>
      </c>
      <c r="F1533" s="46">
        <f>IF(OR($S$1523="",$D1533=0,$D1533="",$E1533=""),"",$E1533/$D1533*100)</f>
        <v/>
      </c>
      <c r="G1533" s="8" t="n"/>
      <c r="H1533" s="47">
        <f>IF($F1533="","",REPT("■",ROUND($F1533/5,0)))</f>
        <v/>
      </c>
      <c r="I1533" s="7" t="n"/>
      <c r="J1533" s="7" t="n"/>
      <c r="K1533" s="7" t="n"/>
      <c r="L1533" s="7" t="n"/>
      <c r="M1533" s="7" t="n"/>
      <c r="N1533" s="7" t="n"/>
      <c r="O1533" s="7" t="n"/>
      <c r="P1533" s="8" t="n"/>
    </row>
    <row r="1534">
      <c r="A1534" s="14">
        <f>IF($S$1524="","",INDEX(회차설정!$A$13:$A$27,$S$1524))</f>
        <v/>
      </c>
      <c r="B1534" s="14">
        <f>IF($S$1524="","",INDEX(회차설정!$B$13:$B$27,$S$1524))</f>
        <v/>
      </c>
      <c r="C1534" s="8" t="n"/>
      <c r="D1534" s="14">
        <f>IF($S$1524="","",IF($R$1521="언어와 매체",SUMPRODUCT((자동계산!$A$4:$A$48&gt;=INDEX(회차설정!$C$13:$C$27,$S$1524))*(자동계산!$A$4:$A$48&lt;=INDEX(회차설정!$D$13:$D$27,$S$1524))*자동계산!$E$4:$E$48),SUMPRODUCT((자동계산!$A$4:$A$48&gt;=INDEX(회차설정!$C$13:$C$27,$S$1524))*(자동계산!$A$4:$A$48&lt;=INDEX(회차설정!$D$13:$D$27,$S$1524))*자동계산!$C$4:$C$48)))</f>
        <v/>
      </c>
      <c r="E1534" s="14">
        <f>IF(OR($S$1524="",$R$1520=""),"",SUM(OFFSET(전체채점!$AW$2,$R$1520,INDEX(회차설정!$C$13:$C$27,$S$1524),1,INDEX(회차설정!$D$13:$D$27,$S$1524)-INDEX(회차설정!$C$13:$C$27,$S$1524)+1)))</f>
        <v/>
      </c>
      <c r="F1534" s="46">
        <f>IF(OR($S$1524="",$D1534=0,$D1534="",$E1534=""),"",$E1534/$D1534*100)</f>
        <v/>
      </c>
      <c r="G1534" s="8" t="n"/>
      <c r="H1534" s="47">
        <f>IF($F1534="","",REPT("■",ROUND($F1534/5,0)))</f>
        <v/>
      </c>
      <c r="I1534" s="7" t="n"/>
      <c r="J1534" s="7" t="n"/>
      <c r="K1534" s="7" t="n"/>
      <c r="L1534" s="7" t="n"/>
      <c r="M1534" s="7" t="n"/>
      <c r="N1534" s="7" t="n"/>
      <c r="O1534" s="7" t="n"/>
      <c r="P1534" s="8" t="n"/>
    </row>
    <row r="1535">
      <c r="A1535" s="14">
        <f>IF($S$1525="","",INDEX(회차설정!$A$13:$A$27,$S$1525))</f>
        <v/>
      </c>
      <c r="B1535" s="14">
        <f>IF($S$1525="","",INDEX(회차설정!$B$13:$B$27,$S$1525))</f>
        <v/>
      </c>
      <c r="C1535" s="8" t="n"/>
      <c r="D1535" s="14">
        <f>IF($S$1525="","",IF($R$1521="언어와 매체",SUMPRODUCT((자동계산!$A$4:$A$48&gt;=INDEX(회차설정!$C$13:$C$27,$S$1525))*(자동계산!$A$4:$A$48&lt;=INDEX(회차설정!$D$13:$D$27,$S$1525))*자동계산!$E$4:$E$48),SUMPRODUCT((자동계산!$A$4:$A$48&gt;=INDEX(회차설정!$C$13:$C$27,$S$1525))*(자동계산!$A$4:$A$48&lt;=INDEX(회차설정!$D$13:$D$27,$S$1525))*자동계산!$C$4:$C$48)))</f>
        <v/>
      </c>
      <c r="E1535" s="14">
        <f>IF(OR($S$1525="",$R$1520=""),"",SUM(OFFSET(전체채점!$AW$2,$R$1520,INDEX(회차설정!$C$13:$C$27,$S$1525),1,INDEX(회차설정!$D$13:$D$27,$S$1525)-INDEX(회차설정!$C$13:$C$27,$S$1525)+1)))</f>
        <v/>
      </c>
      <c r="F1535" s="46">
        <f>IF(OR($S$1525="",$D1535=0,$D1535="",$E1535=""),"",$E1535/$D1535*100)</f>
        <v/>
      </c>
      <c r="G1535" s="8" t="n"/>
      <c r="H1535" s="47">
        <f>IF($F1535="","",REPT("■",ROUND($F1535/5,0)))</f>
        <v/>
      </c>
      <c r="I1535" s="7" t="n"/>
      <c r="J1535" s="7" t="n"/>
      <c r="K1535" s="7" t="n"/>
      <c r="L1535" s="7" t="n"/>
      <c r="M1535" s="7" t="n"/>
      <c r="N1535" s="7" t="n"/>
      <c r="O1535" s="7" t="n"/>
      <c r="P1535" s="8" t="n"/>
    </row>
    <row r="1536">
      <c r="A1536" s="14">
        <f>IF($S$1526="","",INDEX(회차설정!$A$13:$A$27,$S$1526))</f>
        <v/>
      </c>
      <c r="B1536" s="14">
        <f>IF($S$1526="","",INDEX(회차설정!$B$13:$B$27,$S$1526))</f>
        <v/>
      </c>
      <c r="C1536" s="8" t="n"/>
      <c r="D1536" s="14">
        <f>IF($S$1526="","",IF($R$1521="언어와 매체",SUMPRODUCT((자동계산!$A$4:$A$48&gt;=INDEX(회차설정!$C$13:$C$27,$S$1526))*(자동계산!$A$4:$A$48&lt;=INDEX(회차설정!$D$13:$D$27,$S$1526))*자동계산!$E$4:$E$48),SUMPRODUCT((자동계산!$A$4:$A$48&gt;=INDEX(회차설정!$C$13:$C$27,$S$1526))*(자동계산!$A$4:$A$48&lt;=INDEX(회차설정!$D$13:$D$27,$S$1526))*자동계산!$C$4:$C$48)))</f>
        <v/>
      </c>
      <c r="E1536" s="14">
        <f>IF(OR($S$1526="",$R$1520=""),"",SUM(OFFSET(전체채점!$AW$2,$R$1520,INDEX(회차설정!$C$13:$C$27,$S$1526),1,INDEX(회차설정!$D$13:$D$27,$S$1526)-INDEX(회차설정!$C$13:$C$27,$S$1526)+1)))</f>
        <v/>
      </c>
      <c r="F1536" s="46">
        <f>IF(OR($S$1526="",$D1536=0,$D1536="",$E1536=""),"",$E1536/$D1536*100)</f>
        <v/>
      </c>
      <c r="G1536" s="8" t="n"/>
      <c r="H1536" s="47">
        <f>IF($F1536="","",REPT("■",ROUND($F1536/5,0)))</f>
        <v/>
      </c>
      <c r="I1536" s="7" t="n"/>
      <c r="J1536" s="7" t="n"/>
      <c r="K1536" s="7" t="n"/>
      <c r="L1536" s="7" t="n"/>
      <c r="M1536" s="7" t="n"/>
      <c r="N1536" s="7" t="n"/>
      <c r="O1536" s="7" t="n"/>
      <c r="P1536" s="8" t="n"/>
    </row>
    <row r="1537">
      <c r="A1537" s="14">
        <f>IF($S$1527="","",INDEX(회차설정!$A$13:$A$27,$S$1527))</f>
        <v/>
      </c>
      <c r="B1537" s="14">
        <f>IF($S$1527="","",INDEX(회차설정!$B$13:$B$27,$S$1527))</f>
        <v/>
      </c>
      <c r="C1537" s="8" t="n"/>
      <c r="D1537" s="14">
        <f>IF($S$1527="","",IF($R$1521="언어와 매체",SUMPRODUCT((자동계산!$A$4:$A$48&gt;=INDEX(회차설정!$C$13:$C$27,$S$1527))*(자동계산!$A$4:$A$48&lt;=INDEX(회차설정!$D$13:$D$27,$S$1527))*자동계산!$E$4:$E$48),SUMPRODUCT((자동계산!$A$4:$A$48&gt;=INDEX(회차설정!$C$13:$C$27,$S$1527))*(자동계산!$A$4:$A$48&lt;=INDEX(회차설정!$D$13:$D$27,$S$1527))*자동계산!$C$4:$C$48)))</f>
        <v/>
      </c>
      <c r="E1537" s="14">
        <f>IF(OR($S$1527="",$R$1520=""),"",SUM(OFFSET(전체채점!$AW$2,$R$1520,INDEX(회차설정!$C$13:$C$27,$S$1527),1,INDEX(회차설정!$D$13:$D$27,$S$1527)-INDEX(회차설정!$C$13:$C$27,$S$1527)+1)))</f>
        <v/>
      </c>
      <c r="F1537" s="46">
        <f>IF(OR($S$1527="",$D1537=0,$D1537="",$E1537=""),"",$E1537/$D1537*100)</f>
        <v/>
      </c>
      <c r="G1537" s="8" t="n"/>
      <c r="H1537" s="47">
        <f>IF($F1537="","",REPT("■",ROUND($F1537/5,0)))</f>
        <v/>
      </c>
      <c r="I1537" s="7" t="n"/>
      <c r="J1537" s="7" t="n"/>
      <c r="K1537" s="7" t="n"/>
      <c r="L1537" s="7" t="n"/>
      <c r="M1537" s="7" t="n"/>
      <c r="N1537" s="7" t="n"/>
      <c r="O1537" s="7" t="n"/>
      <c r="P1537" s="8" t="n"/>
    </row>
    <row r="1538">
      <c r="A1538" s="14">
        <f>IF($S$1528="","",INDEX(회차설정!$A$13:$A$27,$S$1528))</f>
        <v/>
      </c>
      <c r="B1538" s="14">
        <f>IF($S$1528="","",INDEX(회차설정!$B$13:$B$27,$S$1528))</f>
        <v/>
      </c>
      <c r="C1538" s="8" t="n"/>
      <c r="D1538" s="14">
        <f>IF($S$1528="","",IF($R$1521="언어와 매체",SUMPRODUCT((자동계산!$A$4:$A$48&gt;=INDEX(회차설정!$C$13:$C$27,$S$1528))*(자동계산!$A$4:$A$48&lt;=INDEX(회차설정!$D$13:$D$27,$S$1528))*자동계산!$E$4:$E$48),SUMPRODUCT((자동계산!$A$4:$A$48&gt;=INDEX(회차설정!$C$13:$C$27,$S$1528))*(자동계산!$A$4:$A$48&lt;=INDEX(회차설정!$D$13:$D$27,$S$1528))*자동계산!$C$4:$C$48)))</f>
        <v/>
      </c>
      <c r="E1538" s="14">
        <f>IF(OR($S$1528="",$R$1520=""),"",SUM(OFFSET(전체채점!$AW$2,$R$1520,INDEX(회차설정!$C$13:$C$27,$S$1528),1,INDEX(회차설정!$D$13:$D$27,$S$1528)-INDEX(회차설정!$C$13:$C$27,$S$1528)+1)))</f>
        <v/>
      </c>
      <c r="F1538" s="46">
        <f>IF(OR($S$1528="",$D1538=0,$D1538="",$E1538=""),"",$E1538/$D1538*100)</f>
        <v/>
      </c>
      <c r="G1538" s="8" t="n"/>
      <c r="H1538" s="47">
        <f>IF($F1538="","",REPT("■",ROUND($F1538/5,0)))</f>
        <v/>
      </c>
      <c r="I1538" s="7" t="n"/>
      <c r="J1538" s="7" t="n"/>
      <c r="K1538" s="7" t="n"/>
      <c r="L1538" s="7" t="n"/>
      <c r="M1538" s="7" t="n"/>
      <c r="N1538" s="7" t="n"/>
      <c r="O1538" s="7" t="n"/>
      <c r="P1538" s="8" t="n"/>
    </row>
    <row r="1539">
      <c r="A1539" s="14">
        <f>IF($S$1529="","",INDEX(회차설정!$A$13:$A$27,$S$1529))</f>
        <v/>
      </c>
      <c r="B1539" s="14">
        <f>IF($S$1529="","",INDEX(회차설정!$B$13:$B$27,$S$1529))</f>
        <v/>
      </c>
      <c r="C1539" s="8" t="n"/>
      <c r="D1539" s="14">
        <f>IF($S$1529="","",IF($R$1521="언어와 매체",SUMPRODUCT((자동계산!$A$4:$A$48&gt;=INDEX(회차설정!$C$13:$C$27,$S$1529))*(자동계산!$A$4:$A$48&lt;=INDEX(회차설정!$D$13:$D$27,$S$1529))*자동계산!$E$4:$E$48),SUMPRODUCT((자동계산!$A$4:$A$48&gt;=INDEX(회차설정!$C$13:$C$27,$S$1529))*(자동계산!$A$4:$A$48&lt;=INDEX(회차설정!$D$13:$D$27,$S$1529))*자동계산!$C$4:$C$48)))</f>
        <v/>
      </c>
      <c r="E1539" s="14">
        <f>IF(OR($S$1529="",$R$1520=""),"",SUM(OFFSET(전체채점!$AW$2,$R$1520,INDEX(회차설정!$C$13:$C$27,$S$1529),1,INDEX(회차설정!$D$13:$D$27,$S$1529)-INDEX(회차설정!$C$13:$C$27,$S$1529)+1)))</f>
        <v/>
      </c>
      <c r="F1539" s="46">
        <f>IF(OR($S$1529="",$D1539=0,$D1539="",$E1539=""),"",$E1539/$D1539*100)</f>
        <v/>
      </c>
      <c r="G1539" s="8" t="n"/>
      <c r="H1539" s="47">
        <f>IF($F1539="","",REPT("■",ROUND($F1539/5,0)))</f>
        <v/>
      </c>
      <c r="I1539" s="7" t="n"/>
      <c r="J1539" s="7" t="n"/>
      <c r="K1539" s="7" t="n"/>
      <c r="L1539" s="7" t="n"/>
      <c r="M1539" s="7" t="n"/>
      <c r="N1539" s="7" t="n"/>
      <c r="O1539" s="7" t="n"/>
      <c r="P1539" s="8" t="n"/>
    </row>
    <row r="1540">
      <c r="A1540" s="14">
        <f>IF($S$1530="","",INDEX(회차설정!$A$13:$A$27,$S$1530))</f>
        <v/>
      </c>
      <c r="B1540" s="14">
        <f>IF($S$1530="","",INDEX(회차설정!$B$13:$B$27,$S$1530))</f>
        <v/>
      </c>
      <c r="C1540" s="8" t="n"/>
      <c r="D1540" s="14">
        <f>IF($S$1530="","",IF($R$1521="언어와 매체",SUMPRODUCT((자동계산!$A$4:$A$48&gt;=INDEX(회차설정!$C$13:$C$27,$S$1530))*(자동계산!$A$4:$A$48&lt;=INDEX(회차설정!$D$13:$D$27,$S$1530))*자동계산!$E$4:$E$48),SUMPRODUCT((자동계산!$A$4:$A$48&gt;=INDEX(회차설정!$C$13:$C$27,$S$1530))*(자동계산!$A$4:$A$48&lt;=INDEX(회차설정!$D$13:$D$27,$S$1530))*자동계산!$C$4:$C$48)))</f>
        <v/>
      </c>
      <c r="E1540" s="14">
        <f>IF(OR($S$1530="",$R$1520=""),"",SUM(OFFSET(전체채점!$AW$2,$R$1520,INDEX(회차설정!$C$13:$C$27,$S$1530),1,INDEX(회차설정!$D$13:$D$27,$S$1530)-INDEX(회차설정!$C$13:$C$27,$S$1530)+1)))</f>
        <v/>
      </c>
      <c r="F1540" s="46">
        <f>IF(OR($S$1530="",$D1540=0,$D1540="",$E1540=""),"",$E1540/$D1540*100)</f>
        <v/>
      </c>
      <c r="G1540" s="8" t="n"/>
      <c r="H1540" s="47">
        <f>IF($F1540="","",REPT("■",ROUND($F1540/5,0)))</f>
        <v/>
      </c>
      <c r="I1540" s="7" t="n"/>
      <c r="J1540" s="7" t="n"/>
      <c r="K1540" s="7" t="n"/>
      <c r="L1540" s="7" t="n"/>
      <c r="M1540" s="7" t="n"/>
      <c r="N1540" s="7" t="n"/>
      <c r="O1540" s="7" t="n"/>
      <c r="P1540" s="8" t="n"/>
    </row>
    <row r="1541">
      <c r="A1541" s="14">
        <f>IF($S$1531="","",INDEX(회차설정!$A$13:$A$27,$S$1531))</f>
        <v/>
      </c>
      <c r="B1541" s="14">
        <f>IF($S$1531="","",INDEX(회차설정!$B$13:$B$27,$S$1531))</f>
        <v/>
      </c>
      <c r="C1541" s="8" t="n"/>
      <c r="D1541" s="14">
        <f>IF($S$1531="","",IF($R$1521="언어와 매체",SUMPRODUCT((자동계산!$A$4:$A$48&gt;=INDEX(회차설정!$C$13:$C$27,$S$1531))*(자동계산!$A$4:$A$48&lt;=INDEX(회차설정!$D$13:$D$27,$S$1531))*자동계산!$E$4:$E$48),SUMPRODUCT((자동계산!$A$4:$A$48&gt;=INDEX(회차설정!$C$13:$C$27,$S$1531))*(자동계산!$A$4:$A$48&lt;=INDEX(회차설정!$D$13:$D$27,$S$1531))*자동계산!$C$4:$C$48)))</f>
        <v/>
      </c>
      <c r="E1541" s="14">
        <f>IF(OR($S$1531="",$R$1520=""),"",SUM(OFFSET(전체채점!$AW$2,$R$1520,INDEX(회차설정!$C$13:$C$27,$S$1531),1,INDEX(회차설정!$D$13:$D$27,$S$1531)-INDEX(회차설정!$C$13:$C$27,$S$1531)+1)))</f>
        <v/>
      </c>
      <c r="F1541" s="46">
        <f>IF(OR($S$1531="",$D1541=0,$D1541="",$E1541=""),"",$E1541/$D1541*100)</f>
        <v/>
      </c>
      <c r="G1541" s="8" t="n"/>
      <c r="H1541" s="47">
        <f>IF($F1541="","",REPT("■",ROUND($F1541/5,0)))</f>
        <v/>
      </c>
      <c r="I1541" s="7" t="n"/>
      <c r="J1541" s="7" t="n"/>
      <c r="K1541" s="7" t="n"/>
      <c r="L1541" s="7" t="n"/>
      <c r="M1541" s="7" t="n"/>
      <c r="N1541" s="7" t="n"/>
      <c r="O1541" s="7" t="n"/>
      <c r="P1541" s="8" t="n"/>
    </row>
    <row r="1542">
      <c r="A1542" s="5">
        <f>IF($R$1520="","","합계")</f>
        <v/>
      </c>
      <c r="B1542" s="7" t="n"/>
      <c r="C1542" s="8" t="n"/>
      <c r="D1542" s="5">
        <f>IF($R$1520="","",SUM(D1530:D1541))</f>
        <v/>
      </c>
      <c r="E1542" s="5">
        <f>IF($R$1520="","",SUM(E1530:E1541))</f>
        <v/>
      </c>
      <c r="F1542" s="48">
        <f>IF(OR($D1542=0,$D1542=""),"",$E1542/$D1542*100)</f>
        <v/>
      </c>
      <c r="G1542" s="8" t="n"/>
      <c r="H1542" s="49">
        <f>IF($F1542="","",REPT("■",ROUND($F1542/5,0)))</f>
        <v/>
      </c>
      <c r="I1542" s="7" t="n"/>
      <c r="J1542" s="7" t="n"/>
      <c r="K1542" s="7" t="n"/>
      <c r="L1542" s="7" t="n"/>
      <c r="M1542" s="7" t="n"/>
      <c r="N1542" s="7" t="n"/>
      <c r="O1542" s="7" t="n"/>
      <c r="P1542" s="8" t="n"/>
    </row>
    <row r="1544">
      <c r="A1544" s="12" t="inlineStr">
        <is>
          <t>4. 문항 채점표</t>
        </is>
      </c>
    </row>
    <row r="1545">
      <c r="A1545" s="50" t="inlineStr">
        <is>
          <t>문항 번호</t>
        </is>
      </c>
      <c r="B1545" s="51" t="n">
        <v>1</v>
      </c>
      <c r="C1545" s="51" t="n">
        <v>2</v>
      </c>
      <c r="D1545" s="51" t="n">
        <v>3</v>
      </c>
      <c r="E1545" s="51" t="n">
        <v>4</v>
      </c>
      <c r="F1545" s="51" t="n">
        <v>5</v>
      </c>
      <c r="G1545" s="51" t="n">
        <v>6</v>
      </c>
      <c r="H1545" s="51" t="n">
        <v>7</v>
      </c>
      <c r="I1545" s="51" t="n">
        <v>8</v>
      </c>
      <c r="J1545" s="51" t="n">
        <v>9</v>
      </c>
      <c r="K1545" s="51" t="n">
        <v>10</v>
      </c>
      <c r="L1545" s="51" t="n">
        <v>11</v>
      </c>
      <c r="M1545" s="51" t="n">
        <v>12</v>
      </c>
      <c r="N1545" s="51" t="n">
        <v>13</v>
      </c>
      <c r="O1545" s="51" t="n">
        <v>14</v>
      </c>
      <c r="P1545" s="51" t="n">
        <v>15</v>
      </c>
    </row>
    <row r="1546">
      <c r="A1546" s="52" t="inlineStr">
        <is>
          <t>정답</t>
        </is>
      </c>
      <c r="B1546" s="33">
        <f>IF($R$1521="","",IF($R$1521="언어와 매체",자동계산!$D$4,자동계산!$B$4))</f>
        <v/>
      </c>
      <c r="C1546" s="33">
        <f>IF($R$1521="","",IF($R$1521="언어와 매체",자동계산!$D$5,자동계산!$B$5))</f>
        <v/>
      </c>
      <c r="D1546" s="33">
        <f>IF($R$1521="","",IF($R$1521="언어와 매체",자동계산!$D$6,자동계산!$B$6))</f>
        <v/>
      </c>
      <c r="E1546" s="33">
        <f>IF($R$1521="","",IF($R$1521="언어와 매체",자동계산!$D$7,자동계산!$B$7))</f>
        <v/>
      </c>
      <c r="F1546" s="33">
        <f>IF($R$1521="","",IF($R$1521="언어와 매체",자동계산!$D$8,자동계산!$B$8))</f>
        <v/>
      </c>
      <c r="G1546" s="33">
        <f>IF($R$1521="","",IF($R$1521="언어와 매체",자동계산!$D$9,자동계산!$B$9))</f>
        <v/>
      </c>
      <c r="H1546" s="33">
        <f>IF($R$1521="","",IF($R$1521="언어와 매체",자동계산!$D$10,자동계산!$B$10))</f>
        <v/>
      </c>
      <c r="I1546" s="33">
        <f>IF($R$1521="","",IF($R$1521="언어와 매체",자동계산!$D$11,자동계산!$B$11))</f>
        <v/>
      </c>
      <c r="J1546" s="33">
        <f>IF($R$1521="","",IF($R$1521="언어와 매체",자동계산!$D$12,자동계산!$B$12))</f>
        <v/>
      </c>
      <c r="K1546" s="33">
        <f>IF($R$1521="","",IF($R$1521="언어와 매체",자동계산!$D$13,자동계산!$B$13))</f>
        <v/>
      </c>
      <c r="L1546" s="33">
        <f>IF($R$1521="","",IF($R$1521="언어와 매체",자동계산!$D$14,자동계산!$B$14))</f>
        <v/>
      </c>
      <c r="M1546" s="33">
        <f>IF($R$1521="","",IF($R$1521="언어와 매체",자동계산!$D$15,자동계산!$B$15))</f>
        <v/>
      </c>
      <c r="N1546" s="33">
        <f>IF($R$1521="","",IF($R$1521="언어와 매체",자동계산!$D$16,자동계산!$B$16))</f>
        <v/>
      </c>
      <c r="O1546" s="33">
        <f>IF($R$1521="","",IF($R$1521="언어와 매체",자동계산!$D$17,자동계산!$B$17))</f>
        <v/>
      </c>
      <c r="P1546" s="33">
        <f>IF($R$1521="","",IF($R$1521="언어와 매체",자동계산!$D$18,자동계산!$B$18))</f>
        <v/>
      </c>
    </row>
    <row r="1547">
      <c r="A1547" s="52" t="inlineStr">
        <is>
          <t>학생답안</t>
        </is>
      </c>
      <c r="B1547" s="33">
        <f>IF($R$1520="","",INDEX(전체채점!E$3:E$62,$R$1520))</f>
        <v/>
      </c>
      <c r="C1547" s="33">
        <f>IF($R$1520="","",INDEX(전체채점!F$3:F$62,$R$1520))</f>
        <v/>
      </c>
      <c r="D1547" s="33">
        <f>IF($R$1520="","",INDEX(전체채점!G$3:G$62,$R$1520))</f>
        <v/>
      </c>
      <c r="E1547" s="33">
        <f>IF($R$1520="","",INDEX(전체채점!H$3:H$62,$R$1520))</f>
        <v/>
      </c>
      <c r="F1547" s="33">
        <f>IF($R$1520="","",INDEX(전체채점!I$3:I$62,$R$1520))</f>
        <v/>
      </c>
      <c r="G1547" s="33">
        <f>IF($R$1520="","",INDEX(전체채점!J$3:J$62,$R$1520))</f>
        <v/>
      </c>
      <c r="H1547" s="33">
        <f>IF($R$1520="","",INDEX(전체채점!K$3:K$62,$R$1520))</f>
        <v/>
      </c>
      <c r="I1547" s="33">
        <f>IF($R$1520="","",INDEX(전체채점!L$3:L$62,$R$1520))</f>
        <v/>
      </c>
      <c r="J1547" s="33">
        <f>IF($R$1520="","",INDEX(전체채점!M$3:M$62,$R$1520))</f>
        <v/>
      </c>
      <c r="K1547" s="33">
        <f>IF($R$1520="","",INDEX(전체채점!N$3:N$62,$R$1520))</f>
        <v/>
      </c>
      <c r="L1547" s="33">
        <f>IF($R$1520="","",INDEX(전체채점!O$3:O$62,$R$1520))</f>
        <v/>
      </c>
      <c r="M1547" s="33">
        <f>IF($R$1520="","",INDEX(전체채점!P$3:P$62,$R$1520))</f>
        <v/>
      </c>
      <c r="N1547" s="33">
        <f>IF($R$1520="","",INDEX(전체채점!Q$3:Q$62,$R$1520))</f>
        <v/>
      </c>
      <c r="O1547" s="33">
        <f>IF($R$1520="","",INDEX(전체채점!R$3:R$62,$R$1520))</f>
        <v/>
      </c>
      <c r="P1547" s="33">
        <f>IF($R$1520="","",INDEX(전체채점!S$3:S$62,$R$1520))</f>
        <v/>
      </c>
    </row>
    <row r="1548">
      <c r="A1548" s="52" t="inlineStr">
        <is>
          <t>정오</t>
        </is>
      </c>
      <c r="B1548" s="33">
        <f>IF($R$1520="","",INDEX(전체채점!AX$3:AX$62,$R$1520))</f>
        <v/>
      </c>
      <c r="C1548" s="33">
        <f>IF($R$1520="","",INDEX(전체채점!AY$3:AY$62,$R$1520))</f>
        <v/>
      </c>
      <c r="D1548" s="33">
        <f>IF($R$1520="","",INDEX(전체채점!AZ$3:AZ$62,$R$1520))</f>
        <v/>
      </c>
      <c r="E1548" s="33">
        <f>IF($R$1520="","",INDEX(전체채점!BA$3:BA$62,$R$1520))</f>
        <v/>
      </c>
      <c r="F1548" s="33">
        <f>IF($R$1520="","",INDEX(전체채점!BB$3:BB$62,$R$1520))</f>
        <v/>
      </c>
      <c r="G1548" s="33">
        <f>IF($R$1520="","",INDEX(전체채점!BC$3:BC$62,$R$1520))</f>
        <v/>
      </c>
      <c r="H1548" s="33">
        <f>IF($R$1520="","",INDEX(전체채점!BD$3:BD$62,$R$1520))</f>
        <v/>
      </c>
      <c r="I1548" s="33">
        <f>IF($R$1520="","",INDEX(전체채점!BE$3:BE$62,$R$1520))</f>
        <v/>
      </c>
      <c r="J1548" s="33">
        <f>IF($R$1520="","",INDEX(전체채점!BF$3:BF$62,$R$1520))</f>
        <v/>
      </c>
      <c r="K1548" s="33">
        <f>IF($R$1520="","",INDEX(전체채점!BG$3:BG$62,$R$1520))</f>
        <v/>
      </c>
      <c r="L1548" s="33">
        <f>IF($R$1520="","",INDEX(전체채점!BH$3:BH$62,$R$1520))</f>
        <v/>
      </c>
      <c r="M1548" s="33">
        <f>IF($R$1520="","",INDEX(전체채점!BI$3:BI$62,$R$1520))</f>
        <v/>
      </c>
      <c r="N1548" s="33">
        <f>IF($R$1520="","",INDEX(전체채점!BJ$3:BJ$62,$R$1520))</f>
        <v/>
      </c>
      <c r="O1548" s="33">
        <f>IF($R$1520="","",INDEX(전체채점!BK$3:BK$62,$R$1520))</f>
        <v/>
      </c>
      <c r="P1548" s="33">
        <f>IF($R$1520="","",INDEX(전체채점!BL$3:BL$62,$R$1520))</f>
        <v/>
      </c>
    </row>
    <row r="1549">
      <c r="A1549" s="50" t="inlineStr">
        <is>
          <t>문항 번호</t>
        </is>
      </c>
      <c r="B1549" s="51" t="n">
        <v>16</v>
      </c>
      <c r="C1549" s="51" t="n">
        <v>17</v>
      </c>
      <c r="D1549" s="51" t="n">
        <v>18</v>
      </c>
      <c r="E1549" s="51" t="n">
        <v>19</v>
      </c>
      <c r="F1549" s="51" t="n">
        <v>20</v>
      </c>
      <c r="G1549" s="51" t="n">
        <v>21</v>
      </c>
      <c r="H1549" s="51" t="n">
        <v>22</v>
      </c>
      <c r="I1549" s="51" t="n">
        <v>23</v>
      </c>
      <c r="J1549" s="51" t="n">
        <v>24</v>
      </c>
      <c r="K1549" s="51" t="n">
        <v>25</v>
      </c>
      <c r="L1549" s="51" t="n">
        <v>26</v>
      </c>
      <c r="M1549" s="51" t="n">
        <v>27</v>
      </c>
      <c r="N1549" s="51" t="n">
        <v>28</v>
      </c>
      <c r="O1549" s="51" t="n">
        <v>29</v>
      </c>
      <c r="P1549" s="51" t="n">
        <v>30</v>
      </c>
    </row>
    <row r="1550">
      <c r="A1550" s="52" t="inlineStr">
        <is>
          <t>정답</t>
        </is>
      </c>
      <c r="B1550" s="33">
        <f>IF($R$1521="","",IF($R$1521="언어와 매체",자동계산!$D$19,자동계산!$B$19))</f>
        <v/>
      </c>
      <c r="C1550" s="33">
        <f>IF($R$1521="","",IF($R$1521="언어와 매체",자동계산!$D$20,자동계산!$B$20))</f>
        <v/>
      </c>
      <c r="D1550" s="33">
        <f>IF($R$1521="","",IF($R$1521="언어와 매체",자동계산!$D$21,자동계산!$B$21))</f>
        <v/>
      </c>
      <c r="E1550" s="33">
        <f>IF($R$1521="","",IF($R$1521="언어와 매체",자동계산!$D$22,자동계산!$B$22))</f>
        <v/>
      </c>
      <c r="F1550" s="33">
        <f>IF($R$1521="","",IF($R$1521="언어와 매체",자동계산!$D$23,자동계산!$B$23))</f>
        <v/>
      </c>
      <c r="G1550" s="33">
        <f>IF($R$1521="","",IF($R$1521="언어와 매체",자동계산!$D$24,자동계산!$B$24))</f>
        <v/>
      </c>
      <c r="H1550" s="33">
        <f>IF($R$1521="","",IF($R$1521="언어와 매체",자동계산!$D$25,자동계산!$B$25))</f>
        <v/>
      </c>
      <c r="I1550" s="33">
        <f>IF($R$1521="","",IF($R$1521="언어와 매체",자동계산!$D$26,자동계산!$B$26))</f>
        <v/>
      </c>
      <c r="J1550" s="33">
        <f>IF($R$1521="","",IF($R$1521="언어와 매체",자동계산!$D$27,자동계산!$B$27))</f>
        <v/>
      </c>
      <c r="K1550" s="33">
        <f>IF($R$1521="","",IF($R$1521="언어와 매체",자동계산!$D$28,자동계산!$B$28))</f>
        <v/>
      </c>
      <c r="L1550" s="33">
        <f>IF($R$1521="","",IF($R$1521="언어와 매체",자동계산!$D$29,자동계산!$B$29))</f>
        <v/>
      </c>
      <c r="M1550" s="33">
        <f>IF($R$1521="","",IF($R$1521="언어와 매체",자동계산!$D$30,자동계산!$B$30))</f>
        <v/>
      </c>
      <c r="N1550" s="33">
        <f>IF($R$1521="","",IF($R$1521="언어와 매체",자동계산!$D$31,자동계산!$B$31))</f>
        <v/>
      </c>
      <c r="O1550" s="33">
        <f>IF($R$1521="","",IF($R$1521="언어와 매체",자동계산!$D$32,자동계산!$B$32))</f>
        <v/>
      </c>
      <c r="P1550" s="33">
        <f>IF($R$1521="","",IF($R$1521="언어와 매체",자동계산!$D$33,자동계산!$B$33))</f>
        <v/>
      </c>
    </row>
    <row r="1551">
      <c r="A1551" s="52" t="inlineStr">
        <is>
          <t>학생답안</t>
        </is>
      </c>
      <c r="B1551" s="33">
        <f>IF($R$1520="","",INDEX(전체채점!T$3:T$62,$R$1520))</f>
        <v/>
      </c>
      <c r="C1551" s="33">
        <f>IF($R$1520="","",INDEX(전체채점!U$3:U$62,$R$1520))</f>
        <v/>
      </c>
      <c r="D1551" s="33">
        <f>IF($R$1520="","",INDEX(전체채점!V$3:V$62,$R$1520))</f>
        <v/>
      </c>
      <c r="E1551" s="33">
        <f>IF($R$1520="","",INDEX(전체채점!W$3:W$62,$R$1520))</f>
        <v/>
      </c>
      <c r="F1551" s="33">
        <f>IF($R$1520="","",INDEX(전체채점!X$3:X$62,$R$1520))</f>
        <v/>
      </c>
      <c r="G1551" s="33">
        <f>IF($R$1520="","",INDEX(전체채점!Y$3:Y$62,$R$1520))</f>
        <v/>
      </c>
      <c r="H1551" s="33">
        <f>IF($R$1520="","",INDEX(전체채점!Z$3:Z$62,$R$1520))</f>
        <v/>
      </c>
      <c r="I1551" s="33">
        <f>IF($R$1520="","",INDEX(전체채점!AA$3:AA$62,$R$1520))</f>
        <v/>
      </c>
      <c r="J1551" s="33">
        <f>IF($R$1520="","",INDEX(전체채점!AB$3:AB$62,$R$1520))</f>
        <v/>
      </c>
      <c r="K1551" s="33">
        <f>IF($R$1520="","",INDEX(전체채점!AC$3:AC$62,$R$1520))</f>
        <v/>
      </c>
      <c r="L1551" s="33">
        <f>IF($R$1520="","",INDEX(전체채점!AD$3:AD$62,$R$1520))</f>
        <v/>
      </c>
      <c r="M1551" s="33">
        <f>IF($R$1520="","",INDEX(전체채점!AE$3:AE$62,$R$1520))</f>
        <v/>
      </c>
      <c r="N1551" s="33">
        <f>IF($R$1520="","",INDEX(전체채점!AF$3:AF$62,$R$1520))</f>
        <v/>
      </c>
      <c r="O1551" s="33">
        <f>IF($R$1520="","",INDEX(전체채점!AG$3:AG$62,$R$1520))</f>
        <v/>
      </c>
      <c r="P1551" s="33">
        <f>IF($R$1520="","",INDEX(전체채점!AH$3:AH$62,$R$1520))</f>
        <v/>
      </c>
    </row>
    <row r="1552">
      <c r="A1552" s="52" t="inlineStr">
        <is>
          <t>정오</t>
        </is>
      </c>
      <c r="B1552" s="33">
        <f>IF($R$1520="","",INDEX(전체채점!BM$3:BM$62,$R$1520))</f>
        <v/>
      </c>
      <c r="C1552" s="33">
        <f>IF($R$1520="","",INDEX(전체채점!BN$3:BN$62,$R$1520))</f>
        <v/>
      </c>
      <c r="D1552" s="33">
        <f>IF($R$1520="","",INDEX(전체채점!BO$3:BO$62,$R$1520))</f>
        <v/>
      </c>
      <c r="E1552" s="33">
        <f>IF($R$1520="","",INDEX(전체채점!BP$3:BP$62,$R$1520))</f>
        <v/>
      </c>
      <c r="F1552" s="33">
        <f>IF($R$1520="","",INDEX(전체채점!BQ$3:BQ$62,$R$1520))</f>
        <v/>
      </c>
      <c r="G1552" s="33">
        <f>IF($R$1520="","",INDEX(전체채점!BR$3:BR$62,$R$1520))</f>
        <v/>
      </c>
      <c r="H1552" s="33">
        <f>IF($R$1520="","",INDEX(전체채점!BS$3:BS$62,$R$1520))</f>
        <v/>
      </c>
      <c r="I1552" s="33">
        <f>IF($R$1520="","",INDEX(전체채점!BT$3:BT$62,$R$1520))</f>
        <v/>
      </c>
      <c r="J1552" s="33">
        <f>IF($R$1520="","",INDEX(전체채점!BU$3:BU$62,$R$1520))</f>
        <v/>
      </c>
      <c r="K1552" s="33">
        <f>IF($R$1520="","",INDEX(전체채점!BV$3:BV$62,$R$1520))</f>
        <v/>
      </c>
      <c r="L1552" s="33">
        <f>IF($R$1520="","",INDEX(전체채점!BW$3:BW$62,$R$1520))</f>
        <v/>
      </c>
      <c r="M1552" s="33">
        <f>IF($R$1520="","",INDEX(전체채점!BX$3:BX$62,$R$1520))</f>
        <v/>
      </c>
      <c r="N1552" s="33">
        <f>IF($R$1520="","",INDEX(전체채점!BY$3:BY$62,$R$1520))</f>
        <v/>
      </c>
      <c r="O1552" s="33">
        <f>IF($R$1520="","",INDEX(전체채점!BZ$3:BZ$62,$R$1520))</f>
        <v/>
      </c>
      <c r="P1552" s="33">
        <f>IF($R$1520="","",INDEX(전체채점!CA$3:CA$62,$R$1520))</f>
        <v/>
      </c>
    </row>
    <row r="1553">
      <c r="A1553" s="50" t="inlineStr">
        <is>
          <t>문항 번호</t>
        </is>
      </c>
      <c r="B1553" s="51" t="n">
        <v>31</v>
      </c>
      <c r="C1553" s="51" t="n">
        <v>32</v>
      </c>
      <c r="D1553" s="51" t="n">
        <v>33</v>
      </c>
      <c r="E1553" s="51" t="n">
        <v>34</v>
      </c>
      <c r="F1553" s="51" t="n">
        <v>35</v>
      </c>
      <c r="G1553" s="51" t="n">
        <v>36</v>
      </c>
      <c r="H1553" s="51" t="n">
        <v>37</v>
      </c>
      <c r="I1553" s="51" t="n">
        <v>38</v>
      </c>
      <c r="J1553" s="51" t="n">
        <v>39</v>
      </c>
      <c r="K1553" s="51" t="n">
        <v>40</v>
      </c>
      <c r="L1553" s="51" t="n">
        <v>41</v>
      </c>
      <c r="M1553" s="51" t="n">
        <v>42</v>
      </c>
      <c r="N1553" s="51" t="n">
        <v>43</v>
      </c>
      <c r="O1553" s="51" t="n">
        <v>44</v>
      </c>
      <c r="P1553" s="51" t="n">
        <v>45</v>
      </c>
    </row>
    <row r="1554">
      <c r="A1554" s="52" t="inlineStr">
        <is>
          <t>정답</t>
        </is>
      </c>
      <c r="B1554" s="33">
        <f>IF($R$1521="","",IF($R$1521="언어와 매체",자동계산!$D$34,자동계산!$B$34))</f>
        <v/>
      </c>
      <c r="C1554" s="33">
        <f>IF($R$1521="","",IF($R$1521="언어와 매체",자동계산!$D$35,자동계산!$B$35))</f>
        <v/>
      </c>
      <c r="D1554" s="33">
        <f>IF($R$1521="","",IF($R$1521="언어와 매체",자동계산!$D$36,자동계산!$B$36))</f>
        <v/>
      </c>
      <c r="E1554" s="33">
        <f>IF($R$1521="","",IF($R$1521="언어와 매체",자동계산!$D$37,자동계산!$B$37))</f>
        <v/>
      </c>
      <c r="F1554" s="33">
        <f>IF($R$1521="","",IF($R$1521="언어와 매체",자동계산!$D$38,자동계산!$B$38))</f>
        <v/>
      </c>
      <c r="G1554" s="33">
        <f>IF($R$1521="","",IF($R$1521="언어와 매체",자동계산!$D$39,자동계산!$B$39))</f>
        <v/>
      </c>
      <c r="H1554" s="33">
        <f>IF($R$1521="","",IF($R$1521="언어와 매체",자동계산!$D$40,자동계산!$B$40))</f>
        <v/>
      </c>
      <c r="I1554" s="33">
        <f>IF($R$1521="","",IF($R$1521="언어와 매체",자동계산!$D$41,자동계산!$B$41))</f>
        <v/>
      </c>
      <c r="J1554" s="33">
        <f>IF($R$1521="","",IF($R$1521="언어와 매체",자동계산!$D$42,자동계산!$B$42))</f>
        <v/>
      </c>
      <c r="K1554" s="33">
        <f>IF($R$1521="","",IF($R$1521="언어와 매체",자동계산!$D$43,자동계산!$B$43))</f>
        <v/>
      </c>
      <c r="L1554" s="33">
        <f>IF($R$1521="","",IF($R$1521="언어와 매체",자동계산!$D$44,자동계산!$B$44))</f>
        <v/>
      </c>
      <c r="M1554" s="33">
        <f>IF($R$1521="","",IF($R$1521="언어와 매체",자동계산!$D$45,자동계산!$B$45))</f>
        <v/>
      </c>
      <c r="N1554" s="33">
        <f>IF($R$1521="","",IF($R$1521="언어와 매체",자동계산!$D$46,자동계산!$B$46))</f>
        <v/>
      </c>
      <c r="O1554" s="33">
        <f>IF($R$1521="","",IF($R$1521="언어와 매체",자동계산!$D$47,자동계산!$B$47))</f>
        <v/>
      </c>
      <c r="P1554" s="33">
        <f>IF($R$1521="","",IF($R$1521="언어와 매체",자동계산!$D$48,자동계산!$B$48))</f>
        <v/>
      </c>
    </row>
    <row r="1555">
      <c r="A1555" s="52" t="inlineStr">
        <is>
          <t>학생답안</t>
        </is>
      </c>
      <c r="B1555" s="33">
        <f>IF($R$1520="","",INDEX(전체채점!AI$3:AI$62,$R$1520))</f>
        <v/>
      </c>
      <c r="C1555" s="33">
        <f>IF($R$1520="","",INDEX(전체채점!AJ$3:AJ$62,$R$1520))</f>
        <v/>
      </c>
      <c r="D1555" s="33">
        <f>IF($R$1520="","",INDEX(전체채점!AK$3:AK$62,$R$1520))</f>
        <v/>
      </c>
      <c r="E1555" s="33">
        <f>IF($R$1520="","",INDEX(전체채점!AL$3:AL$62,$R$1520))</f>
        <v/>
      </c>
      <c r="F1555" s="33">
        <f>IF($R$1520="","",INDEX(전체채점!AM$3:AM$62,$R$1520))</f>
        <v/>
      </c>
      <c r="G1555" s="33">
        <f>IF($R$1520="","",INDEX(전체채점!AN$3:AN$62,$R$1520))</f>
        <v/>
      </c>
      <c r="H1555" s="33">
        <f>IF($R$1520="","",INDEX(전체채점!AO$3:AO$62,$R$1520))</f>
        <v/>
      </c>
      <c r="I1555" s="33">
        <f>IF($R$1520="","",INDEX(전체채점!AP$3:AP$62,$R$1520))</f>
        <v/>
      </c>
      <c r="J1555" s="33">
        <f>IF($R$1520="","",INDEX(전체채점!AQ$3:AQ$62,$R$1520))</f>
        <v/>
      </c>
      <c r="K1555" s="33">
        <f>IF($R$1520="","",INDEX(전체채점!AR$3:AR$62,$R$1520))</f>
        <v/>
      </c>
      <c r="L1555" s="33">
        <f>IF($R$1520="","",INDEX(전체채점!AS$3:AS$62,$R$1520))</f>
        <v/>
      </c>
      <c r="M1555" s="33">
        <f>IF($R$1520="","",INDEX(전체채점!AT$3:AT$62,$R$1520))</f>
        <v/>
      </c>
      <c r="N1555" s="33">
        <f>IF($R$1520="","",INDEX(전체채점!AU$3:AU$62,$R$1520))</f>
        <v/>
      </c>
      <c r="O1555" s="33">
        <f>IF($R$1520="","",INDEX(전체채점!AV$3:AV$62,$R$1520))</f>
        <v/>
      </c>
      <c r="P1555" s="33">
        <f>IF($R$1520="","",INDEX(전체채점!AW$3:AW$62,$R$1520))</f>
        <v/>
      </c>
    </row>
    <row r="1556">
      <c r="A1556" s="52" t="inlineStr">
        <is>
          <t>정오</t>
        </is>
      </c>
      <c r="B1556" s="33">
        <f>IF($R$1520="","",INDEX(전체채점!CB$3:CB$62,$R$1520))</f>
        <v/>
      </c>
      <c r="C1556" s="33">
        <f>IF($R$1520="","",INDEX(전체채점!CC$3:CC$62,$R$1520))</f>
        <v/>
      </c>
      <c r="D1556" s="33">
        <f>IF($R$1520="","",INDEX(전체채점!CD$3:CD$62,$R$1520))</f>
        <v/>
      </c>
      <c r="E1556" s="33">
        <f>IF($R$1520="","",INDEX(전체채점!CE$3:CE$62,$R$1520))</f>
        <v/>
      </c>
      <c r="F1556" s="33">
        <f>IF($R$1520="","",INDEX(전체채점!CF$3:CF$62,$R$1520))</f>
        <v/>
      </c>
      <c r="G1556" s="33">
        <f>IF($R$1520="","",INDEX(전체채점!CG$3:CG$62,$R$1520))</f>
        <v/>
      </c>
      <c r="H1556" s="33">
        <f>IF($R$1520="","",INDEX(전체채점!CH$3:CH$62,$R$1520))</f>
        <v/>
      </c>
      <c r="I1556" s="33">
        <f>IF($R$1520="","",INDEX(전체채점!CI$3:CI$62,$R$1520))</f>
        <v/>
      </c>
      <c r="J1556" s="33">
        <f>IF($R$1520="","",INDEX(전체채점!CJ$3:CJ$62,$R$1520))</f>
        <v/>
      </c>
      <c r="K1556" s="33">
        <f>IF($R$1520="","",INDEX(전체채점!CK$3:CK$62,$R$1520))</f>
        <v/>
      </c>
      <c r="L1556" s="33">
        <f>IF($R$1520="","",INDEX(전체채점!CL$3:CL$62,$R$1520))</f>
        <v/>
      </c>
      <c r="M1556" s="33">
        <f>IF($R$1520="","",INDEX(전체채점!CM$3:CM$62,$R$1520))</f>
        <v/>
      </c>
      <c r="N1556" s="33">
        <f>IF($R$1520="","",INDEX(전체채점!CN$3:CN$62,$R$1520))</f>
        <v/>
      </c>
      <c r="O1556" s="33">
        <f>IF($R$1520="","",INDEX(전체채점!CO$3:CO$62,$R$1520))</f>
        <v/>
      </c>
      <c r="P1556" s="33">
        <f>IF($R$1520="","",INDEX(전체채점!CP$3:CP$62,$R$1520))</f>
        <v/>
      </c>
    </row>
    <row r="1559" ht="34" customHeight="1">
      <c r="A1559" s="36">
        <f>IF($R$1561="","",회차설정!$B$2&amp;" 성적표")</f>
        <v/>
      </c>
    </row>
    <row r="1561">
      <c r="A1561" s="12" t="inlineStr">
        <is>
          <t>1. 학생정보</t>
        </is>
      </c>
      <c r="R1561" s="37">
        <f>IF(답안입력!$A$41="","",39)</f>
        <v/>
      </c>
      <c r="S1561" s="37">
        <f>IF($R$1562="","",IFERROR(IF($R$1562="언어와 매체",MATCH(1,회차설정!$G$13:$G$27,0),MATCH(1,회차설정!$F$13:$F$27,0)),""))</f>
        <v/>
      </c>
    </row>
    <row r="1562">
      <c r="A1562" s="13" t="inlineStr">
        <is>
          <t>성명</t>
        </is>
      </c>
      <c r="B1562" s="7" t="n"/>
      <c r="C1562" s="8" t="n"/>
      <c r="D1562" s="13" t="inlineStr">
        <is>
          <t>선택과목</t>
        </is>
      </c>
      <c r="E1562" s="7" t="n"/>
      <c r="F1562" s="7" t="n"/>
      <c r="G1562" s="8" t="n"/>
      <c r="H1562" s="13" t="inlineStr">
        <is>
          <t>학년</t>
        </is>
      </c>
      <c r="I1562" s="7" t="n"/>
      <c r="J1562" s="7" t="n"/>
      <c r="K1562" s="8" t="n"/>
      <c r="L1562" s="13" t="inlineStr">
        <is>
          <t>시행일</t>
        </is>
      </c>
      <c r="M1562" s="7" t="n"/>
      <c r="N1562" s="7" t="n"/>
      <c r="O1562" s="7" t="n"/>
      <c r="P1562" s="8" t="n"/>
      <c r="R1562" s="37">
        <f>IF($R$1561="","",INDEX(전체채점!$B$3:$B$62,$R$1561))</f>
        <v/>
      </c>
      <c r="S1562" s="37">
        <f>IF($R$1562="","",IFERROR(IF($R$1562="언어와 매체",MATCH(2,회차설정!$G$13:$G$27,0),MATCH(2,회차설정!$F$13:$F$27,0)),""))</f>
        <v/>
      </c>
    </row>
    <row r="1563" ht="26" customHeight="1">
      <c r="A1563" s="39">
        <f>IF($R$1561="","",INDEX(답안입력!$A$3:$A$62,$R$1561))</f>
        <v/>
      </c>
      <c r="B1563" s="7" t="n"/>
      <c r="C1563" s="8" t="n"/>
      <c r="D1563" s="39">
        <f>IF($R$1561="","",INDEX(답안입력!$C$3:$C$62,$R$1561))</f>
        <v/>
      </c>
      <c r="E1563" s="7" t="n"/>
      <c r="F1563" s="7" t="n"/>
      <c r="G1563" s="8" t="n"/>
      <c r="H1563" s="39">
        <f>IF($R$1561="","",INDEX(답안입력!$B$3:$B$62,$R$1561))</f>
        <v/>
      </c>
      <c r="I1563" s="7" t="n"/>
      <c r="J1563" s="7" t="n"/>
      <c r="K1563" s="8" t="n"/>
      <c r="L1563" s="40">
        <f>회차설정!$B$3</f>
        <v/>
      </c>
      <c r="M1563" s="7" t="n"/>
      <c r="N1563" s="7" t="n"/>
      <c r="O1563" s="7" t="n"/>
      <c r="P1563" s="8" t="n"/>
      <c r="R1563" s="37">
        <f>IF($R$1562="언어와 매체",회차설정!$B$9,회차설정!$B$8)</f>
        <v/>
      </c>
      <c r="S1563" s="37">
        <f>IF($R$1562="","",IFERROR(IF($R$1562="언어와 매체",MATCH(3,회차설정!$G$13:$G$27,0),MATCH(3,회차설정!$F$13:$F$27,0)),""))</f>
        <v/>
      </c>
    </row>
    <row r="1564">
      <c r="R1564" s="37">
        <f>IF($R$1562="언어와 매체",회차설정!$C$9,회차설정!$C$8)</f>
        <v/>
      </c>
      <c r="S1564" s="37">
        <f>IF($R$1562="","",IFERROR(IF($R$1562="언어와 매체",MATCH(4,회차설정!$G$13:$G$27,0),MATCH(4,회차설정!$F$13:$F$27,0)),""))</f>
        <v/>
      </c>
    </row>
    <row r="1565">
      <c r="A1565" s="12" t="inlineStr">
        <is>
          <t>2. 성적</t>
        </is>
      </c>
      <c r="R1565" s="37">
        <f>IF($R$1562="언어와 매체",회차설정!$D$9,회차설정!$D$8)</f>
        <v/>
      </c>
      <c r="S1565" s="37">
        <f>IF($R$1562="","",IFERROR(IF($R$1562="언어와 매체",MATCH(5,회차설정!$G$13:$G$27,0),MATCH(5,회차설정!$F$13:$F$27,0)),""))</f>
        <v/>
      </c>
    </row>
    <row r="1566">
      <c r="A1566" s="13" t="inlineStr">
        <is>
          <t>점수 (100점 만점)</t>
        </is>
      </c>
      <c r="B1566" s="7" t="n"/>
      <c r="C1566" s="7" t="n"/>
      <c r="D1566" s="7" t="n"/>
      <c r="E1566" s="8" t="n"/>
      <c r="F1566" s="13" t="inlineStr">
        <is>
          <t>등급</t>
        </is>
      </c>
      <c r="G1566" s="7" t="n"/>
      <c r="H1566" s="8" t="n"/>
      <c r="I1566" s="13" t="inlineStr">
        <is>
          <t>등급컷</t>
        </is>
      </c>
      <c r="J1566" s="7" t="n"/>
      <c r="K1566" s="7" t="n"/>
      <c r="L1566" s="8" t="n"/>
      <c r="M1566" s="13" t="inlineStr">
        <is>
          <t>같은 선택과목 평균</t>
        </is>
      </c>
      <c r="N1566" s="7" t="n"/>
      <c r="O1566" s="7" t="n"/>
      <c r="P1566" s="8" t="n"/>
      <c r="R1566" s="37">
        <f>IF($R$1562="언어와 매체",회차설정!$E$9,회차설정!$E$8)</f>
        <v/>
      </c>
      <c r="S1566" s="37">
        <f>IF($R$1562="","",IFERROR(IF($R$1562="언어와 매체",MATCH(6,회차설정!$G$13:$G$27,0),MATCH(6,회차설정!$F$13:$F$27,0)),""))</f>
        <v/>
      </c>
    </row>
    <row r="1567" ht="34" customHeight="1">
      <c r="A1567" s="41">
        <f>IF($R$1561="","",INDEX(전체채점!$C$3:$C$62,$R$1561))</f>
        <v/>
      </c>
      <c r="B1567" s="7" t="n"/>
      <c r="C1567" s="7" t="n"/>
      <c r="D1567" s="7" t="n"/>
      <c r="E1567" s="8" t="n"/>
      <c r="F1567" s="42">
        <f>IF($R$1561="","",INDEX(전체채점!$D$3:$D$62,$R$1561))</f>
        <v/>
      </c>
      <c r="G1567" s="7" t="n"/>
      <c r="H1567" s="8" t="n"/>
      <c r="I1567" s="43">
        <f>IF($R$1561="","",$R$1563&amp;"-"&amp;$R$1564&amp;"-"&amp;$R$1565&amp;"-"&amp;$R$1566)</f>
        <v/>
      </c>
      <c r="J1567" s="7" t="n"/>
      <c r="K1567" s="7" t="n"/>
      <c r="L1567" s="8" t="n"/>
      <c r="M1567" s="44">
        <f>IFERROR(AVERAGEIF(전체채점!$B$3:$B$62,$R$1562,전체채점!$C$3:$C$62),"")</f>
        <v/>
      </c>
      <c r="N1567" s="7" t="n"/>
      <c r="O1567" s="7" t="n"/>
      <c r="P1567" s="8" t="n"/>
      <c r="S1567" s="37">
        <f>IF($R$1562="","",IFERROR(IF($R$1562="언어와 매체",MATCH(7,회차설정!$G$13:$G$27,0),MATCH(7,회차설정!$F$13:$F$27,0)),""))</f>
        <v/>
      </c>
    </row>
    <row r="1568">
      <c r="S1568" s="37">
        <f>IF($R$1562="","",IFERROR(IF($R$1562="언어와 매체",MATCH(8,회차설정!$G$13:$G$27,0),MATCH(8,회차설정!$F$13:$F$27,0)),""))</f>
        <v/>
      </c>
    </row>
    <row r="1569">
      <c r="A1569" s="12" t="inlineStr">
        <is>
          <t>3. 영역분류별 성취도 분석</t>
        </is>
      </c>
      <c r="F1569" s="45">
        <f>IF(OR($R$1561="",$E1583=""),"",IF($E1583=INDEX(전체채점!$C$3:$C$62,$R$1561),"","※ 회차설정의 영역 표를 확인하세요 — 영역 합계와 점수가 다릅니다"))</f>
        <v/>
      </c>
      <c r="S1569" s="37">
        <f>IF($R$1562="","",IFERROR(IF($R$1562="언어와 매체",MATCH(9,회차설정!$G$13:$G$27,0),MATCH(9,회차설정!$F$13:$F$27,0)),""))</f>
        <v/>
      </c>
    </row>
    <row r="1570">
      <c r="A1570" s="13" t="inlineStr">
        <is>
          <t>분류</t>
        </is>
      </c>
      <c r="B1570" s="13" t="inlineStr">
        <is>
          <t>영역</t>
        </is>
      </c>
      <c r="C1570" s="8" t="n"/>
      <c r="D1570" s="13" t="inlineStr">
        <is>
          <t>배점</t>
        </is>
      </c>
      <c r="E1570" s="13" t="inlineStr">
        <is>
          <t>득점</t>
        </is>
      </c>
      <c r="F1570" s="13" t="inlineStr">
        <is>
          <t>성취도(%)</t>
        </is>
      </c>
      <c r="G1570" s="8" t="n"/>
      <c r="H1570" s="13" t="inlineStr"/>
      <c r="I1570" s="7" t="n"/>
      <c r="J1570" s="7" t="n"/>
      <c r="K1570" s="7" t="n"/>
      <c r="L1570" s="7" t="n"/>
      <c r="M1570" s="7" t="n"/>
      <c r="N1570" s="7" t="n"/>
      <c r="O1570" s="7" t="n"/>
      <c r="P1570" s="8" t="n"/>
      <c r="S1570" s="37">
        <f>IF($R$1562="","",IFERROR(IF($R$1562="언어와 매체",MATCH(10,회차설정!$G$13:$G$27,0),MATCH(10,회차설정!$F$13:$F$27,0)),""))</f>
        <v/>
      </c>
    </row>
    <row r="1571">
      <c r="A1571" s="14">
        <f>IF($S$1561="","",INDEX(회차설정!$A$13:$A$27,$S$1561))</f>
        <v/>
      </c>
      <c r="B1571" s="14">
        <f>IF($S$1561="","",INDEX(회차설정!$B$13:$B$27,$S$1561))</f>
        <v/>
      </c>
      <c r="C1571" s="8" t="n"/>
      <c r="D1571" s="14">
        <f>IF($S$1561="","",IF($R$1562="언어와 매체",SUMPRODUCT((자동계산!$A$4:$A$48&gt;=INDEX(회차설정!$C$13:$C$27,$S$1561))*(자동계산!$A$4:$A$48&lt;=INDEX(회차설정!$D$13:$D$27,$S$1561))*자동계산!$E$4:$E$48),SUMPRODUCT((자동계산!$A$4:$A$48&gt;=INDEX(회차설정!$C$13:$C$27,$S$1561))*(자동계산!$A$4:$A$48&lt;=INDEX(회차설정!$D$13:$D$27,$S$1561))*자동계산!$C$4:$C$48)))</f>
        <v/>
      </c>
      <c r="E1571" s="14">
        <f>IF(OR($S$1561="",$R$1561=""),"",SUM(OFFSET(전체채점!$AW$2,$R$1561,INDEX(회차설정!$C$13:$C$27,$S$1561),1,INDEX(회차설정!$D$13:$D$27,$S$1561)-INDEX(회차설정!$C$13:$C$27,$S$1561)+1)))</f>
        <v/>
      </c>
      <c r="F1571" s="46">
        <f>IF(OR($S$1561="",$D1571=0,$D1571="",$E1571=""),"",$E1571/$D1571*100)</f>
        <v/>
      </c>
      <c r="G1571" s="8" t="n"/>
      <c r="H1571" s="47">
        <f>IF($F1571="","",REPT("■",ROUND($F1571/5,0)))</f>
        <v/>
      </c>
      <c r="I1571" s="7" t="n"/>
      <c r="J1571" s="7" t="n"/>
      <c r="K1571" s="7" t="n"/>
      <c r="L1571" s="7" t="n"/>
      <c r="M1571" s="7" t="n"/>
      <c r="N1571" s="7" t="n"/>
      <c r="O1571" s="7" t="n"/>
      <c r="P1571" s="8" t="n"/>
      <c r="S1571" s="37">
        <f>IF($R$1562="","",IFERROR(IF($R$1562="언어와 매체",MATCH(11,회차설정!$G$13:$G$27,0),MATCH(11,회차설정!$F$13:$F$27,0)),""))</f>
        <v/>
      </c>
    </row>
    <row r="1572">
      <c r="A1572" s="14">
        <f>IF($S$1562="","",INDEX(회차설정!$A$13:$A$27,$S$1562))</f>
        <v/>
      </c>
      <c r="B1572" s="14">
        <f>IF($S$1562="","",INDEX(회차설정!$B$13:$B$27,$S$1562))</f>
        <v/>
      </c>
      <c r="C1572" s="8" t="n"/>
      <c r="D1572" s="14">
        <f>IF($S$1562="","",IF($R$1562="언어와 매체",SUMPRODUCT((자동계산!$A$4:$A$48&gt;=INDEX(회차설정!$C$13:$C$27,$S$1562))*(자동계산!$A$4:$A$48&lt;=INDEX(회차설정!$D$13:$D$27,$S$1562))*자동계산!$E$4:$E$48),SUMPRODUCT((자동계산!$A$4:$A$48&gt;=INDEX(회차설정!$C$13:$C$27,$S$1562))*(자동계산!$A$4:$A$48&lt;=INDEX(회차설정!$D$13:$D$27,$S$1562))*자동계산!$C$4:$C$48)))</f>
        <v/>
      </c>
      <c r="E1572" s="14">
        <f>IF(OR($S$1562="",$R$1561=""),"",SUM(OFFSET(전체채점!$AW$2,$R$1561,INDEX(회차설정!$C$13:$C$27,$S$1562),1,INDEX(회차설정!$D$13:$D$27,$S$1562)-INDEX(회차설정!$C$13:$C$27,$S$1562)+1)))</f>
        <v/>
      </c>
      <c r="F1572" s="46">
        <f>IF(OR($S$1562="",$D1572=0,$D1572="",$E1572=""),"",$E1572/$D1572*100)</f>
        <v/>
      </c>
      <c r="G1572" s="8" t="n"/>
      <c r="H1572" s="47">
        <f>IF($F1572="","",REPT("■",ROUND($F1572/5,0)))</f>
        <v/>
      </c>
      <c r="I1572" s="7" t="n"/>
      <c r="J1572" s="7" t="n"/>
      <c r="K1572" s="7" t="n"/>
      <c r="L1572" s="7" t="n"/>
      <c r="M1572" s="7" t="n"/>
      <c r="N1572" s="7" t="n"/>
      <c r="O1572" s="7" t="n"/>
      <c r="P1572" s="8" t="n"/>
      <c r="S1572" s="37">
        <f>IF($R$1562="","",IFERROR(IF($R$1562="언어와 매체",MATCH(12,회차설정!$G$13:$G$27,0),MATCH(12,회차설정!$F$13:$F$27,0)),""))</f>
        <v/>
      </c>
    </row>
    <row r="1573">
      <c r="A1573" s="14">
        <f>IF($S$1563="","",INDEX(회차설정!$A$13:$A$27,$S$1563))</f>
        <v/>
      </c>
      <c r="B1573" s="14">
        <f>IF($S$1563="","",INDEX(회차설정!$B$13:$B$27,$S$1563))</f>
        <v/>
      </c>
      <c r="C1573" s="8" t="n"/>
      <c r="D1573" s="14">
        <f>IF($S$1563="","",IF($R$1562="언어와 매체",SUMPRODUCT((자동계산!$A$4:$A$48&gt;=INDEX(회차설정!$C$13:$C$27,$S$1563))*(자동계산!$A$4:$A$48&lt;=INDEX(회차설정!$D$13:$D$27,$S$1563))*자동계산!$E$4:$E$48),SUMPRODUCT((자동계산!$A$4:$A$48&gt;=INDEX(회차설정!$C$13:$C$27,$S$1563))*(자동계산!$A$4:$A$48&lt;=INDEX(회차설정!$D$13:$D$27,$S$1563))*자동계산!$C$4:$C$48)))</f>
        <v/>
      </c>
      <c r="E1573" s="14">
        <f>IF(OR($S$1563="",$R$1561=""),"",SUM(OFFSET(전체채점!$AW$2,$R$1561,INDEX(회차설정!$C$13:$C$27,$S$1563),1,INDEX(회차설정!$D$13:$D$27,$S$1563)-INDEX(회차설정!$C$13:$C$27,$S$1563)+1)))</f>
        <v/>
      </c>
      <c r="F1573" s="46">
        <f>IF(OR($S$1563="",$D1573=0,$D1573="",$E1573=""),"",$E1573/$D1573*100)</f>
        <v/>
      </c>
      <c r="G1573" s="8" t="n"/>
      <c r="H1573" s="47">
        <f>IF($F1573="","",REPT("■",ROUND($F1573/5,0)))</f>
        <v/>
      </c>
      <c r="I1573" s="7" t="n"/>
      <c r="J1573" s="7" t="n"/>
      <c r="K1573" s="7" t="n"/>
      <c r="L1573" s="7" t="n"/>
      <c r="M1573" s="7" t="n"/>
      <c r="N1573" s="7" t="n"/>
      <c r="O1573" s="7" t="n"/>
      <c r="P1573" s="8" t="n"/>
    </row>
    <row r="1574">
      <c r="A1574" s="14">
        <f>IF($S$1564="","",INDEX(회차설정!$A$13:$A$27,$S$1564))</f>
        <v/>
      </c>
      <c r="B1574" s="14">
        <f>IF($S$1564="","",INDEX(회차설정!$B$13:$B$27,$S$1564))</f>
        <v/>
      </c>
      <c r="C1574" s="8" t="n"/>
      <c r="D1574" s="14">
        <f>IF($S$1564="","",IF($R$1562="언어와 매체",SUMPRODUCT((자동계산!$A$4:$A$48&gt;=INDEX(회차설정!$C$13:$C$27,$S$1564))*(자동계산!$A$4:$A$48&lt;=INDEX(회차설정!$D$13:$D$27,$S$1564))*자동계산!$E$4:$E$48),SUMPRODUCT((자동계산!$A$4:$A$48&gt;=INDEX(회차설정!$C$13:$C$27,$S$1564))*(자동계산!$A$4:$A$48&lt;=INDEX(회차설정!$D$13:$D$27,$S$1564))*자동계산!$C$4:$C$48)))</f>
        <v/>
      </c>
      <c r="E1574" s="14">
        <f>IF(OR($S$1564="",$R$1561=""),"",SUM(OFFSET(전체채점!$AW$2,$R$1561,INDEX(회차설정!$C$13:$C$27,$S$1564),1,INDEX(회차설정!$D$13:$D$27,$S$1564)-INDEX(회차설정!$C$13:$C$27,$S$1564)+1)))</f>
        <v/>
      </c>
      <c r="F1574" s="46">
        <f>IF(OR($S$1564="",$D1574=0,$D1574="",$E1574=""),"",$E1574/$D1574*100)</f>
        <v/>
      </c>
      <c r="G1574" s="8" t="n"/>
      <c r="H1574" s="47">
        <f>IF($F1574="","",REPT("■",ROUND($F1574/5,0)))</f>
        <v/>
      </c>
      <c r="I1574" s="7" t="n"/>
      <c r="J1574" s="7" t="n"/>
      <c r="K1574" s="7" t="n"/>
      <c r="L1574" s="7" t="n"/>
      <c r="M1574" s="7" t="n"/>
      <c r="N1574" s="7" t="n"/>
      <c r="O1574" s="7" t="n"/>
      <c r="P1574" s="8" t="n"/>
    </row>
    <row r="1575">
      <c r="A1575" s="14">
        <f>IF($S$1565="","",INDEX(회차설정!$A$13:$A$27,$S$1565))</f>
        <v/>
      </c>
      <c r="B1575" s="14">
        <f>IF($S$1565="","",INDEX(회차설정!$B$13:$B$27,$S$1565))</f>
        <v/>
      </c>
      <c r="C1575" s="8" t="n"/>
      <c r="D1575" s="14">
        <f>IF($S$1565="","",IF($R$1562="언어와 매체",SUMPRODUCT((자동계산!$A$4:$A$48&gt;=INDEX(회차설정!$C$13:$C$27,$S$1565))*(자동계산!$A$4:$A$48&lt;=INDEX(회차설정!$D$13:$D$27,$S$1565))*자동계산!$E$4:$E$48),SUMPRODUCT((자동계산!$A$4:$A$48&gt;=INDEX(회차설정!$C$13:$C$27,$S$1565))*(자동계산!$A$4:$A$48&lt;=INDEX(회차설정!$D$13:$D$27,$S$1565))*자동계산!$C$4:$C$48)))</f>
        <v/>
      </c>
      <c r="E1575" s="14">
        <f>IF(OR($S$1565="",$R$1561=""),"",SUM(OFFSET(전체채점!$AW$2,$R$1561,INDEX(회차설정!$C$13:$C$27,$S$1565),1,INDEX(회차설정!$D$13:$D$27,$S$1565)-INDEX(회차설정!$C$13:$C$27,$S$1565)+1)))</f>
        <v/>
      </c>
      <c r="F1575" s="46">
        <f>IF(OR($S$1565="",$D1575=0,$D1575="",$E1575=""),"",$E1575/$D1575*100)</f>
        <v/>
      </c>
      <c r="G1575" s="8" t="n"/>
      <c r="H1575" s="47">
        <f>IF($F1575="","",REPT("■",ROUND($F1575/5,0)))</f>
        <v/>
      </c>
      <c r="I1575" s="7" t="n"/>
      <c r="J1575" s="7" t="n"/>
      <c r="K1575" s="7" t="n"/>
      <c r="L1575" s="7" t="n"/>
      <c r="M1575" s="7" t="n"/>
      <c r="N1575" s="7" t="n"/>
      <c r="O1575" s="7" t="n"/>
      <c r="P1575" s="8" t="n"/>
    </row>
    <row r="1576">
      <c r="A1576" s="14">
        <f>IF($S$1566="","",INDEX(회차설정!$A$13:$A$27,$S$1566))</f>
        <v/>
      </c>
      <c r="B1576" s="14">
        <f>IF($S$1566="","",INDEX(회차설정!$B$13:$B$27,$S$1566))</f>
        <v/>
      </c>
      <c r="C1576" s="8" t="n"/>
      <c r="D1576" s="14">
        <f>IF($S$1566="","",IF($R$1562="언어와 매체",SUMPRODUCT((자동계산!$A$4:$A$48&gt;=INDEX(회차설정!$C$13:$C$27,$S$1566))*(자동계산!$A$4:$A$48&lt;=INDEX(회차설정!$D$13:$D$27,$S$1566))*자동계산!$E$4:$E$48),SUMPRODUCT((자동계산!$A$4:$A$48&gt;=INDEX(회차설정!$C$13:$C$27,$S$1566))*(자동계산!$A$4:$A$48&lt;=INDEX(회차설정!$D$13:$D$27,$S$1566))*자동계산!$C$4:$C$48)))</f>
        <v/>
      </c>
      <c r="E1576" s="14">
        <f>IF(OR($S$1566="",$R$1561=""),"",SUM(OFFSET(전체채점!$AW$2,$R$1561,INDEX(회차설정!$C$13:$C$27,$S$1566),1,INDEX(회차설정!$D$13:$D$27,$S$1566)-INDEX(회차설정!$C$13:$C$27,$S$1566)+1)))</f>
        <v/>
      </c>
      <c r="F1576" s="46">
        <f>IF(OR($S$1566="",$D1576=0,$D1576="",$E1576=""),"",$E1576/$D1576*100)</f>
        <v/>
      </c>
      <c r="G1576" s="8" t="n"/>
      <c r="H1576" s="47">
        <f>IF($F1576="","",REPT("■",ROUND($F1576/5,0)))</f>
        <v/>
      </c>
      <c r="I1576" s="7" t="n"/>
      <c r="J1576" s="7" t="n"/>
      <c r="K1576" s="7" t="n"/>
      <c r="L1576" s="7" t="n"/>
      <c r="M1576" s="7" t="n"/>
      <c r="N1576" s="7" t="n"/>
      <c r="O1576" s="7" t="n"/>
      <c r="P1576" s="8" t="n"/>
    </row>
    <row r="1577">
      <c r="A1577" s="14">
        <f>IF($S$1567="","",INDEX(회차설정!$A$13:$A$27,$S$1567))</f>
        <v/>
      </c>
      <c r="B1577" s="14">
        <f>IF($S$1567="","",INDEX(회차설정!$B$13:$B$27,$S$1567))</f>
        <v/>
      </c>
      <c r="C1577" s="8" t="n"/>
      <c r="D1577" s="14">
        <f>IF($S$1567="","",IF($R$1562="언어와 매체",SUMPRODUCT((자동계산!$A$4:$A$48&gt;=INDEX(회차설정!$C$13:$C$27,$S$1567))*(자동계산!$A$4:$A$48&lt;=INDEX(회차설정!$D$13:$D$27,$S$1567))*자동계산!$E$4:$E$48),SUMPRODUCT((자동계산!$A$4:$A$48&gt;=INDEX(회차설정!$C$13:$C$27,$S$1567))*(자동계산!$A$4:$A$48&lt;=INDEX(회차설정!$D$13:$D$27,$S$1567))*자동계산!$C$4:$C$48)))</f>
        <v/>
      </c>
      <c r="E1577" s="14">
        <f>IF(OR($S$1567="",$R$1561=""),"",SUM(OFFSET(전체채점!$AW$2,$R$1561,INDEX(회차설정!$C$13:$C$27,$S$1567),1,INDEX(회차설정!$D$13:$D$27,$S$1567)-INDEX(회차설정!$C$13:$C$27,$S$1567)+1)))</f>
        <v/>
      </c>
      <c r="F1577" s="46">
        <f>IF(OR($S$1567="",$D1577=0,$D1577="",$E1577=""),"",$E1577/$D1577*100)</f>
        <v/>
      </c>
      <c r="G1577" s="8" t="n"/>
      <c r="H1577" s="47">
        <f>IF($F1577="","",REPT("■",ROUND($F1577/5,0)))</f>
        <v/>
      </c>
      <c r="I1577" s="7" t="n"/>
      <c r="J1577" s="7" t="n"/>
      <c r="K1577" s="7" t="n"/>
      <c r="L1577" s="7" t="n"/>
      <c r="M1577" s="7" t="n"/>
      <c r="N1577" s="7" t="n"/>
      <c r="O1577" s="7" t="n"/>
      <c r="P1577" s="8" t="n"/>
    </row>
    <row r="1578">
      <c r="A1578" s="14">
        <f>IF($S$1568="","",INDEX(회차설정!$A$13:$A$27,$S$1568))</f>
        <v/>
      </c>
      <c r="B1578" s="14">
        <f>IF($S$1568="","",INDEX(회차설정!$B$13:$B$27,$S$1568))</f>
        <v/>
      </c>
      <c r="C1578" s="8" t="n"/>
      <c r="D1578" s="14">
        <f>IF($S$1568="","",IF($R$1562="언어와 매체",SUMPRODUCT((자동계산!$A$4:$A$48&gt;=INDEX(회차설정!$C$13:$C$27,$S$1568))*(자동계산!$A$4:$A$48&lt;=INDEX(회차설정!$D$13:$D$27,$S$1568))*자동계산!$E$4:$E$48),SUMPRODUCT((자동계산!$A$4:$A$48&gt;=INDEX(회차설정!$C$13:$C$27,$S$1568))*(자동계산!$A$4:$A$48&lt;=INDEX(회차설정!$D$13:$D$27,$S$1568))*자동계산!$C$4:$C$48)))</f>
        <v/>
      </c>
      <c r="E1578" s="14">
        <f>IF(OR($S$1568="",$R$1561=""),"",SUM(OFFSET(전체채점!$AW$2,$R$1561,INDEX(회차설정!$C$13:$C$27,$S$1568),1,INDEX(회차설정!$D$13:$D$27,$S$1568)-INDEX(회차설정!$C$13:$C$27,$S$1568)+1)))</f>
        <v/>
      </c>
      <c r="F1578" s="46">
        <f>IF(OR($S$1568="",$D1578=0,$D1578="",$E1578=""),"",$E1578/$D1578*100)</f>
        <v/>
      </c>
      <c r="G1578" s="8" t="n"/>
      <c r="H1578" s="47">
        <f>IF($F1578="","",REPT("■",ROUND($F1578/5,0)))</f>
        <v/>
      </c>
      <c r="I1578" s="7" t="n"/>
      <c r="J1578" s="7" t="n"/>
      <c r="K1578" s="7" t="n"/>
      <c r="L1578" s="7" t="n"/>
      <c r="M1578" s="7" t="n"/>
      <c r="N1578" s="7" t="n"/>
      <c r="O1578" s="7" t="n"/>
      <c r="P1578" s="8" t="n"/>
    </row>
    <row r="1579">
      <c r="A1579" s="14">
        <f>IF($S$1569="","",INDEX(회차설정!$A$13:$A$27,$S$1569))</f>
        <v/>
      </c>
      <c r="B1579" s="14">
        <f>IF($S$1569="","",INDEX(회차설정!$B$13:$B$27,$S$1569))</f>
        <v/>
      </c>
      <c r="C1579" s="8" t="n"/>
      <c r="D1579" s="14">
        <f>IF($S$1569="","",IF($R$1562="언어와 매체",SUMPRODUCT((자동계산!$A$4:$A$48&gt;=INDEX(회차설정!$C$13:$C$27,$S$1569))*(자동계산!$A$4:$A$48&lt;=INDEX(회차설정!$D$13:$D$27,$S$1569))*자동계산!$E$4:$E$48),SUMPRODUCT((자동계산!$A$4:$A$48&gt;=INDEX(회차설정!$C$13:$C$27,$S$1569))*(자동계산!$A$4:$A$48&lt;=INDEX(회차설정!$D$13:$D$27,$S$1569))*자동계산!$C$4:$C$48)))</f>
        <v/>
      </c>
      <c r="E1579" s="14">
        <f>IF(OR($S$1569="",$R$1561=""),"",SUM(OFFSET(전체채점!$AW$2,$R$1561,INDEX(회차설정!$C$13:$C$27,$S$1569),1,INDEX(회차설정!$D$13:$D$27,$S$1569)-INDEX(회차설정!$C$13:$C$27,$S$1569)+1)))</f>
        <v/>
      </c>
      <c r="F1579" s="46">
        <f>IF(OR($S$1569="",$D1579=0,$D1579="",$E1579=""),"",$E1579/$D1579*100)</f>
        <v/>
      </c>
      <c r="G1579" s="8" t="n"/>
      <c r="H1579" s="47">
        <f>IF($F1579="","",REPT("■",ROUND($F1579/5,0)))</f>
        <v/>
      </c>
      <c r="I1579" s="7" t="n"/>
      <c r="J1579" s="7" t="n"/>
      <c r="K1579" s="7" t="n"/>
      <c r="L1579" s="7" t="n"/>
      <c r="M1579" s="7" t="n"/>
      <c r="N1579" s="7" t="n"/>
      <c r="O1579" s="7" t="n"/>
      <c r="P1579" s="8" t="n"/>
    </row>
    <row r="1580">
      <c r="A1580" s="14">
        <f>IF($S$1570="","",INDEX(회차설정!$A$13:$A$27,$S$1570))</f>
        <v/>
      </c>
      <c r="B1580" s="14">
        <f>IF($S$1570="","",INDEX(회차설정!$B$13:$B$27,$S$1570))</f>
        <v/>
      </c>
      <c r="C1580" s="8" t="n"/>
      <c r="D1580" s="14">
        <f>IF($S$1570="","",IF($R$1562="언어와 매체",SUMPRODUCT((자동계산!$A$4:$A$48&gt;=INDEX(회차설정!$C$13:$C$27,$S$1570))*(자동계산!$A$4:$A$48&lt;=INDEX(회차설정!$D$13:$D$27,$S$1570))*자동계산!$E$4:$E$48),SUMPRODUCT((자동계산!$A$4:$A$48&gt;=INDEX(회차설정!$C$13:$C$27,$S$1570))*(자동계산!$A$4:$A$48&lt;=INDEX(회차설정!$D$13:$D$27,$S$1570))*자동계산!$C$4:$C$48)))</f>
        <v/>
      </c>
      <c r="E1580" s="14">
        <f>IF(OR($S$1570="",$R$1561=""),"",SUM(OFFSET(전체채점!$AW$2,$R$1561,INDEX(회차설정!$C$13:$C$27,$S$1570),1,INDEX(회차설정!$D$13:$D$27,$S$1570)-INDEX(회차설정!$C$13:$C$27,$S$1570)+1)))</f>
        <v/>
      </c>
      <c r="F1580" s="46">
        <f>IF(OR($S$1570="",$D1580=0,$D1580="",$E1580=""),"",$E1580/$D1580*100)</f>
        <v/>
      </c>
      <c r="G1580" s="8" t="n"/>
      <c r="H1580" s="47">
        <f>IF($F1580="","",REPT("■",ROUND($F1580/5,0)))</f>
        <v/>
      </c>
      <c r="I1580" s="7" t="n"/>
      <c r="J1580" s="7" t="n"/>
      <c r="K1580" s="7" t="n"/>
      <c r="L1580" s="7" t="n"/>
      <c r="M1580" s="7" t="n"/>
      <c r="N1580" s="7" t="n"/>
      <c r="O1580" s="7" t="n"/>
      <c r="P1580" s="8" t="n"/>
    </row>
    <row r="1581">
      <c r="A1581" s="14">
        <f>IF($S$1571="","",INDEX(회차설정!$A$13:$A$27,$S$1571))</f>
        <v/>
      </c>
      <c r="B1581" s="14">
        <f>IF($S$1571="","",INDEX(회차설정!$B$13:$B$27,$S$1571))</f>
        <v/>
      </c>
      <c r="C1581" s="8" t="n"/>
      <c r="D1581" s="14">
        <f>IF($S$1571="","",IF($R$1562="언어와 매체",SUMPRODUCT((자동계산!$A$4:$A$48&gt;=INDEX(회차설정!$C$13:$C$27,$S$1571))*(자동계산!$A$4:$A$48&lt;=INDEX(회차설정!$D$13:$D$27,$S$1571))*자동계산!$E$4:$E$48),SUMPRODUCT((자동계산!$A$4:$A$48&gt;=INDEX(회차설정!$C$13:$C$27,$S$1571))*(자동계산!$A$4:$A$48&lt;=INDEX(회차설정!$D$13:$D$27,$S$1571))*자동계산!$C$4:$C$48)))</f>
        <v/>
      </c>
      <c r="E1581" s="14">
        <f>IF(OR($S$1571="",$R$1561=""),"",SUM(OFFSET(전체채점!$AW$2,$R$1561,INDEX(회차설정!$C$13:$C$27,$S$1571),1,INDEX(회차설정!$D$13:$D$27,$S$1571)-INDEX(회차설정!$C$13:$C$27,$S$1571)+1)))</f>
        <v/>
      </c>
      <c r="F1581" s="46">
        <f>IF(OR($S$1571="",$D1581=0,$D1581="",$E1581=""),"",$E1581/$D1581*100)</f>
        <v/>
      </c>
      <c r="G1581" s="8" t="n"/>
      <c r="H1581" s="47">
        <f>IF($F1581="","",REPT("■",ROUND($F1581/5,0)))</f>
        <v/>
      </c>
      <c r="I1581" s="7" t="n"/>
      <c r="J1581" s="7" t="n"/>
      <c r="K1581" s="7" t="n"/>
      <c r="L1581" s="7" t="n"/>
      <c r="M1581" s="7" t="n"/>
      <c r="N1581" s="7" t="n"/>
      <c r="O1581" s="7" t="n"/>
      <c r="P1581" s="8" t="n"/>
    </row>
    <row r="1582">
      <c r="A1582" s="14">
        <f>IF($S$1572="","",INDEX(회차설정!$A$13:$A$27,$S$1572))</f>
        <v/>
      </c>
      <c r="B1582" s="14">
        <f>IF($S$1572="","",INDEX(회차설정!$B$13:$B$27,$S$1572))</f>
        <v/>
      </c>
      <c r="C1582" s="8" t="n"/>
      <c r="D1582" s="14">
        <f>IF($S$1572="","",IF($R$1562="언어와 매체",SUMPRODUCT((자동계산!$A$4:$A$48&gt;=INDEX(회차설정!$C$13:$C$27,$S$1572))*(자동계산!$A$4:$A$48&lt;=INDEX(회차설정!$D$13:$D$27,$S$1572))*자동계산!$E$4:$E$48),SUMPRODUCT((자동계산!$A$4:$A$48&gt;=INDEX(회차설정!$C$13:$C$27,$S$1572))*(자동계산!$A$4:$A$48&lt;=INDEX(회차설정!$D$13:$D$27,$S$1572))*자동계산!$C$4:$C$48)))</f>
        <v/>
      </c>
      <c r="E1582" s="14">
        <f>IF(OR($S$1572="",$R$1561=""),"",SUM(OFFSET(전체채점!$AW$2,$R$1561,INDEX(회차설정!$C$13:$C$27,$S$1572),1,INDEX(회차설정!$D$13:$D$27,$S$1572)-INDEX(회차설정!$C$13:$C$27,$S$1572)+1)))</f>
        <v/>
      </c>
      <c r="F1582" s="46">
        <f>IF(OR($S$1572="",$D1582=0,$D1582="",$E1582=""),"",$E1582/$D1582*100)</f>
        <v/>
      </c>
      <c r="G1582" s="8" t="n"/>
      <c r="H1582" s="47">
        <f>IF($F1582="","",REPT("■",ROUND($F1582/5,0)))</f>
        <v/>
      </c>
      <c r="I1582" s="7" t="n"/>
      <c r="J1582" s="7" t="n"/>
      <c r="K1582" s="7" t="n"/>
      <c r="L1582" s="7" t="n"/>
      <c r="M1582" s="7" t="n"/>
      <c r="N1582" s="7" t="n"/>
      <c r="O1582" s="7" t="n"/>
      <c r="P1582" s="8" t="n"/>
    </row>
    <row r="1583">
      <c r="A1583" s="5">
        <f>IF($R$1561="","","합계")</f>
        <v/>
      </c>
      <c r="B1583" s="7" t="n"/>
      <c r="C1583" s="8" t="n"/>
      <c r="D1583" s="5">
        <f>IF($R$1561="","",SUM(D1571:D1582))</f>
        <v/>
      </c>
      <c r="E1583" s="5">
        <f>IF($R$1561="","",SUM(E1571:E1582))</f>
        <v/>
      </c>
      <c r="F1583" s="48">
        <f>IF(OR($D1583=0,$D1583=""),"",$E1583/$D1583*100)</f>
        <v/>
      </c>
      <c r="G1583" s="8" t="n"/>
      <c r="H1583" s="49">
        <f>IF($F1583="","",REPT("■",ROUND($F1583/5,0)))</f>
        <v/>
      </c>
      <c r="I1583" s="7" t="n"/>
      <c r="J1583" s="7" t="n"/>
      <c r="K1583" s="7" t="n"/>
      <c r="L1583" s="7" t="n"/>
      <c r="M1583" s="7" t="n"/>
      <c r="N1583" s="7" t="n"/>
      <c r="O1583" s="7" t="n"/>
      <c r="P1583" s="8" t="n"/>
    </row>
    <row r="1585">
      <c r="A1585" s="12" t="inlineStr">
        <is>
          <t>4. 문항 채점표</t>
        </is>
      </c>
    </row>
    <row r="1586">
      <c r="A1586" s="50" t="inlineStr">
        <is>
          <t>문항 번호</t>
        </is>
      </c>
      <c r="B1586" s="51" t="n">
        <v>1</v>
      </c>
      <c r="C1586" s="51" t="n">
        <v>2</v>
      </c>
      <c r="D1586" s="51" t="n">
        <v>3</v>
      </c>
      <c r="E1586" s="51" t="n">
        <v>4</v>
      </c>
      <c r="F1586" s="51" t="n">
        <v>5</v>
      </c>
      <c r="G1586" s="51" t="n">
        <v>6</v>
      </c>
      <c r="H1586" s="51" t="n">
        <v>7</v>
      </c>
      <c r="I1586" s="51" t="n">
        <v>8</v>
      </c>
      <c r="J1586" s="51" t="n">
        <v>9</v>
      </c>
      <c r="K1586" s="51" t="n">
        <v>10</v>
      </c>
      <c r="L1586" s="51" t="n">
        <v>11</v>
      </c>
      <c r="M1586" s="51" t="n">
        <v>12</v>
      </c>
      <c r="N1586" s="51" t="n">
        <v>13</v>
      </c>
      <c r="O1586" s="51" t="n">
        <v>14</v>
      </c>
      <c r="P1586" s="51" t="n">
        <v>15</v>
      </c>
    </row>
    <row r="1587">
      <c r="A1587" s="52" t="inlineStr">
        <is>
          <t>정답</t>
        </is>
      </c>
      <c r="B1587" s="33">
        <f>IF($R$1562="","",IF($R$1562="언어와 매체",자동계산!$D$4,자동계산!$B$4))</f>
        <v/>
      </c>
      <c r="C1587" s="33">
        <f>IF($R$1562="","",IF($R$1562="언어와 매체",자동계산!$D$5,자동계산!$B$5))</f>
        <v/>
      </c>
      <c r="D1587" s="33">
        <f>IF($R$1562="","",IF($R$1562="언어와 매체",자동계산!$D$6,자동계산!$B$6))</f>
        <v/>
      </c>
      <c r="E1587" s="33">
        <f>IF($R$1562="","",IF($R$1562="언어와 매체",자동계산!$D$7,자동계산!$B$7))</f>
        <v/>
      </c>
      <c r="F1587" s="33">
        <f>IF($R$1562="","",IF($R$1562="언어와 매체",자동계산!$D$8,자동계산!$B$8))</f>
        <v/>
      </c>
      <c r="G1587" s="33">
        <f>IF($R$1562="","",IF($R$1562="언어와 매체",자동계산!$D$9,자동계산!$B$9))</f>
        <v/>
      </c>
      <c r="H1587" s="33">
        <f>IF($R$1562="","",IF($R$1562="언어와 매체",자동계산!$D$10,자동계산!$B$10))</f>
        <v/>
      </c>
      <c r="I1587" s="33">
        <f>IF($R$1562="","",IF($R$1562="언어와 매체",자동계산!$D$11,자동계산!$B$11))</f>
        <v/>
      </c>
      <c r="J1587" s="33">
        <f>IF($R$1562="","",IF($R$1562="언어와 매체",자동계산!$D$12,자동계산!$B$12))</f>
        <v/>
      </c>
      <c r="K1587" s="33">
        <f>IF($R$1562="","",IF($R$1562="언어와 매체",자동계산!$D$13,자동계산!$B$13))</f>
        <v/>
      </c>
      <c r="L1587" s="33">
        <f>IF($R$1562="","",IF($R$1562="언어와 매체",자동계산!$D$14,자동계산!$B$14))</f>
        <v/>
      </c>
      <c r="M1587" s="33">
        <f>IF($R$1562="","",IF($R$1562="언어와 매체",자동계산!$D$15,자동계산!$B$15))</f>
        <v/>
      </c>
      <c r="N1587" s="33">
        <f>IF($R$1562="","",IF($R$1562="언어와 매체",자동계산!$D$16,자동계산!$B$16))</f>
        <v/>
      </c>
      <c r="O1587" s="33">
        <f>IF($R$1562="","",IF($R$1562="언어와 매체",자동계산!$D$17,자동계산!$B$17))</f>
        <v/>
      </c>
      <c r="P1587" s="33">
        <f>IF($R$1562="","",IF($R$1562="언어와 매체",자동계산!$D$18,자동계산!$B$18))</f>
        <v/>
      </c>
    </row>
    <row r="1588">
      <c r="A1588" s="52" t="inlineStr">
        <is>
          <t>학생답안</t>
        </is>
      </c>
      <c r="B1588" s="33">
        <f>IF($R$1561="","",INDEX(전체채점!E$3:E$62,$R$1561))</f>
        <v/>
      </c>
      <c r="C1588" s="33">
        <f>IF($R$1561="","",INDEX(전체채점!F$3:F$62,$R$1561))</f>
        <v/>
      </c>
      <c r="D1588" s="33">
        <f>IF($R$1561="","",INDEX(전체채점!G$3:G$62,$R$1561))</f>
        <v/>
      </c>
      <c r="E1588" s="33">
        <f>IF($R$1561="","",INDEX(전체채점!H$3:H$62,$R$1561))</f>
        <v/>
      </c>
      <c r="F1588" s="33">
        <f>IF($R$1561="","",INDEX(전체채점!I$3:I$62,$R$1561))</f>
        <v/>
      </c>
      <c r="G1588" s="33">
        <f>IF($R$1561="","",INDEX(전체채점!J$3:J$62,$R$1561))</f>
        <v/>
      </c>
      <c r="H1588" s="33">
        <f>IF($R$1561="","",INDEX(전체채점!K$3:K$62,$R$1561))</f>
        <v/>
      </c>
      <c r="I1588" s="33">
        <f>IF($R$1561="","",INDEX(전체채점!L$3:L$62,$R$1561))</f>
        <v/>
      </c>
      <c r="J1588" s="33">
        <f>IF($R$1561="","",INDEX(전체채점!M$3:M$62,$R$1561))</f>
        <v/>
      </c>
      <c r="K1588" s="33">
        <f>IF($R$1561="","",INDEX(전체채점!N$3:N$62,$R$1561))</f>
        <v/>
      </c>
      <c r="L1588" s="33">
        <f>IF($R$1561="","",INDEX(전체채점!O$3:O$62,$R$1561))</f>
        <v/>
      </c>
      <c r="M1588" s="33">
        <f>IF($R$1561="","",INDEX(전체채점!P$3:P$62,$R$1561))</f>
        <v/>
      </c>
      <c r="N1588" s="33">
        <f>IF($R$1561="","",INDEX(전체채점!Q$3:Q$62,$R$1561))</f>
        <v/>
      </c>
      <c r="O1588" s="33">
        <f>IF($R$1561="","",INDEX(전체채점!R$3:R$62,$R$1561))</f>
        <v/>
      </c>
      <c r="P1588" s="33">
        <f>IF($R$1561="","",INDEX(전체채점!S$3:S$62,$R$1561))</f>
        <v/>
      </c>
    </row>
    <row r="1589">
      <c r="A1589" s="52" t="inlineStr">
        <is>
          <t>정오</t>
        </is>
      </c>
      <c r="B1589" s="33">
        <f>IF($R$1561="","",INDEX(전체채점!AX$3:AX$62,$R$1561))</f>
        <v/>
      </c>
      <c r="C1589" s="33">
        <f>IF($R$1561="","",INDEX(전체채점!AY$3:AY$62,$R$1561))</f>
        <v/>
      </c>
      <c r="D1589" s="33">
        <f>IF($R$1561="","",INDEX(전체채점!AZ$3:AZ$62,$R$1561))</f>
        <v/>
      </c>
      <c r="E1589" s="33">
        <f>IF($R$1561="","",INDEX(전체채점!BA$3:BA$62,$R$1561))</f>
        <v/>
      </c>
      <c r="F1589" s="33">
        <f>IF($R$1561="","",INDEX(전체채점!BB$3:BB$62,$R$1561))</f>
        <v/>
      </c>
      <c r="G1589" s="33">
        <f>IF($R$1561="","",INDEX(전체채점!BC$3:BC$62,$R$1561))</f>
        <v/>
      </c>
      <c r="H1589" s="33">
        <f>IF($R$1561="","",INDEX(전체채점!BD$3:BD$62,$R$1561))</f>
        <v/>
      </c>
      <c r="I1589" s="33">
        <f>IF($R$1561="","",INDEX(전체채점!BE$3:BE$62,$R$1561))</f>
        <v/>
      </c>
      <c r="J1589" s="33">
        <f>IF($R$1561="","",INDEX(전체채점!BF$3:BF$62,$R$1561))</f>
        <v/>
      </c>
      <c r="K1589" s="33">
        <f>IF($R$1561="","",INDEX(전체채점!BG$3:BG$62,$R$1561))</f>
        <v/>
      </c>
      <c r="L1589" s="33">
        <f>IF($R$1561="","",INDEX(전체채점!BH$3:BH$62,$R$1561))</f>
        <v/>
      </c>
      <c r="M1589" s="33">
        <f>IF($R$1561="","",INDEX(전체채점!BI$3:BI$62,$R$1561))</f>
        <v/>
      </c>
      <c r="N1589" s="33">
        <f>IF($R$1561="","",INDEX(전체채점!BJ$3:BJ$62,$R$1561))</f>
        <v/>
      </c>
      <c r="O1589" s="33">
        <f>IF($R$1561="","",INDEX(전체채점!BK$3:BK$62,$R$1561))</f>
        <v/>
      </c>
      <c r="P1589" s="33">
        <f>IF($R$1561="","",INDEX(전체채점!BL$3:BL$62,$R$1561))</f>
        <v/>
      </c>
    </row>
    <row r="1590">
      <c r="A1590" s="50" t="inlineStr">
        <is>
          <t>문항 번호</t>
        </is>
      </c>
      <c r="B1590" s="51" t="n">
        <v>16</v>
      </c>
      <c r="C1590" s="51" t="n">
        <v>17</v>
      </c>
      <c r="D1590" s="51" t="n">
        <v>18</v>
      </c>
      <c r="E1590" s="51" t="n">
        <v>19</v>
      </c>
      <c r="F1590" s="51" t="n">
        <v>20</v>
      </c>
      <c r="G1590" s="51" t="n">
        <v>21</v>
      </c>
      <c r="H1590" s="51" t="n">
        <v>22</v>
      </c>
      <c r="I1590" s="51" t="n">
        <v>23</v>
      </c>
      <c r="J1590" s="51" t="n">
        <v>24</v>
      </c>
      <c r="K1590" s="51" t="n">
        <v>25</v>
      </c>
      <c r="L1590" s="51" t="n">
        <v>26</v>
      </c>
      <c r="M1590" s="51" t="n">
        <v>27</v>
      </c>
      <c r="N1590" s="51" t="n">
        <v>28</v>
      </c>
      <c r="O1590" s="51" t="n">
        <v>29</v>
      </c>
      <c r="P1590" s="51" t="n">
        <v>30</v>
      </c>
    </row>
    <row r="1591">
      <c r="A1591" s="52" t="inlineStr">
        <is>
          <t>정답</t>
        </is>
      </c>
      <c r="B1591" s="33">
        <f>IF($R$1562="","",IF($R$1562="언어와 매체",자동계산!$D$19,자동계산!$B$19))</f>
        <v/>
      </c>
      <c r="C1591" s="33">
        <f>IF($R$1562="","",IF($R$1562="언어와 매체",자동계산!$D$20,자동계산!$B$20))</f>
        <v/>
      </c>
      <c r="D1591" s="33">
        <f>IF($R$1562="","",IF($R$1562="언어와 매체",자동계산!$D$21,자동계산!$B$21))</f>
        <v/>
      </c>
      <c r="E1591" s="33">
        <f>IF($R$1562="","",IF($R$1562="언어와 매체",자동계산!$D$22,자동계산!$B$22))</f>
        <v/>
      </c>
      <c r="F1591" s="33">
        <f>IF($R$1562="","",IF($R$1562="언어와 매체",자동계산!$D$23,자동계산!$B$23))</f>
        <v/>
      </c>
      <c r="G1591" s="33">
        <f>IF($R$1562="","",IF($R$1562="언어와 매체",자동계산!$D$24,자동계산!$B$24))</f>
        <v/>
      </c>
      <c r="H1591" s="33">
        <f>IF($R$1562="","",IF($R$1562="언어와 매체",자동계산!$D$25,자동계산!$B$25))</f>
        <v/>
      </c>
      <c r="I1591" s="33">
        <f>IF($R$1562="","",IF($R$1562="언어와 매체",자동계산!$D$26,자동계산!$B$26))</f>
        <v/>
      </c>
      <c r="J1591" s="33">
        <f>IF($R$1562="","",IF($R$1562="언어와 매체",자동계산!$D$27,자동계산!$B$27))</f>
        <v/>
      </c>
      <c r="K1591" s="33">
        <f>IF($R$1562="","",IF($R$1562="언어와 매체",자동계산!$D$28,자동계산!$B$28))</f>
        <v/>
      </c>
      <c r="L1591" s="33">
        <f>IF($R$1562="","",IF($R$1562="언어와 매체",자동계산!$D$29,자동계산!$B$29))</f>
        <v/>
      </c>
      <c r="M1591" s="33">
        <f>IF($R$1562="","",IF($R$1562="언어와 매체",자동계산!$D$30,자동계산!$B$30))</f>
        <v/>
      </c>
      <c r="N1591" s="33">
        <f>IF($R$1562="","",IF($R$1562="언어와 매체",자동계산!$D$31,자동계산!$B$31))</f>
        <v/>
      </c>
      <c r="O1591" s="33">
        <f>IF($R$1562="","",IF($R$1562="언어와 매체",자동계산!$D$32,자동계산!$B$32))</f>
        <v/>
      </c>
      <c r="P1591" s="33">
        <f>IF($R$1562="","",IF($R$1562="언어와 매체",자동계산!$D$33,자동계산!$B$33))</f>
        <v/>
      </c>
    </row>
    <row r="1592">
      <c r="A1592" s="52" t="inlineStr">
        <is>
          <t>학생답안</t>
        </is>
      </c>
      <c r="B1592" s="33">
        <f>IF($R$1561="","",INDEX(전체채점!T$3:T$62,$R$1561))</f>
        <v/>
      </c>
      <c r="C1592" s="33">
        <f>IF($R$1561="","",INDEX(전체채점!U$3:U$62,$R$1561))</f>
        <v/>
      </c>
      <c r="D1592" s="33">
        <f>IF($R$1561="","",INDEX(전체채점!V$3:V$62,$R$1561))</f>
        <v/>
      </c>
      <c r="E1592" s="33">
        <f>IF($R$1561="","",INDEX(전체채점!W$3:W$62,$R$1561))</f>
        <v/>
      </c>
      <c r="F1592" s="33">
        <f>IF($R$1561="","",INDEX(전체채점!X$3:X$62,$R$1561))</f>
        <v/>
      </c>
      <c r="G1592" s="33">
        <f>IF($R$1561="","",INDEX(전체채점!Y$3:Y$62,$R$1561))</f>
        <v/>
      </c>
      <c r="H1592" s="33">
        <f>IF($R$1561="","",INDEX(전체채점!Z$3:Z$62,$R$1561))</f>
        <v/>
      </c>
      <c r="I1592" s="33">
        <f>IF($R$1561="","",INDEX(전체채점!AA$3:AA$62,$R$1561))</f>
        <v/>
      </c>
      <c r="J1592" s="33">
        <f>IF($R$1561="","",INDEX(전체채점!AB$3:AB$62,$R$1561))</f>
        <v/>
      </c>
      <c r="K1592" s="33">
        <f>IF($R$1561="","",INDEX(전체채점!AC$3:AC$62,$R$1561))</f>
        <v/>
      </c>
      <c r="L1592" s="33">
        <f>IF($R$1561="","",INDEX(전체채점!AD$3:AD$62,$R$1561))</f>
        <v/>
      </c>
      <c r="M1592" s="33">
        <f>IF($R$1561="","",INDEX(전체채점!AE$3:AE$62,$R$1561))</f>
        <v/>
      </c>
      <c r="N1592" s="33">
        <f>IF($R$1561="","",INDEX(전체채점!AF$3:AF$62,$R$1561))</f>
        <v/>
      </c>
      <c r="O1592" s="33">
        <f>IF($R$1561="","",INDEX(전체채점!AG$3:AG$62,$R$1561))</f>
        <v/>
      </c>
      <c r="P1592" s="33">
        <f>IF($R$1561="","",INDEX(전체채점!AH$3:AH$62,$R$1561))</f>
        <v/>
      </c>
    </row>
    <row r="1593">
      <c r="A1593" s="52" t="inlineStr">
        <is>
          <t>정오</t>
        </is>
      </c>
      <c r="B1593" s="33">
        <f>IF($R$1561="","",INDEX(전체채점!BM$3:BM$62,$R$1561))</f>
        <v/>
      </c>
      <c r="C1593" s="33">
        <f>IF($R$1561="","",INDEX(전체채점!BN$3:BN$62,$R$1561))</f>
        <v/>
      </c>
      <c r="D1593" s="33">
        <f>IF($R$1561="","",INDEX(전체채점!BO$3:BO$62,$R$1561))</f>
        <v/>
      </c>
      <c r="E1593" s="33">
        <f>IF($R$1561="","",INDEX(전체채점!BP$3:BP$62,$R$1561))</f>
        <v/>
      </c>
      <c r="F1593" s="33">
        <f>IF($R$1561="","",INDEX(전체채점!BQ$3:BQ$62,$R$1561))</f>
        <v/>
      </c>
      <c r="G1593" s="33">
        <f>IF($R$1561="","",INDEX(전체채점!BR$3:BR$62,$R$1561))</f>
        <v/>
      </c>
      <c r="H1593" s="33">
        <f>IF($R$1561="","",INDEX(전체채점!BS$3:BS$62,$R$1561))</f>
        <v/>
      </c>
      <c r="I1593" s="33">
        <f>IF($R$1561="","",INDEX(전체채점!BT$3:BT$62,$R$1561))</f>
        <v/>
      </c>
      <c r="J1593" s="33">
        <f>IF($R$1561="","",INDEX(전체채점!BU$3:BU$62,$R$1561))</f>
        <v/>
      </c>
      <c r="K1593" s="33">
        <f>IF($R$1561="","",INDEX(전체채점!BV$3:BV$62,$R$1561))</f>
        <v/>
      </c>
      <c r="L1593" s="33">
        <f>IF($R$1561="","",INDEX(전체채점!BW$3:BW$62,$R$1561))</f>
        <v/>
      </c>
      <c r="M1593" s="33">
        <f>IF($R$1561="","",INDEX(전체채점!BX$3:BX$62,$R$1561))</f>
        <v/>
      </c>
      <c r="N1593" s="33">
        <f>IF($R$1561="","",INDEX(전체채점!BY$3:BY$62,$R$1561))</f>
        <v/>
      </c>
      <c r="O1593" s="33">
        <f>IF($R$1561="","",INDEX(전체채점!BZ$3:BZ$62,$R$1561))</f>
        <v/>
      </c>
      <c r="P1593" s="33">
        <f>IF($R$1561="","",INDEX(전체채점!CA$3:CA$62,$R$1561))</f>
        <v/>
      </c>
    </row>
    <row r="1594">
      <c r="A1594" s="50" t="inlineStr">
        <is>
          <t>문항 번호</t>
        </is>
      </c>
      <c r="B1594" s="51" t="n">
        <v>31</v>
      </c>
      <c r="C1594" s="51" t="n">
        <v>32</v>
      </c>
      <c r="D1594" s="51" t="n">
        <v>33</v>
      </c>
      <c r="E1594" s="51" t="n">
        <v>34</v>
      </c>
      <c r="F1594" s="51" t="n">
        <v>35</v>
      </c>
      <c r="G1594" s="51" t="n">
        <v>36</v>
      </c>
      <c r="H1594" s="51" t="n">
        <v>37</v>
      </c>
      <c r="I1594" s="51" t="n">
        <v>38</v>
      </c>
      <c r="J1594" s="51" t="n">
        <v>39</v>
      </c>
      <c r="K1594" s="51" t="n">
        <v>40</v>
      </c>
      <c r="L1594" s="51" t="n">
        <v>41</v>
      </c>
      <c r="M1594" s="51" t="n">
        <v>42</v>
      </c>
      <c r="N1594" s="51" t="n">
        <v>43</v>
      </c>
      <c r="O1594" s="51" t="n">
        <v>44</v>
      </c>
      <c r="P1594" s="51" t="n">
        <v>45</v>
      </c>
    </row>
    <row r="1595">
      <c r="A1595" s="52" t="inlineStr">
        <is>
          <t>정답</t>
        </is>
      </c>
      <c r="B1595" s="33">
        <f>IF($R$1562="","",IF($R$1562="언어와 매체",자동계산!$D$34,자동계산!$B$34))</f>
        <v/>
      </c>
      <c r="C1595" s="33">
        <f>IF($R$1562="","",IF($R$1562="언어와 매체",자동계산!$D$35,자동계산!$B$35))</f>
        <v/>
      </c>
      <c r="D1595" s="33">
        <f>IF($R$1562="","",IF($R$1562="언어와 매체",자동계산!$D$36,자동계산!$B$36))</f>
        <v/>
      </c>
      <c r="E1595" s="33">
        <f>IF($R$1562="","",IF($R$1562="언어와 매체",자동계산!$D$37,자동계산!$B$37))</f>
        <v/>
      </c>
      <c r="F1595" s="33">
        <f>IF($R$1562="","",IF($R$1562="언어와 매체",자동계산!$D$38,자동계산!$B$38))</f>
        <v/>
      </c>
      <c r="G1595" s="33">
        <f>IF($R$1562="","",IF($R$1562="언어와 매체",자동계산!$D$39,자동계산!$B$39))</f>
        <v/>
      </c>
      <c r="H1595" s="33">
        <f>IF($R$1562="","",IF($R$1562="언어와 매체",자동계산!$D$40,자동계산!$B$40))</f>
        <v/>
      </c>
      <c r="I1595" s="33">
        <f>IF($R$1562="","",IF($R$1562="언어와 매체",자동계산!$D$41,자동계산!$B$41))</f>
        <v/>
      </c>
      <c r="J1595" s="33">
        <f>IF($R$1562="","",IF($R$1562="언어와 매체",자동계산!$D$42,자동계산!$B$42))</f>
        <v/>
      </c>
      <c r="K1595" s="33">
        <f>IF($R$1562="","",IF($R$1562="언어와 매체",자동계산!$D$43,자동계산!$B$43))</f>
        <v/>
      </c>
      <c r="L1595" s="33">
        <f>IF($R$1562="","",IF($R$1562="언어와 매체",자동계산!$D$44,자동계산!$B$44))</f>
        <v/>
      </c>
      <c r="M1595" s="33">
        <f>IF($R$1562="","",IF($R$1562="언어와 매체",자동계산!$D$45,자동계산!$B$45))</f>
        <v/>
      </c>
      <c r="N1595" s="33">
        <f>IF($R$1562="","",IF($R$1562="언어와 매체",자동계산!$D$46,자동계산!$B$46))</f>
        <v/>
      </c>
      <c r="O1595" s="33">
        <f>IF($R$1562="","",IF($R$1562="언어와 매체",자동계산!$D$47,자동계산!$B$47))</f>
        <v/>
      </c>
      <c r="P1595" s="33">
        <f>IF($R$1562="","",IF($R$1562="언어와 매체",자동계산!$D$48,자동계산!$B$48))</f>
        <v/>
      </c>
    </row>
    <row r="1596">
      <c r="A1596" s="52" t="inlineStr">
        <is>
          <t>학생답안</t>
        </is>
      </c>
      <c r="B1596" s="33">
        <f>IF($R$1561="","",INDEX(전체채점!AI$3:AI$62,$R$1561))</f>
        <v/>
      </c>
      <c r="C1596" s="33">
        <f>IF($R$1561="","",INDEX(전체채점!AJ$3:AJ$62,$R$1561))</f>
        <v/>
      </c>
      <c r="D1596" s="33">
        <f>IF($R$1561="","",INDEX(전체채점!AK$3:AK$62,$R$1561))</f>
        <v/>
      </c>
      <c r="E1596" s="33">
        <f>IF($R$1561="","",INDEX(전체채점!AL$3:AL$62,$R$1561))</f>
        <v/>
      </c>
      <c r="F1596" s="33">
        <f>IF($R$1561="","",INDEX(전체채점!AM$3:AM$62,$R$1561))</f>
        <v/>
      </c>
      <c r="G1596" s="33">
        <f>IF($R$1561="","",INDEX(전체채점!AN$3:AN$62,$R$1561))</f>
        <v/>
      </c>
      <c r="H1596" s="33">
        <f>IF($R$1561="","",INDEX(전체채점!AO$3:AO$62,$R$1561))</f>
        <v/>
      </c>
      <c r="I1596" s="33">
        <f>IF($R$1561="","",INDEX(전체채점!AP$3:AP$62,$R$1561))</f>
        <v/>
      </c>
      <c r="J1596" s="33">
        <f>IF($R$1561="","",INDEX(전체채점!AQ$3:AQ$62,$R$1561))</f>
        <v/>
      </c>
      <c r="K1596" s="33">
        <f>IF($R$1561="","",INDEX(전체채점!AR$3:AR$62,$R$1561))</f>
        <v/>
      </c>
      <c r="L1596" s="33">
        <f>IF($R$1561="","",INDEX(전체채점!AS$3:AS$62,$R$1561))</f>
        <v/>
      </c>
      <c r="M1596" s="33">
        <f>IF($R$1561="","",INDEX(전체채점!AT$3:AT$62,$R$1561))</f>
        <v/>
      </c>
      <c r="N1596" s="33">
        <f>IF($R$1561="","",INDEX(전체채점!AU$3:AU$62,$R$1561))</f>
        <v/>
      </c>
      <c r="O1596" s="33">
        <f>IF($R$1561="","",INDEX(전체채점!AV$3:AV$62,$R$1561))</f>
        <v/>
      </c>
      <c r="P1596" s="33">
        <f>IF($R$1561="","",INDEX(전체채점!AW$3:AW$62,$R$1561))</f>
        <v/>
      </c>
    </row>
    <row r="1597">
      <c r="A1597" s="52" t="inlineStr">
        <is>
          <t>정오</t>
        </is>
      </c>
      <c r="B1597" s="33">
        <f>IF($R$1561="","",INDEX(전체채점!CB$3:CB$62,$R$1561))</f>
        <v/>
      </c>
      <c r="C1597" s="33">
        <f>IF($R$1561="","",INDEX(전체채점!CC$3:CC$62,$R$1561))</f>
        <v/>
      </c>
      <c r="D1597" s="33">
        <f>IF($R$1561="","",INDEX(전체채점!CD$3:CD$62,$R$1561))</f>
        <v/>
      </c>
      <c r="E1597" s="33">
        <f>IF($R$1561="","",INDEX(전체채점!CE$3:CE$62,$R$1561))</f>
        <v/>
      </c>
      <c r="F1597" s="33">
        <f>IF($R$1561="","",INDEX(전체채점!CF$3:CF$62,$R$1561))</f>
        <v/>
      </c>
      <c r="G1597" s="33">
        <f>IF($R$1561="","",INDEX(전체채점!CG$3:CG$62,$R$1561))</f>
        <v/>
      </c>
      <c r="H1597" s="33">
        <f>IF($R$1561="","",INDEX(전체채점!CH$3:CH$62,$R$1561))</f>
        <v/>
      </c>
      <c r="I1597" s="33">
        <f>IF($R$1561="","",INDEX(전체채점!CI$3:CI$62,$R$1561))</f>
        <v/>
      </c>
      <c r="J1597" s="33">
        <f>IF($R$1561="","",INDEX(전체채점!CJ$3:CJ$62,$R$1561))</f>
        <v/>
      </c>
      <c r="K1597" s="33">
        <f>IF($R$1561="","",INDEX(전체채점!CK$3:CK$62,$R$1561))</f>
        <v/>
      </c>
      <c r="L1597" s="33">
        <f>IF($R$1561="","",INDEX(전체채점!CL$3:CL$62,$R$1561))</f>
        <v/>
      </c>
      <c r="M1597" s="33">
        <f>IF($R$1561="","",INDEX(전체채점!CM$3:CM$62,$R$1561))</f>
        <v/>
      </c>
      <c r="N1597" s="33">
        <f>IF($R$1561="","",INDEX(전체채점!CN$3:CN$62,$R$1561))</f>
        <v/>
      </c>
      <c r="O1597" s="33">
        <f>IF($R$1561="","",INDEX(전체채점!CO$3:CO$62,$R$1561))</f>
        <v/>
      </c>
      <c r="P1597" s="33">
        <f>IF($R$1561="","",INDEX(전체채점!CP$3:CP$62,$R$1561))</f>
        <v/>
      </c>
    </row>
    <row r="1600" ht="34" customHeight="1">
      <c r="A1600" s="36">
        <f>IF($R$1602="","",회차설정!$B$2&amp;" 성적표")</f>
        <v/>
      </c>
    </row>
    <row r="1602">
      <c r="A1602" s="12" t="inlineStr">
        <is>
          <t>1. 학생정보</t>
        </is>
      </c>
      <c r="R1602" s="37">
        <f>IF(답안입력!$A$42="","",40)</f>
        <v/>
      </c>
      <c r="S1602" s="37">
        <f>IF($R$1603="","",IFERROR(IF($R$1603="언어와 매체",MATCH(1,회차설정!$G$13:$G$27,0),MATCH(1,회차설정!$F$13:$F$27,0)),""))</f>
        <v/>
      </c>
    </row>
    <row r="1603">
      <c r="A1603" s="13" t="inlineStr">
        <is>
          <t>성명</t>
        </is>
      </c>
      <c r="B1603" s="7" t="n"/>
      <c r="C1603" s="8" t="n"/>
      <c r="D1603" s="13" t="inlineStr">
        <is>
          <t>선택과목</t>
        </is>
      </c>
      <c r="E1603" s="7" t="n"/>
      <c r="F1603" s="7" t="n"/>
      <c r="G1603" s="8" t="n"/>
      <c r="H1603" s="13" t="inlineStr">
        <is>
          <t>학년</t>
        </is>
      </c>
      <c r="I1603" s="7" t="n"/>
      <c r="J1603" s="7" t="n"/>
      <c r="K1603" s="8" t="n"/>
      <c r="L1603" s="13" t="inlineStr">
        <is>
          <t>시행일</t>
        </is>
      </c>
      <c r="M1603" s="7" t="n"/>
      <c r="N1603" s="7" t="n"/>
      <c r="O1603" s="7" t="n"/>
      <c r="P1603" s="8" t="n"/>
      <c r="R1603" s="37">
        <f>IF($R$1602="","",INDEX(전체채점!$B$3:$B$62,$R$1602))</f>
        <v/>
      </c>
      <c r="S1603" s="37">
        <f>IF($R$1603="","",IFERROR(IF($R$1603="언어와 매체",MATCH(2,회차설정!$G$13:$G$27,0),MATCH(2,회차설정!$F$13:$F$27,0)),""))</f>
        <v/>
      </c>
    </row>
    <row r="1604" ht="26" customHeight="1">
      <c r="A1604" s="39">
        <f>IF($R$1602="","",INDEX(답안입력!$A$3:$A$62,$R$1602))</f>
        <v/>
      </c>
      <c r="B1604" s="7" t="n"/>
      <c r="C1604" s="8" t="n"/>
      <c r="D1604" s="39">
        <f>IF($R$1602="","",INDEX(답안입력!$C$3:$C$62,$R$1602))</f>
        <v/>
      </c>
      <c r="E1604" s="7" t="n"/>
      <c r="F1604" s="7" t="n"/>
      <c r="G1604" s="8" t="n"/>
      <c r="H1604" s="39">
        <f>IF($R$1602="","",INDEX(답안입력!$B$3:$B$62,$R$1602))</f>
        <v/>
      </c>
      <c r="I1604" s="7" t="n"/>
      <c r="J1604" s="7" t="n"/>
      <c r="K1604" s="8" t="n"/>
      <c r="L1604" s="40">
        <f>회차설정!$B$3</f>
        <v/>
      </c>
      <c r="M1604" s="7" t="n"/>
      <c r="N1604" s="7" t="n"/>
      <c r="O1604" s="7" t="n"/>
      <c r="P1604" s="8" t="n"/>
      <c r="R1604" s="37">
        <f>IF($R$1603="언어와 매체",회차설정!$B$9,회차설정!$B$8)</f>
        <v/>
      </c>
      <c r="S1604" s="37">
        <f>IF($R$1603="","",IFERROR(IF($R$1603="언어와 매체",MATCH(3,회차설정!$G$13:$G$27,0),MATCH(3,회차설정!$F$13:$F$27,0)),""))</f>
        <v/>
      </c>
    </row>
    <row r="1605">
      <c r="R1605" s="37">
        <f>IF($R$1603="언어와 매체",회차설정!$C$9,회차설정!$C$8)</f>
        <v/>
      </c>
      <c r="S1605" s="37">
        <f>IF($R$1603="","",IFERROR(IF($R$1603="언어와 매체",MATCH(4,회차설정!$G$13:$G$27,0),MATCH(4,회차설정!$F$13:$F$27,0)),""))</f>
        <v/>
      </c>
    </row>
    <row r="1606">
      <c r="A1606" s="12" t="inlineStr">
        <is>
          <t>2. 성적</t>
        </is>
      </c>
      <c r="R1606" s="37">
        <f>IF($R$1603="언어와 매체",회차설정!$D$9,회차설정!$D$8)</f>
        <v/>
      </c>
      <c r="S1606" s="37">
        <f>IF($R$1603="","",IFERROR(IF($R$1603="언어와 매체",MATCH(5,회차설정!$G$13:$G$27,0),MATCH(5,회차설정!$F$13:$F$27,0)),""))</f>
        <v/>
      </c>
    </row>
    <row r="1607">
      <c r="A1607" s="13" t="inlineStr">
        <is>
          <t>점수 (100점 만점)</t>
        </is>
      </c>
      <c r="B1607" s="7" t="n"/>
      <c r="C1607" s="7" t="n"/>
      <c r="D1607" s="7" t="n"/>
      <c r="E1607" s="8" t="n"/>
      <c r="F1607" s="13" t="inlineStr">
        <is>
          <t>등급</t>
        </is>
      </c>
      <c r="G1607" s="7" t="n"/>
      <c r="H1607" s="8" t="n"/>
      <c r="I1607" s="13" t="inlineStr">
        <is>
          <t>등급컷</t>
        </is>
      </c>
      <c r="J1607" s="7" t="n"/>
      <c r="K1607" s="7" t="n"/>
      <c r="L1607" s="8" t="n"/>
      <c r="M1607" s="13" t="inlineStr">
        <is>
          <t>같은 선택과목 평균</t>
        </is>
      </c>
      <c r="N1607" s="7" t="n"/>
      <c r="O1607" s="7" t="n"/>
      <c r="P1607" s="8" t="n"/>
      <c r="R1607" s="37">
        <f>IF($R$1603="언어와 매체",회차설정!$E$9,회차설정!$E$8)</f>
        <v/>
      </c>
      <c r="S1607" s="37">
        <f>IF($R$1603="","",IFERROR(IF($R$1603="언어와 매체",MATCH(6,회차설정!$G$13:$G$27,0),MATCH(6,회차설정!$F$13:$F$27,0)),""))</f>
        <v/>
      </c>
    </row>
    <row r="1608" ht="34" customHeight="1">
      <c r="A1608" s="41">
        <f>IF($R$1602="","",INDEX(전체채점!$C$3:$C$62,$R$1602))</f>
        <v/>
      </c>
      <c r="B1608" s="7" t="n"/>
      <c r="C1608" s="7" t="n"/>
      <c r="D1608" s="7" t="n"/>
      <c r="E1608" s="8" t="n"/>
      <c r="F1608" s="42">
        <f>IF($R$1602="","",INDEX(전체채점!$D$3:$D$62,$R$1602))</f>
        <v/>
      </c>
      <c r="G1608" s="7" t="n"/>
      <c r="H1608" s="8" t="n"/>
      <c r="I1608" s="43">
        <f>IF($R$1602="","",$R$1604&amp;"-"&amp;$R$1605&amp;"-"&amp;$R$1606&amp;"-"&amp;$R$1607)</f>
        <v/>
      </c>
      <c r="J1608" s="7" t="n"/>
      <c r="K1608" s="7" t="n"/>
      <c r="L1608" s="8" t="n"/>
      <c r="M1608" s="44">
        <f>IFERROR(AVERAGEIF(전체채점!$B$3:$B$62,$R$1603,전체채점!$C$3:$C$62),"")</f>
        <v/>
      </c>
      <c r="N1608" s="7" t="n"/>
      <c r="O1608" s="7" t="n"/>
      <c r="P1608" s="8" t="n"/>
      <c r="S1608" s="37">
        <f>IF($R$1603="","",IFERROR(IF($R$1603="언어와 매체",MATCH(7,회차설정!$G$13:$G$27,0),MATCH(7,회차설정!$F$13:$F$27,0)),""))</f>
        <v/>
      </c>
    </row>
    <row r="1609">
      <c r="S1609" s="37">
        <f>IF($R$1603="","",IFERROR(IF($R$1603="언어와 매체",MATCH(8,회차설정!$G$13:$G$27,0),MATCH(8,회차설정!$F$13:$F$27,0)),""))</f>
        <v/>
      </c>
    </row>
    <row r="1610">
      <c r="A1610" s="12" t="inlineStr">
        <is>
          <t>3. 영역분류별 성취도 분석</t>
        </is>
      </c>
      <c r="F1610" s="45">
        <f>IF(OR($R$1602="",$E1624=""),"",IF($E1624=INDEX(전체채점!$C$3:$C$62,$R$1602),"","※ 회차설정의 영역 표를 확인하세요 — 영역 합계와 점수가 다릅니다"))</f>
        <v/>
      </c>
      <c r="S1610" s="37">
        <f>IF($R$1603="","",IFERROR(IF($R$1603="언어와 매체",MATCH(9,회차설정!$G$13:$G$27,0),MATCH(9,회차설정!$F$13:$F$27,0)),""))</f>
        <v/>
      </c>
    </row>
    <row r="1611">
      <c r="A1611" s="13" t="inlineStr">
        <is>
          <t>분류</t>
        </is>
      </c>
      <c r="B1611" s="13" t="inlineStr">
        <is>
          <t>영역</t>
        </is>
      </c>
      <c r="C1611" s="8" t="n"/>
      <c r="D1611" s="13" t="inlineStr">
        <is>
          <t>배점</t>
        </is>
      </c>
      <c r="E1611" s="13" t="inlineStr">
        <is>
          <t>득점</t>
        </is>
      </c>
      <c r="F1611" s="13" t="inlineStr">
        <is>
          <t>성취도(%)</t>
        </is>
      </c>
      <c r="G1611" s="8" t="n"/>
      <c r="H1611" s="13" t="inlineStr"/>
      <c r="I1611" s="7" t="n"/>
      <c r="J1611" s="7" t="n"/>
      <c r="K1611" s="7" t="n"/>
      <c r="L1611" s="7" t="n"/>
      <c r="M1611" s="7" t="n"/>
      <c r="N1611" s="7" t="n"/>
      <c r="O1611" s="7" t="n"/>
      <c r="P1611" s="8" t="n"/>
      <c r="S1611" s="37">
        <f>IF($R$1603="","",IFERROR(IF($R$1603="언어와 매체",MATCH(10,회차설정!$G$13:$G$27,0),MATCH(10,회차설정!$F$13:$F$27,0)),""))</f>
        <v/>
      </c>
    </row>
    <row r="1612">
      <c r="A1612" s="14">
        <f>IF($S$1602="","",INDEX(회차설정!$A$13:$A$27,$S$1602))</f>
        <v/>
      </c>
      <c r="B1612" s="14">
        <f>IF($S$1602="","",INDEX(회차설정!$B$13:$B$27,$S$1602))</f>
        <v/>
      </c>
      <c r="C1612" s="8" t="n"/>
      <c r="D1612" s="14">
        <f>IF($S$1602="","",IF($R$1603="언어와 매체",SUMPRODUCT((자동계산!$A$4:$A$48&gt;=INDEX(회차설정!$C$13:$C$27,$S$1602))*(자동계산!$A$4:$A$48&lt;=INDEX(회차설정!$D$13:$D$27,$S$1602))*자동계산!$E$4:$E$48),SUMPRODUCT((자동계산!$A$4:$A$48&gt;=INDEX(회차설정!$C$13:$C$27,$S$1602))*(자동계산!$A$4:$A$48&lt;=INDEX(회차설정!$D$13:$D$27,$S$1602))*자동계산!$C$4:$C$48)))</f>
        <v/>
      </c>
      <c r="E1612" s="14">
        <f>IF(OR($S$1602="",$R$1602=""),"",SUM(OFFSET(전체채점!$AW$2,$R$1602,INDEX(회차설정!$C$13:$C$27,$S$1602),1,INDEX(회차설정!$D$13:$D$27,$S$1602)-INDEX(회차설정!$C$13:$C$27,$S$1602)+1)))</f>
        <v/>
      </c>
      <c r="F1612" s="46">
        <f>IF(OR($S$1602="",$D1612=0,$D1612="",$E1612=""),"",$E1612/$D1612*100)</f>
        <v/>
      </c>
      <c r="G1612" s="8" t="n"/>
      <c r="H1612" s="47">
        <f>IF($F1612="","",REPT("■",ROUND($F1612/5,0)))</f>
        <v/>
      </c>
      <c r="I1612" s="7" t="n"/>
      <c r="J1612" s="7" t="n"/>
      <c r="K1612" s="7" t="n"/>
      <c r="L1612" s="7" t="n"/>
      <c r="M1612" s="7" t="n"/>
      <c r="N1612" s="7" t="n"/>
      <c r="O1612" s="7" t="n"/>
      <c r="P1612" s="8" t="n"/>
      <c r="S1612" s="37">
        <f>IF($R$1603="","",IFERROR(IF($R$1603="언어와 매체",MATCH(11,회차설정!$G$13:$G$27,0),MATCH(11,회차설정!$F$13:$F$27,0)),""))</f>
        <v/>
      </c>
    </row>
    <row r="1613">
      <c r="A1613" s="14">
        <f>IF($S$1603="","",INDEX(회차설정!$A$13:$A$27,$S$1603))</f>
        <v/>
      </c>
      <c r="B1613" s="14">
        <f>IF($S$1603="","",INDEX(회차설정!$B$13:$B$27,$S$1603))</f>
        <v/>
      </c>
      <c r="C1613" s="8" t="n"/>
      <c r="D1613" s="14">
        <f>IF($S$1603="","",IF($R$1603="언어와 매체",SUMPRODUCT((자동계산!$A$4:$A$48&gt;=INDEX(회차설정!$C$13:$C$27,$S$1603))*(자동계산!$A$4:$A$48&lt;=INDEX(회차설정!$D$13:$D$27,$S$1603))*자동계산!$E$4:$E$48),SUMPRODUCT((자동계산!$A$4:$A$48&gt;=INDEX(회차설정!$C$13:$C$27,$S$1603))*(자동계산!$A$4:$A$48&lt;=INDEX(회차설정!$D$13:$D$27,$S$1603))*자동계산!$C$4:$C$48)))</f>
        <v/>
      </c>
      <c r="E1613" s="14">
        <f>IF(OR($S$1603="",$R$1602=""),"",SUM(OFFSET(전체채점!$AW$2,$R$1602,INDEX(회차설정!$C$13:$C$27,$S$1603),1,INDEX(회차설정!$D$13:$D$27,$S$1603)-INDEX(회차설정!$C$13:$C$27,$S$1603)+1)))</f>
        <v/>
      </c>
      <c r="F1613" s="46">
        <f>IF(OR($S$1603="",$D1613=0,$D1613="",$E1613=""),"",$E1613/$D1613*100)</f>
        <v/>
      </c>
      <c r="G1613" s="8" t="n"/>
      <c r="H1613" s="47">
        <f>IF($F1613="","",REPT("■",ROUND($F1613/5,0)))</f>
        <v/>
      </c>
      <c r="I1613" s="7" t="n"/>
      <c r="J1613" s="7" t="n"/>
      <c r="K1613" s="7" t="n"/>
      <c r="L1613" s="7" t="n"/>
      <c r="M1613" s="7" t="n"/>
      <c r="N1613" s="7" t="n"/>
      <c r="O1613" s="7" t="n"/>
      <c r="P1613" s="8" t="n"/>
      <c r="S1613" s="37">
        <f>IF($R$1603="","",IFERROR(IF($R$1603="언어와 매체",MATCH(12,회차설정!$G$13:$G$27,0),MATCH(12,회차설정!$F$13:$F$27,0)),""))</f>
        <v/>
      </c>
    </row>
    <row r="1614">
      <c r="A1614" s="14">
        <f>IF($S$1604="","",INDEX(회차설정!$A$13:$A$27,$S$1604))</f>
        <v/>
      </c>
      <c r="B1614" s="14">
        <f>IF($S$1604="","",INDEX(회차설정!$B$13:$B$27,$S$1604))</f>
        <v/>
      </c>
      <c r="C1614" s="8" t="n"/>
      <c r="D1614" s="14">
        <f>IF($S$1604="","",IF($R$1603="언어와 매체",SUMPRODUCT((자동계산!$A$4:$A$48&gt;=INDEX(회차설정!$C$13:$C$27,$S$1604))*(자동계산!$A$4:$A$48&lt;=INDEX(회차설정!$D$13:$D$27,$S$1604))*자동계산!$E$4:$E$48),SUMPRODUCT((자동계산!$A$4:$A$48&gt;=INDEX(회차설정!$C$13:$C$27,$S$1604))*(자동계산!$A$4:$A$48&lt;=INDEX(회차설정!$D$13:$D$27,$S$1604))*자동계산!$C$4:$C$48)))</f>
        <v/>
      </c>
      <c r="E1614" s="14">
        <f>IF(OR($S$1604="",$R$1602=""),"",SUM(OFFSET(전체채점!$AW$2,$R$1602,INDEX(회차설정!$C$13:$C$27,$S$1604),1,INDEX(회차설정!$D$13:$D$27,$S$1604)-INDEX(회차설정!$C$13:$C$27,$S$1604)+1)))</f>
        <v/>
      </c>
      <c r="F1614" s="46">
        <f>IF(OR($S$1604="",$D1614=0,$D1614="",$E1614=""),"",$E1614/$D1614*100)</f>
        <v/>
      </c>
      <c r="G1614" s="8" t="n"/>
      <c r="H1614" s="47">
        <f>IF($F1614="","",REPT("■",ROUND($F1614/5,0)))</f>
        <v/>
      </c>
      <c r="I1614" s="7" t="n"/>
      <c r="J1614" s="7" t="n"/>
      <c r="K1614" s="7" t="n"/>
      <c r="L1614" s="7" t="n"/>
      <c r="M1614" s="7" t="n"/>
      <c r="N1614" s="7" t="n"/>
      <c r="O1614" s="7" t="n"/>
      <c r="P1614" s="8" t="n"/>
    </row>
    <row r="1615">
      <c r="A1615" s="14">
        <f>IF($S$1605="","",INDEX(회차설정!$A$13:$A$27,$S$1605))</f>
        <v/>
      </c>
      <c r="B1615" s="14">
        <f>IF($S$1605="","",INDEX(회차설정!$B$13:$B$27,$S$1605))</f>
        <v/>
      </c>
      <c r="C1615" s="8" t="n"/>
      <c r="D1615" s="14">
        <f>IF($S$1605="","",IF($R$1603="언어와 매체",SUMPRODUCT((자동계산!$A$4:$A$48&gt;=INDEX(회차설정!$C$13:$C$27,$S$1605))*(자동계산!$A$4:$A$48&lt;=INDEX(회차설정!$D$13:$D$27,$S$1605))*자동계산!$E$4:$E$48),SUMPRODUCT((자동계산!$A$4:$A$48&gt;=INDEX(회차설정!$C$13:$C$27,$S$1605))*(자동계산!$A$4:$A$48&lt;=INDEX(회차설정!$D$13:$D$27,$S$1605))*자동계산!$C$4:$C$48)))</f>
        <v/>
      </c>
      <c r="E1615" s="14">
        <f>IF(OR($S$1605="",$R$1602=""),"",SUM(OFFSET(전체채점!$AW$2,$R$1602,INDEX(회차설정!$C$13:$C$27,$S$1605),1,INDEX(회차설정!$D$13:$D$27,$S$1605)-INDEX(회차설정!$C$13:$C$27,$S$1605)+1)))</f>
        <v/>
      </c>
      <c r="F1615" s="46">
        <f>IF(OR($S$1605="",$D1615=0,$D1615="",$E1615=""),"",$E1615/$D1615*100)</f>
        <v/>
      </c>
      <c r="G1615" s="8" t="n"/>
      <c r="H1615" s="47">
        <f>IF($F1615="","",REPT("■",ROUND($F1615/5,0)))</f>
        <v/>
      </c>
      <c r="I1615" s="7" t="n"/>
      <c r="J1615" s="7" t="n"/>
      <c r="K1615" s="7" t="n"/>
      <c r="L1615" s="7" t="n"/>
      <c r="M1615" s="7" t="n"/>
      <c r="N1615" s="7" t="n"/>
      <c r="O1615" s="7" t="n"/>
      <c r="P1615" s="8" t="n"/>
    </row>
    <row r="1616">
      <c r="A1616" s="14">
        <f>IF($S$1606="","",INDEX(회차설정!$A$13:$A$27,$S$1606))</f>
        <v/>
      </c>
      <c r="B1616" s="14">
        <f>IF($S$1606="","",INDEX(회차설정!$B$13:$B$27,$S$1606))</f>
        <v/>
      </c>
      <c r="C1616" s="8" t="n"/>
      <c r="D1616" s="14">
        <f>IF($S$1606="","",IF($R$1603="언어와 매체",SUMPRODUCT((자동계산!$A$4:$A$48&gt;=INDEX(회차설정!$C$13:$C$27,$S$1606))*(자동계산!$A$4:$A$48&lt;=INDEX(회차설정!$D$13:$D$27,$S$1606))*자동계산!$E$4:$E$48),SUMPRODUCT((자동계산!$A$4:$A$48&gt;=INDEX(회차설정!$C$13:$C$27,$S$1606))*(자동계산!$A$4:$A$48&lt;=INDEX(회차설정!$D$13:$D$27,$S$1606))*자동계산!$C$4:$C$48)))</f>
        <v/>
      </c>
      <c r="E1616" s="14">
        <f>IF(OR($S$1606="",$R$1602=""),"",SUM(OFFSET(전체채점!$AW$2,$R$1602,INDEX(회차설정!$C$13:$C$27,$S$1606),1,INDEX(회차설정!$D$13:$D$27,$S$1606)-INDEX(회차설정!$C$13:$C$27,$S$1606)+1)))</f>
        <v/>
      </c>
      <c r="F1616" s="46">
        <f>IF(OR($S$1606="",$D1616=0,$D1616="",$E1616=""),"",$E1616/$D1616*100)</f>
        <v/>
      </c>
      <c r="G1616" s="8" t="n"/>
      <c r="H1616" s="47">
        <f>IF($F1616="","",REPT("■",ROUND($F1616/5,0)))</f>
        <v/>
      </c>
      <c r="I1616" s="7" t="n"/>
      <c r="J1616" s="7" t="n"/>
      <c r="K1616" s="7" t="n"/>
      <c r="L1616" s="7" t="n"/>
      <c r="M1616" s="7" t="n"/>
      <c r="N1616" s="7" t="n"/>
      <c r="O1616" s="7" t="n"/>
      <c r="P1616" s="8" t="n"/>
    </row>
    <row r="1617">
      <c r="A1617" s="14">
        <f>IF($S$1607="","",INDEX(회차설정!$A$13:$A$27,$S$1607))</f>
        <v/>
      </c>
      <c r="B1617" s="14">
        <f>IF($S$1607="","",INDEX(회차설정!$B$13:$B$27,$S$1607))</f>
        <v/>
      </c>
      <c r="C1617" s="8" t="n"/>
      <c r="D1617" s="14">
        <f>IF($S$1607="","",IF($R$1603="언어와 매체",SUMPRODUCT((자동계산!$A$4:$A$48&gt;=INDEX(회차설정!$C$13:$C$27,$S$1607))*(자동계산!$A$4:$A$48&lt;=INDEX(회차설정!$D$13:$D$27,$S$1607))*자동계산!$E$4:$E$48),SUMPRODUCT((자동계산!$A$4:$A$48&gt;=INDEX(회차설정!$C$13:$C$27,$S$1607))*(자동계산!$A$4:$A$48&lt;=INDEX(회차설정!$D$13:$D$27,$S$1607))*자동계산!$C$4:$C$48)))</f>
        <v/>
      </c>
      <c r="E1617" s="14">
        <f>IF(OR($S$1607="",$R$1602=""),"",SUM(OFFSET(전체채점!$AW$2,$R$1602,INDEX(회차설정!$C$13:$C$27,$S$1607),1,INDEX(회차설정!$D$13:$D$27,$S$1607)-INDEX(회차설정!$C$13:$C$27,$S$1607)+1)))</f>
        <v/>
      </c>
      <c r="F1617" s="46">
        <f>IF(OR($S$1607="",$D1617=0,$D1617="",$E1617=""),"",$E1617/$D1617*100)</f>
        <v/>
      </c>
      <c r="G1617" s="8" t="n"/>
      <c r="H1617" s="47">
        <f>IF($F1617="","",REPT("■",ROUND($F1617/5,0)))</f>
        <v/>
      </c>
      <c r="I1617" s="7" t="n"/>
      <c r="J1617" s="7" t="n"/>
      <c r="K1617" s="7" t="n"/>
      <c r="L1617" s="7" t="n"/>
      <c r="M1617" s="7" t="n"/>
      <c r="N1617" s="7" t="n"/>
      <c r="O1617" s="7" t="n"/>
      <c r="P1617" s="8" t="n"/>
    </row>
    <row r="1618">
      <c r="A1618" s="14">
        <f>IF($S$1608="","",INDEX(회차설정!$A$13:$A$27,$S$1608))</f>
        <v/>
      </c>
      <c r="B1618" s="14">
        <f>IF($S$1608="","",INDEX(회차설정!$B$13:$B$27,$S$1608))</f>
        <v/>
      </c>
      <c r="C1618" s="8" t="n"/>
      <c r="D1618" s="14">
        <f>IF($S$1608="","",IF($R$1603="언어와 매체",SUMPRODUCT((자동계산!$A$4:$A$48&gt;=INDEX(회차설정!$C$13:$C$27,$S$1608))*(자동계산!$A$4:$A$48&lt;=INDEX(회차설정!$D$13:$D$27,$S$1608))*자동계산!$E$4:$E$48),SUMPRODUCT((자동계산!$A$4:$A$48&gt;=INDEX(회차설정!$C$13:$C$27,$S$1608))*(자동계산!$A$4:$A$48&lt;=INDEX(회차설정!$D$13:$D$27,$S$1608))*자동계산!$C$4:$C$48)))</f>
        <v/>
      </c>
      <c r="E1618" s="14">
        <f>IF(OR($S$1608="",$R$1602=""),"",SUM(OFFSET(전체채점!$AW$2,$R$1602,INDEX(회차설정!$C$13:$C$27,$S$1608),1,INDEX(회차설정!$D$13:$D$27,$S$1608)-INDEX(회차설정!$C$13:$C$27,$S$1608)+1)))</f>
        <v/>
      </c>
      <c r="F1618" s="46">
        <f>IF(OR($S$1608="",$D1618=0,$D1618="",$E1618=""),"",$E1618/$D1618*100)</f>
        <v/>
      </c>
      <c r="G1618" s="8" t="n"/>
      <c r="H1618" s="47">
        <f>IF($F1618="","",REPT("■",ROUND($F1618/5,0)))</f>
        <v/>
      </c>
      <c r="I1618" s="7" t="n"/>
      <c r="J1618" s="7" t="n"/>
      <c r="K1618" s="7" t="n"/>
      <c r="L1618" s="7" t="n"/>
      <c r="M1618" s="7" t="n"/>
      <c r="N1618" s="7" t="n"/>
      <c r="O1618" s="7" t="n"/>
      <c r="P1618" s="8" t="n"/>
    </row>
    <row r="1619">
      <c r="A1619" s="14">
        <f>IF($S$1609="","",INDEX(회차설정!$A$13:$A$27,$S$1609))</f>
        <v/>
      </c>
      <c r="B1619" s="14">
        <f>IF($S$1609="","",INDEX(회차설정!$B$13:$B$27,$S$1609))</f>
        <v/>
      </c>
      <c r="C1619" s="8" t="n"/>
      <c r="D1619" s="14">
        <f>IF($S$1609="","",IF($R$1603="언어와 매체",SUMPRODUCT((자동계산!$A$4:$A$48&gt;=INDEX(회차설정!$C$13:$C$27,$S$1609))*(자동계산!$A$4:$A$48&lt;=INDEX(회차설정!$D$13:$D$27,$S$1609))*자동계산!$E$4:$E$48),SUMPRODUCT((자동계산!$A$4:$A$48&gt;=INDEX(회차설정!$C$13:$C$27,$S$1609))*(자동계산!$A$4:$A$48&lt;=INDEX(회차설정!$D$13:$D$27,$S$1609))*자동계산!$C$4:$C$48)))</f>
        <v/>
      </c>
      <c r="E1619" s="14">
        <f>IF(OR($S$1609="",$R$1602=""),"",SUM(OFFSET(전체채점!$AW$2,$R$1602,INDEX(회차설정!$C$13:$C$27,$S$1609),1,INDEX(회차설정!$D$13:$D$27,$S$1609)-INDEX(회차설정!$C$13:$C$27,$S$1609)+1)))</f>
        <v/>
      </c>
      <c r="F1619" s="46">
        <f>IF(OR($S$1609="",$D1619=0,$D1619="",$E1619=""),"",$E1619/$D1619*100)</f>
        <v/>
      </c>
      <c r="G1619" s="8" t="n"/>
      <c r="H1619" s="47">
        <f>IF($F1619="","",REPT("■",ROUND($F1619/5,0)))</f>
        <v/>
      </c>
      <c r="I1619" s="7" t="n"/>
      <c r="J1619" s="7" t="n"/>
      <c r="K1619" s="7" t="n"/>
      <c r="L1619" s="7" t="n"/>
      <c r="M1619" s="7" t="n"/>
      <c r="N1619" s="7" t="n"/>
      <c r="O1619" s="7" t="n"/>
      <c r="P1619" s="8" t="n"/>
    </row>
    <row r="1620">
      <c r="A1620" s="14">
        <f>IF($S$1610="","",INDEX(회차설정!$A$13:$A$27,$S$1610))</f>
        <v/>
      </c>
      <c r="B1620" s="14">
        <f>IF($S$1610="","",INDEX(회차설정!$B$13:$B$27,$S$1610))</f>
        <v/>
      </c>
      <c r="C1620" s="8" t="n"/>
      <c r="D1620" s="14">
        <f>IF($S$1610="","",IF($R$1603="언어와 매체",SUMPRODUCT((자동계산!$A$4:$A$48&gt;=INDEX(회차설정!$C$13:$C$27,$S$1610))*(자동계산!$A$4:$A$48&lt;=INDEX(회차설정!$D$13:$D$27,$S$1610))*자동계산!$E$4:$E$48),SUMPRODUCT((자동계산!$A$4:$A$48&gt;=INDEX(회차설정!$C$13:$C$27,$S$1610))*(자동계산!$A$4:$A$48&lt;=INDEX(회차설정!$D$13:$D$27,$S$1610))*자동계산!$C$4:$C$48)))</f>
        <v/>
      </c>
      <c r="E1620" s="14">
        <f>IF(OR($S$1610="",$R$1602=""),"",SUM(OFFSET(전체채점!$AW$2,$R$1602,INDEX(회차설정!$C$13:$C$27,$S$1610),1,INDEX(회차설정!$D$13:$D$27,$S$1610)-INDEX(회차설정!$C$13:$C$27,$S$1610)+1)))</f>
        <v/>
      </c>
      <c r="F1620" s="46">
        <f>IF(OR($S$1610="",$D1620=0,$D1620="",$E1620=""),"",$E1620/$D1620*100)</f>
        <v/>
      </c>
      <c r="G1620" s="8" t="n"/>
      <c r="H1620" s="47">
        <f>IF($F1620="","",REPT("■",ROUND($F1620/5,0)))</f>
        <v/>
      </c>
      <c r="I1620" s="7" t="n"/>
      <c r="J1620" s="7" t="n"/>
      <c r="K1620" s="7" t="n"/>
      <c r="L1620" s="7" t="n"/>
      <c r="M1620" s="7" t="n"/>
      <c r="N1620" s="7" t="n"/>
      <c r="O1620" s="7" t="n"/>
      <c r="P1620" s="8" t="n"/>
    </row>
    <row r="1621">
      <c r="A1621" s="14">
        <f>IF($S$1611="","",INDEX(회차설정!$A$13:$A$27,$S$1611))</f>
        <v/>
      </c>
      <c r="B1621" s="14">
        <f>IF($S$1611="","",INDEX(회차설정!$B$13:$B$27,$S$1611))</f>
        <v/>
      </c>
      <c r="C1621" s="8" t="n"/>
      <c r="D1621" s="14">
        <f>IF($S$1611="","",IF($R$1603="언어와 매체",SUMPRODUCT((자동계산!$A$4:$A$48&gt;=INDEX(회차설정!$C$13:$C$27,$S$1611))*(자동계산!$A$4:$A$48&lt;=INDEX(회차설정!$D$13:$D$27,$S$1611))*자동계산!$E$4:$E$48),SUMPRODUCT((자동계산!$A$4:$A$48&gt;=INDEX(회차설정!$C$13:$C$27,$S$1611))*(자동계산!$A$4:$A$48&lt;=INDEX(회차설정!$D$13:$D$27,$S$1611))*자동계산!$C$4:$C$48)))</f>
        <v/>
      </c>
      <c r="E1621" s="14">
        <f>IF(OR($S$1611="",$R$1602=""),"",SUM(OFFSET(전체채점!$AW$2,$R$1602,INDEX(회차설정!$C$13:$C$27,$S$1611),1,INDEX(회차설정!$D$13:$D$27,$S$1611)-INDEX(회차설정!$C$13:$C$27,$S$1611)+1)))</f>
        <v/>
      </c>
      <c r="F1621" s="46">
        <f>IF(OR($S$1611="",$D1621=0,$D1621="",$E1621=""),"",$E1621/$D1621*100)</f>
        <v/>
      </c>
      <c r="G1621" s="8" t="n"/>
      <c r="H1621" s="47">
        <f>IF($F1621="","",REPT("■",ROUND($F1621/5,0)))</f>
        <v/>
      </c>
      <c r="I1621" s="7" t="n"/>
      <c r="J1621" s="7" t="n"/>
      <c r="K1621" s="7" t="n"/>
      <c r="L1621" s="7" t="n"/>
      <c r="M1621" s="7" t="n"/>
      <c r="N1621" s="7" t="n"/>
      <c r="O1621" s="7" t="n"/>
      <c r="P1621" s="8" t="n"/>
    </row>
    <row r="1622">
      <c r="A1622" s="14">
        <f>IF($S$1612="","",INDEX(회차설정!$A$13:$A$27,$S$1612))</f>
        <v/>
      </c>
      <c r="B1622" s="14">
        <f>IF($S$1612="","",INDEX(회차설정!$B$13:$B$27,$S$1612))</f>
        <v/>
      </c>
      <c r="C1622" s="8" t="n"/>
      <c r="D1622" s="14">
        <f>IF($S$1612="","",IF($R$1603="언어와 매체",SUMPRODUCT((자동계산!$A$4:$A$48&gt;=INDEX(회차설정!$C$13:$C$27,$S$1612))*(자동계산!$A$4:$A$48&lt;=INDEX(회차설정!$D$13:$D$27,$S$1612))*자동계산!$E$4:$E$48),SUMPRODUCT((자동계산!$A$4:$A$48&gt;=INDEX(회차설정!$C$13:$C$27,$S$1612))*(자동계산!$A$4:$A$48&lt;=INDEX(회차설정!$D$13:$D$27,$S$1612))*자동계산!$C$4:$C$48)))</f>
        <v/>
      </c>
      <c r="E1622" s="14">
        <f>IF(OR($S$1612="",$R$1602=""),"",SUM(OFFSET(전체채점!$AW$2,$R$1602,INDEX(회차설정!$C$13:$C$27,$S$1612),1,INDEX(회차설정!$D$13:$D$27,$S$1612)-INDEX(회차설정!$C$13:$C$27,$S$1612)+1)))</f>
        <v/>
      </c>
      <c r="F1622" s="46">
        <f>IF(OR($S$1612="",$D1622=0,$D1622="",$E1622=""),"",$E1622/$D1622*100)</f>
        <v/>
      </c>
      <c r="G1622" s="8" t="n"/>
      <c r="H1622" s="47">
        <f>IF($F1622="","",REPT("■",ROUND($F1622/5,0)))</f>
        <v/>
      </c>
      <c r="I1622" s="7" t="n"/>
      <c r="J1622" s="7" t="n"/>
      <c r="K1622" s="7" t="n"/>
      <c r="L1622" s="7" t="n"/>
      <c r="M1622" s="7" t="n"/>
      <c r="N1622" s="7" t="n"/>
      <c r="O1622" s="7" t="n"/>
      <c r="P1622" s="8" t="n"/>
    </row>
    <row r="1623">
      <c r="A1623" s="14">
        <f>IF($S$1613="","",INDEX(회차설정!$A$13:$A$27,$S$1613))</f>
        <v/>
      </c>
      <c r="B1623" s="14">
        <f>IF($S$1613="","",INDEX(회차설정!$B$13:$B$27,$S$1613))</f>
        <v/>
      </c>
      <c r="C1623" s="8" t="n"/>
      <c r="D1623" s="14">
        <f>IF($S$1613="","",IF($R$1603="언어와 매체",SUMPRODUCT((자동계산!$A$4:$A$48&gt;=INDEX(회차설정!$C$13:$C$27,$S$1613))*(자동계산!$A$4:$A$48&lt;=INDEX(회차설정!$D$13:$D$27,$S$1613))*자동계산!$E$4:$E$48),SUMPRODUCT((자동계산!$A$4:$A$48&gt;=INDEX(회차설정!$C$13:$C$27,$S$1613))*(자동계산!$A$4:$A$48&lt;=INDEX(회차설정!$D$13:$D$27,$S$1613))*자동계산!$C$4:$C$48)))</f>
        <v/>
      </c>
      <c r="E1623" s="14">
        <f>IF(OR($S$1613="",$R$1602=""),"",SUM(OFFSET(전체채점!$AW$2,$R$1602,INDEX(회차설정!$C$13:$C$27,$S$1613),1,INDEX(회차설정!$D$13:$D$27,$S$1613)-INDEX(회차설정!$C$13:$C$27,$S$1613)+1)))</f>
        <v/>
      </c>
      <c r="F1623" s="46">
        <f>IF(OR($S$1613="",$D1623=0,$D1623="",$E1623=""),"",$E1623/$D1623*100)</f>
        <v/>
      </c>
      <c r="G1623" s="8" t="n"/>
      <c r="H1623" s="47">
        <f>IF($F1623="","",REPT("■",ROUND($F1623/5,0)))</f>
        <v/>
      </c>
      <c r="I1623" s="7" t="n"/>
      <c r="J1623" s="7" t="n"/>
      <c r="K1623" s="7" t="n"/>
      <c r="L1623" s="7" t="n"/>
      <c r="M1623" s="7" t="n"/>
      <c r="N1623" s="7" t="n"/>
      <c r="O1623" s="7" t="n"/>
      <c r="P1623" s="8" t="n"/>
    </row>
    <row r="1624">
      <c r="A1624" s="5">
        <f>IF($R$1602="","","합계")</f>
        <v/>
      </c>
      <c r="B1624" s="7" t="n"/>
      <c r="C1624" s="8" t="n"/>
      <c r="D1624" s="5">
        <f>IF($R$1602="","",SUM(D1612:D1623))</f>
        <v/>
      </c>
      <c r="E1624" s="5">
        <f>IF($R$1602="","",SUM(E1612:E1623))</f>
        <v/>
      </c>
      <c r="F1624" s="48">
        <f>IF(OR($D1624=0,$D1624=""),"",$E1624/$D1624*100)</f>
        <v/>
      </c>
      <c r="G1624" s="8" t="n"/>
      <c r="H1624" s="49">
        <f>IF($F1624="","",REPT("■",ROUND($F1624/5,0)))</f>
        <v/>
      </c>
      <c r="I1624" s="7" t="n"/>
      <c r="J1624" s="7" t="n"/>
      <c r="K1624" s="7" t="n"/>
      <c r="L1624" s="7" t="n"/>
      <c r="M1624" s="7" t="n"/>
      <c r="N1624" s="7" t="n"/>
      <c r="O1624" s="7" t="n"/>
      <c r="P1624" s="8" t="n"/>
    </row>
    <row r="1626">
      <c r="A1626" s="12" t="inlineStr">
        <is>
          <t>4. 문항 채점표</t>
        </is>
      </c>
    </row>
    <row r="1627">
      <c r="A1627" s="50" t="inlineStr">
        <is>
          <t>문항 번호</t>
        </is>
      </c>
      <c r="B1627" s="51" t="n">
        <v>1</v>
      </c>
      <c r="C1627" s="51" t="n">
        <v>2</v>
      </c>
      <c r="D1627" s="51" t="n">
        <v>3</v>
      </c>
      <c r="E1627" s="51" t="n">
        <v>4</v>
      </c>
      <c r="F1627" s="51" t="n">
        <v>5</v>
      </c>
      <c r="G1627" s="51" t="n">
        <v>6</v>
      </c>
      <c r="H1627" s="51" t="n">
        <v>7</v>
      </c>
      <c r="I1627" s="51" t="n">
        <v>8</v>
      </c>
      <c r="J1627" s="51" t="n">
        <v>9</v>
      </c>
      <c r="K1627" s="51" t="n">
        <v>10</v>
      </c>
      <c r="L1627" s="51" t="n">
        <v>11</v>
      </c>
      <c r="M1627" s="51" t="n">
        <v>12</v>
      </c>
      <c r="N1627" s="51" t="n">
        <v>13</v>
      </c>
      <c r="O1627" s="51" t="n">
        <v>14</v>
      </c>
      <c r="P1627" s="51" t="n">
        <v>15</v>
      </c>
    </row>
    <row r="1628">
      <c r="A1628" s="52" t="inlineStr">
        <is>
          <t>정답</t>
        </is>
      </c>
      <c r="B1628" s="33">
        <f>IF($R$1603="","",IF($R$1603="언어와 매체",자동계산!$D$4,자동계산!$B$4))</f>
        <v/>
      </c>
      <c r="C1628" s="33">
        <f>IF($R$1603="","",IF($R$1603="언어와 매체",자동계산!$D$5,자동계산!$B$5))</f>
        <v/>
      </c>
      <c r="D1628" s="33">
        <f>IF($R$1603="","",IF($R$1603="언어와 매체",자동계산!$D$6,자동계산!$B$6))</f>
        <v/>
      </c>
      <c r="E1628" s="33">
        <f>IF($R$1603="","",IF($R$1603="언어와 매체",자동계산!$D$7,자동계산!$B$7))</f>
        <v/>
      </c>
      <c r="F1628" s="33">
        <f>IF($R$1603="","",IF($R$1603="언어와 매체",자동계산!$D$8,자동계산!$B$8))</f>
        <v/>
      </c>
      <c r="G1628" s="33">
        <f>IF($R$1603="","",IF($R$1603="언어와 매체",자동계산!$D$9,자동계산!$B$9))</f>
        <v/>
      </c>
      <c r="H1628" s="33">
        <f>IF($R$1603="","",IF($R$1603="언어와 매체",자동계산!$D$10,자동계산!$B$10))</f>
        <v/>
      </c>
      <c r="I1628" s="33">
        <f>IF($R$1603="","",IF($R$1603="언어와 매체",자동계산!$D$11,자동계산!$B$11))</f>
        <v/>
      </c>
      <c r="J1628" s="33">
        <f>IF($R$1603="","",IF($R$1603="언어와 매체",자동계산!$D$12,자동계산!$B$12))</f>
        <v/>
      </c>
      <c r="K1628" s="33">
        <f>IF($R$1603="","",IF($R$1603="언어와 매체",자동계산!$D$13,자동계산!$B$13))</f>
        <v/>
      </c>
      <c r="L1628" s="33">
        <f>IF($R$1603="","",IF($R$1603="언어와 매체",자동계산!$D$14,자동계산!$B$14))</f>
        <v/>
      </c>
      <c r="M1628" s="33">
        <f>IF($R$1603="","",IF($R$1603="언어와 매체",자동계산!$D$15,자동계산!$B$15))</f>
        <v/>
      </c>
      <c r="N1628" s="33">
        <f>IF($R$1603="","",IF($R$1603="언어와 매체",자동계산!$D$16,자동계산!$B$16))</f>
        <v/>
      </c>
      <c r="O1628" s="33">
        <f>IF($R$1603="","",IF($R$1603="언어와 매체",자동계산!$D$17,자동계산!$B$17))</f>
        <v/>
      </c>
      <c r="P1628" s="33">
        <f>IF($R$1603="","",IF($R$1603="언어와 매체",자동계산!$D$18,자동계산!$B$18))</f>
        <v/>
      </c>
    </row>
    <row r="1629">
      <c r="A1629" s="52" t="inlineStr">
        <is>
          <t>학생답안</t>
        </is>
      </c>
      <c r="B1629" s="33">
        <f>IF($R$1602="","",INDEX(전체채점!E$3:E$62,$R$1602))</f>
        <v/>
      </c>
      <c r="C1629" s="33">
        <f>IF($R$1602="","",INDEX(전체채점!F$3:F$62,$R$1602))</f>
        <v/>
      </c>
      <c r="D1629" s="33">
        <f>IF($R$1602="","",INDEX(전체채점!G$3:G$62,$R$1602))</f>
        <v/>
      </c>
      <c r="E1629" s="33">
        <f>IF($R$1602="","",INDEX(전체채점!H$3:H$62,$R$1602))</f>
        <v/>
      </c>
      <c r="F1629" s="33">
        <f>IF($R$1602="","",INDEX(전체채점!I$3:I$62,$R$1602))</f>
        <v/>
      </c>
      <c r="G1629" s="33">
        <f>IF($R$1602="","",INDEX(전체채점!J$3:J$62,$R$1602))</f>
        <v/>
      </c>
      <c r="H1629" s="33">
        <f>IF($R$1602="","",INDEX(전체채점!K$3:K$62,$R$1602))</f>
        <v/>
      </c>
      <c r="I1629" s="33">
        <f>IF($R$1602="","",INDEX(전체채점!L$3:L$62,$R$1602))</f>
        <v/>
      </c>
      <c r="J1629" s="33">
        <f>IF($R$1602="","",INDEX(전체채점!M$3:M$62,$R$1602))</f>
        <v/>
      </c>
      <c r="K1629" s="33">
        <f>IF($R$1602="","",INDEX(전체채점!N$3:N$62,$R$1602))</f>
        <v/>
      </c>
      <c r="L1629" s="33">
        <f>IF($R$1602="","",INDEX(전체채점!O$3:O$62,$R$1602))</f>
        <v/>
      </c>
      <c r="M1629" s="33">
        <f>IF($R$1602="","",INDEX(전체채점!P$3:P$62,$R$1602))</f>
        <v/>
      </c>
      <c r="N1629" s="33">
        <f>IF($R$1602="","",INDEX(전체채점!Q$3:Q$62,$R$1602))</f>
        <v/>
      </c>
      <c r="O1629" s="33">
        <f>IF($R$1602="","",INDEX(전체채점!R$3:R$62,$R$1602))</f>
        <v/>
      </c>
      <c r="P1629" s="33">
        <f>IF($R$1602="","",INDEX(전체채점!S$3:S$62,$R$1602))</f>
        <v/>
      </c>
    </row>
    <row r="1630">
      <c r="A1630" s="52" t="inlineStr">
        <is>
          <t>정오</t>
        </is>
      </c>
      <c r="B1630" s="33">
        <f>IF($R$1602="","",INDEX(전체채점!AX$3:AX$62,$R$1602))</f>
        <v/>
      </c>
      <c r="C1630" s="33">
        <f>IF($R$1602="","",INDEX(전체채점!AY$3:AY$62,$R$1602))</f>
        <v/>
      </c>
      <c r="D1630" s="33">
        <f>IF($R$1602="","",INDEX(전체채점!AZ$3:AZ$62,$R$1602))</f>
        <v/>
      </c>
      <c r="E1630" s="33">
        <f>IF($R$1602="","",INDEX(전체채점!BA$3:BA$62,$R$1602))</f>
        <v/>
      </c>
      <c r="F1630" s="33">
        <f>IF($R$1602="","",INDEX(전체채점!BB$3:BB$62,$R$1602))</f>
        <v/>
      </c>
      <c r="G1630" s="33">
        <f>IF($R$1602="","",INDEX(전체채점!BC$3:BC$62,$R$1602))</f>
        <v/>
      </c>
      <c r="H1630" s="33">
        <f>IF($R$1602="","",INDEX(전체채점!BD$3:BD$62,$R$1602))</f>
        <v/>
      </c>
      <c r="I1630" s="33">
        <f>IF($R$1602="","",INDEX(전체채점!BE$3:BE$62,$R$1602))</f>
        <v/>
      </c>
      <c r="J1630" s="33">
        <f>IF($R$1602="","",INDEX(전체채점!BF$3:BF$62,$R$1602))</f>
        <v/>
      </c>
      <c r="K1630" s="33">
        <f>IF($R$1602="","",INDEX(전체채점!BG$3:BG$62,$R$1602))</f>
        <v/>
      </c>
      <c r="L1630" s="33">
        <f>IF($R$1602="","",INDEX(전체채점!BH$3:BH$62,$R$1602))</f>
        <v/>
      </c>
      <c r="M1630" s="33">
        <f>IF($R$1602="","",INDEX(전체채점!BI$3:BI$62,$R$1602))</f>
        <v/>
      </c>
      <c r="N1630" s="33">
        <f>IF($R$1602="","",INDEX(전체채점!BJ$3:BJ$62,$R$1602))</f>
        <v/>
      </c>
      <c r="O1630" s="33">
        <f>IF($R$1602="","",INDEX(전체채점!BK$3:BK$62,$R$1602))</f>
        <v/>
      </c>
      <c r="P1630" s="33">
        <f>IF($R$1602="","",INDEX(전체채점!BL$3:BL$62,$R$1602))</f>
        <v/>
      </c>
    </row>
    <row r="1631">
      <c r="A1631" s="50" t="inlineStr">
        <is>
          <t>문항 번호</t>
        </is>
      </c>
      <c r="B1631" s="51" t="n">
        <v>16</v>
      </c>
      <c r="C1631" s="51" t="n">
        <v>17</v>
      </c>
      <c r="D1631" s="51" t="n">
        <v>18</v>
      </c>
      <c r="E1631" s="51" t="n">
        <v>19</v>
      </c>
      <c r="F1631" s="51" t="n">
        <v>20</v>
      </c>
      <c r="G1631" s="51" t="n">
        <v>21</v>
      </c>
      <c r="H1631" s="51" t="n">
        <v>22</v>
      </c>
      <c r="I1631" s="51" t="n">
        <v>23</v>
      </c>
      <c r="J1631" s="51" t="n">
        <v>24</v>
      </c>
      <c r="K1631" s="51" t="n">
        <v>25</v>
      </c>
      <c r="L1631" s="51" t="n">
        <v>26</v>
      </c>
      <c r="M1631" s="51" t="n">
        <v>27</v>
      </c>
      <c r="N1631" s="51" t="n">
        <v>28</v>
      </c>
      <c r="O1631" s="51" t="n">
        <v>29</v>
      </c>
      <c r="P1631" s="51" t="n">
        <v>30</v>
      </c>
    </row>
    <row r="1632">
      <c r="A1632" s="52" t="inlineStr">
        <is>
          <t>정답</t>
        </is>
      </c>
      <c r="B1632" s="33">
        <f>IF($R$1603="","",IF($R$1603="언어와 매체",자동계산!$D$19,자동계산!$B$19))</f>
        <v/>
      </c>
      <c r="C1632" s="33">
        <f>IF($R$1603="","",IF($R$1603="언어와 매체",자동계산!$D$20,자동계산!$B$20))</f>
        <v/>
      </c>
      <c r="D1632" s="33">
        <f>IF($R$1603="","",IF($R$1603="언어와 매체",자동계산!$D$21,자동계산!$B$21))</f>
        <v/>
      </c>
      <c r="E1632" s="33">
        <f>IF($R$1603="","",IF($R$1603="언어와 매체",자동계산!$D$22,자동계산!$B$22))</f>
        <v/>
      </c>
      <c r="F1632" s="33">
        <f>IF($R$1603="","",IF($R$1603="언어와 매체",자동계산!$D$23,자동계산!$B$23))</f>
        <v/>
      </c>
      <c r="G1632" s="33">
        <f>IF($R$1603="","",IF($R$1603="언어와 매체",자동계산!$D$24,자동계산!$B$24))</f>
        <v/>
      </c>
      <c r="H1632" s="33">
        <f>IF($R$1603="","",IF($R$1603="언어와 매체",자동계산!$D$25,자동계산!$B$25))</f>
        <v/>
      </c>
      <c r="I1632" s="33">
        <f>IF($R$1603="","",IF($R$1603="언어와 매체",자동계산!$D$26,자동계산!$B$26))</f>
        <v/>
      </c>
      <c r="J1632" s="33">
        <f>IF($R$1603="","",IF($R$1603="언어와 매체",자동계산!$D$27,자동계산!$B$27))</f>
        <v/>
      </c>
      <c r="K1632" s="33">
        <f>IF($R$1603="","",IF($R$1603="언어와 매체",자동계산!$D$28,자동계산!$B$28))</f>
        <v/>
      </c>
      <c r="L1632" s="33">
        <f>IF($R$1603="","",IF($R$1603="언어와 매체",자동계산!$D$29,자동계산!$B$29))</f>
        <v/>
      </c>
      <c r="M1632" s="33">
        <f>IF($R$1603="","",IF($R$1603="언어와 매체",자동계산!$D$30,자동계산!$B$30))</f>
        <v/>
      </c>
      <c r="N1632" s="33">
        <f>IF($R$1603="","",IF($R$1603="언어와 매체",자동계산!$D$31,자동계산!$B$31))</f>
        <v/>
      </c>
      <c r="O1632" s="33">
        <f>IF($R$1603="","",IF($R$1603="언어와 매체",자동계산!$D$32,자동계산!$B$32))</f>
        <v/>
      </c>
      <c r="P1632" s="33">
        <f>IF($R$1603="","",IF($R$1603="언어와 매체",자동계산!$D$33,자동계산!$B$33))</f>
        <v/>
      </c>
    </row>
    <row r="1633">
      <c r="A1633" s="52" t="inlineStr">
        <is>
          <t>학생답안</t>
        </is>
      </c>
      <c r="B1633" s="33">
        <f>IF($R$1602="","",INDEX(전체채점!T$3:T$62,$R$1602))</f>
        <v/>
      </c>
      <c r="C1633" s="33">
        <f>IF($R$1602="","",INDEX(전체채점!U$3:U$62,$R$1602))</f>
        <v/>
      </c>
      <c r="D1633" s="33">
        <f>IF($R$1602="","",INDEX(전체채점!V$3:V$62,$R$1602))</f>
        <v/>
      </c>
      <c r="E1633" s="33">
        <f>IF($R$1602="","",INDEX(전체채점!W$3:W$62,$R$1602))</f>
        <v/>
      </c>
      <c r="F1633" s="33">
        <f>IF($R$1602="","",INDEX(전체채점!X$3:X$62,$R$1602))</f>
        <v/>
      </c>
      <c r="G1633" s="33">
        <f>IF($R$1602="","",INDEX(전체채점!Y$3:Y$62,$R$1602))</f>
        <v/>
      </c>
      <c r="H1633" s="33">
        <f>IF($R$1602="","",INDEX(전체채점!Z$3:Z$62,$R$1602))</f>
        <v/>
      </c>
      <c r="I1633" s="33">
        <f>IF($R$1602="","",INDEX(전체채점!AA$3:AA$62,$R$1602))</f>
        <v/>
      </c>
      <c r="J1633" s="33">
        <f>IF($R$1602="","",INDEX(전체채점!AB$3:AB$62,$R$1602))</f>
        <v/>
      </c>
      <c r="K1633" s="33">
        <f>IF($R$1602="","",INDEX(전체채점!AC$3:AC$62,$R$1602))</f>
        <v/>
      </c>
      <c r="L1633" s="33">
        <f>IF($R$1602="","",INDEX(전체채점!AD$3:AD$62,$R$1602))</f>
        <v/>
      </c>
      <c r="M1633" s="33">
        <f>IF($R$1602="","",INDEX(전체채점!AE$3:AE$62,$R$1602))</f>
        <v/>
      </c>
      <c r="N1633" s="33">
        <f>IF($R$1602="","",INDEX(전체채점!AF$3:AF$62,$R$1602))</f>
        <v/>
      </c>
      <c r="O1633" s="33">
        <f>IF($R$1602="","",INDEX(전체채점!AG$3:AG$62,$R$1602))</f>
        <v/>
      </c>
      <c r="P1633" s="33">
        <f>IF($R$1602="","",INDEX(전체채점!AH$3:AH$62,$R$1602))</f>
        <v/>
      </c>
    </row>
    <row r="1634">
      <c r="A1634" s="52" t="inlineStr">
        <is>
          <t>정오</t>
        </is>
      </c>
      <c r="B1634" s="33">
        <f>IF($R$1602="","",INDEX(전체채점!BM$3:BM$62,$R$1602))</f>
        <v/>
      </c>
      <c r="C1634" s="33">
        <f>IF($R$1602="","",INDEX(전체채점!BN$3:BN$62,$R$1602))</f>
        <v/>
      </c>
      <c r="D1634" s="33">
        <f>IF($R$1602="","",INDEX(전체채점!BO$3:BO$62,$R$1602))</f>
        <v/>
      </c>
      <c r="E1634" s="33">
        <f>IF($R$1602="","",INDEX(전체채점!BP$3:BP$62,$R$1602))</f>
        <v/>
      </c>
      <c r="F1634" s="33">
        <f>IF($R$1602="","",INDEX(전체채점!BQ$3:BQ$62,$R$1602))</f>
        <v/>
      </c>
      <c r="G1634" s="33">
        <f>IF($R$1602="","",INDEX(전체채점!BR$3:BR$62,$R$1602))</f>
        <v/>
      </c>
      <c r="H1634" s="33">
        <f>IF($R$1602="","",INDEX(전체채점!BS$3:BS$62,$R$1602))</f>
        <v/>
      </c>
      <c r="I1634" s="33">
        <f>IF($R$1602="","",INDEX(전체채점!BT$3:BT$62,$R$1602))</f>
        <v/>
      </c>
      <c r="J1634" s="33">
        <f>IF($R$1602="","",INDEX(전체채점!BU$3:BU$62,$R$1602))</f>
        <v/>
      </c>
      <c r="K1634" s="33">
        <f>IF($R$1602="","",INDEX(전체채점!BV$3:BV$62,$R$1602))</f>
        <v/>
      </c>
      <c r="L1634" s="33">
        <f>IF($R$1602="","",INDEX(전체채점!BW$3:BW$62,$R$1602))</f>
        <v/>
      </c>
      <c r="M1634" s="33">
        <f>IF($R$1602="","",INDEX(전체채점!BX$3:BX$62,$R$1602))</f>
        <v/>
      </c>
      <c r="N1634" s="33">
        <f>IF($R$1602="","",INDEX(전체채점!BY$3:BY$62,$R$1602))</f>
        <v/>
      </c>
      <c r="O1634" s="33">
        <f>IF($R$1602="","",INDEX(전체채점!BZ$3:BZ$62,$R$1602))</f>
        <v/>
      </c>
      <c r="P1634" s="33">
        <f>IF($R$1602="","",INDEX(전체채점!CA$3:CA$62,$R$1602))</f>
        <v/>
      </c>
    </row>
    <row r="1635">
      <c r="A1635" s="50" t="inlineStr">
        <is>
          <t>문항 번호</t>
        </is>
      </c>
      <c r="B1635" s="51" t="n">
        <v>31</v>
      </c>
      <c r="C1635" s="51" t="n">
        <v>32</v>
      </c>
      <c r="D1635" s="51" t="n">
        <v>33</v>
      </c>
      <c r="E1635" s="51" t="n">
        <v>34</v>
      </c>
      <c r="F1635" s="51" t="n">
        <v>35</v>
      </c>
      <c r="G1635" s="51" t="n">
        <v>36</v>
      </c>
      <c r="H1635" s="51" t="n">
        <v>37</v>
      </c>
      <c r="I1635" s="51" t="n">
        <v>38</v>
      </c>
      <c r="J1635" s="51" t="n">
        <v>39</v>
      </c>
      <c r="K1635" s="51" t="n">
        <v>40</v>
      </c>
      <c r="L1635" s="51" t="n">
        <v>41</v>
      </c>
      <c r="M1635" s="51" t="n">
        <v>42</v>
      </c>
      <c r="N1635" s="51" t="n">
        <v>43</v>
      </c>
      <c r="O1635" s="51" t="n">
        <v>44</v>
      </c>
      <c r="P1635" s="51" t="n">
        <v>45</v>
      </c>
    </row>
    <row r="1636">
      <c r="A1636" s="52" t="inlineStr">
        <is>
          <t>정답</t>
        </is>
      </c>
      <c r="B1636" s="33">
        <f>IF($R$1603="","",IF($R$1603="언어와 매체",자동계산!$D$34,자동계산!$B$34))</f>
        <v/>
      </c>
      <c r="C1636" s="33">
        <f>IF($R$1603="","",IF($R$1603="언어와 매체",자동계산!$D$35,자동계산!$B$35))</f>
        <v/>
      </c>
      <c r="D1636" s="33">
        <f>IF($R$1603="","",IF($R$1603="언어와 매체",자동계산!$D$36,자동계산!$B$36))</f>
        <v/>
      </c>
      <c r="E1636" s="33">
        <f>IF($R$1603="","",IF($R$1603="언어와 매체",자동계산!$D$37,자동계산!$B$37))</f>
        <v/>
      </c>
      <c r="F1636" s="33">
        <f>IF($R$1603="","",IF($R$1603="언어와 매체",자동계산!$D$38,자동계산!$B$38))</f>
        <v/>
      </c>
      <c r="G1636" s="33">
        <f>IF($R$1603="","",IF($R$1603="언어와 매체",자동계산!$D$39,자동계산!$B$39))</f>
        <v/>
      </c>
      <c r="H1636" s="33">
        <f>IF($R$1603="","",IF($R$1603="언어와 매체",자동계산!$D$40,자동계산!$B$40))</f>
        <v/>
      </c>
      <c r="I1636" s="33">
        <f>IF($R$1603="","",IF($R$1603="언어와 매체",자동계산!$D$41,자동계산!$B$41))</f>
        <v/>
      </c>
      <c r="J1636" s="33">
        <f>IF($R$1603="","",IF($R$1603="언어와 매체",자동계산!$D$42,자동계산!$B$42))</f>
        <v/>
      </c>
      <c r="K1636" s="33">
        <f>IF($R$1603="","",IF($R$1603="언어와 매체",자동계산!$D$43,자동계산!$B$43))</f>
        <v/>
      </c>
      <c r="L1636" s="33">
        <f>IF($R$1603="","",IF($R$1603="언어와 매체",자동계산!$D$44,자동계산!$B$44))</f>
        <v/>
      </c>
      <c r="M1636" s="33">
        <f>IF($R$1603="","",IF($R$1603="언어와 매체",자동계산!$D$45,자동계산!$B$45))</f>
        <v/>
      </c>
      <c r="N1636" s="33">
        <f>IF($R$1603="","",IF($R$1603="언어와 매체",자동계산!$D$46,자동계산!$B$46))</f>
        <v/>
      </c>
      <c r="O1636" s="33">
        <f>IF($R$1603="","",IF($R$1603="언어와 매체",자동계산!$D$47,자동계산!$B$47))</f>
        <v/>
      </c>
      <c r="P1636" s="33">
        <f>IF($R$1603="","",IF($R$1603="언어와 매체",자동계산!$D$48,자동계산!$B$48))</f>
        <v/>
      </c>
    </row>
    <row r="1637">
      <c r="A1637" s="52" t="inlineStr">
        <is>
          <t>학생답안</t>
        </is>
      </c>
      <c r="B1637" s="33">
        <f>IF($R$1602="","",INDEX(전체채점!AI$3:AI$62,$R$1602))</f>
        <v/>
      </c>
      <c r="C1637" s="33">
        <f>IF($R$1602="","",INDEX(전체채점!AJ$3:AJ$62,$R$1602))</f>
        <v/>
      </c>
      <c r="D1637" s="33">
        <f>IF($R$1602="","",INDEX(전체채점!AK$3:AK$62,$R$1602))</f>
        <v/>
      </c>
      <c r="E1637" s="33">
        <f>IF($R$1602="","",INDEX(전체채점!AL$3:AL$62,$R$1602))</f>
        <v/>
      </c>
      <c r="F1637" s="33">
        <f>IF($R$1602="","",INDEX(전체채점!AM$3:AM$62,$R$1602))</f>
        <v/>
      </c>
      <c r="G1637" s="33">
        <f>IF($R$1602="","",INDEX(전체채점!AN$3:AN$62,$R$1602))</f>
        <v/>
      </c>
      <c r="H1637" s="33">
        <f>IF($R$1602="","",INDEX(전체채점!AO$3:AO$62,$R$1602))</f>
        <v/>
      </c>
      <c r="I1637" s="33">
        <f>IF($R$1602="","",INDEX(전체채점!AP$3:AP$62,$R$1602))</f>
        <v/>
      </c>
      <c r="J1637" s="33">
        <f>IF($R$1602="","",INDEX(전체채점!AQ$3:AQ$62,$R$1602))</f>
        <v/>
      </c>
      <c r="K1637" s="33">
        <f>IF($R$1602="","",INDEX(전체채점!AR$3:AR$62,$R$1602))</f>
        <v/>
      </c>
      <c r="L1637" s="33">
        <f>IF($R$1602="","",INDEX(전체채점!AS$3:AS$62,$R$1602))</f>
        <v/>
      </c>
      <c r="M1637" s="33">
        <f>IF($R$1602="","",INDEX(전체채점!AT$3:AT$62,$R$1602))</f>
        <v/>
      </c>
      <c r="N1637" s="33">
        <f>IF($R$1602="","",INDEX(전체채점!AU$3:AU$62,$R$1602))</f>
        <v/>
      </c>
      <c r="O1637" s="33">
        <f>IF($R$1602="","",INDEX(전체채점!AV$3:AV$62,$R$1602))</f>
        <v/>
      </c>
      <c r="P1637" s="33">
        <f>IF($R$1602="","",INDEX(전체채점!AW$3:AW$62,$R$1602))</f>
        <v/>
      </c>
    </row>
    <row r="1638">
      <c r="A1638" s="52" t="inlineStr">
        <is>
          <t>정오</t>
        </is>
      </c>
      <c r="B1638" s="33">
        <f>IF($R$1602="","",INDEX(전체채점!CB$3:CB$62,$R$1602))</f>
        <v/>
      </c>
      <c r="C1638" s="33">
        <f>IF($R$1602="","",INDEX(전체채점!CC$3:CC$62,$R$1602))</f>
        <v/>
      </c>
      <c r="D1638" s="33">
        <f>IF($R$1602="","",INDEX(전체채점!CD$3:CD$62,$R$1602))</f>
        <v/>
      </c>
      <c r="E1638" s="33">
        <f>IF($R$1602="","",INDEX(전체채점!CE$3:CE$62,$R$1602))</f>
        <v/>
      </c>
      <c r="F1638" s="33">
        <f>IF($R$1602="","",INDEX(전체채점!CF$3:CF$62,$R$1602))</f>
        <v/>
      </c>
      <c r="G1638" s="33">
        <f>IF($R$1602="","",INDEX(전체채점!CG$3:CG$62,$R$1602))</f>
        <v/>
      </c>
      <c r="H1638" s="33">
        <f>IF($R$1602="","",INDEX(전체채점!CH$3:CH$62,$R$1602))</f>
        <v/>
      </c>
      <c r="I1638" s="33">
        <f>IF($R$1602="","",INDEX(전체채점!CI$3:CI$62,$R$1602))</f>
        <v/>
      </c>
      <c r="J1638" s="33">
        <f>IF($R$1602="","",INDEX(전체채점!CJ$3:CJ$62,$R$1602))</f>
        <v/>
      </c>
      <c r="K1638" s="33">
        <f>IF($R$1602="","",INDEX(전체채점!CK$3:CK$62,$R$1602))</f>
        <v/>
      </c>
      <c r="L1638" s="33">
        <f>IF($R$1602="","",INDEX(전체채점!CL$3:CL$62,$R$1602))</f>
        <v/>
      </c>
      <c r="M1638" s="33">
        <f>IF($R$1602="","",INDEX(전체채점!CM$3:CM$62,$R$1602))</f>
        <v/>
      </c>
      <c r="N1638" s="33">
        <f>IF($R$1602="","",INDEX(전체채점!CN$3:CN$62,$R$1602))</f>
        <v/>
      </c>
      <c r="O1638" s="33">
        <f>IF($R$1602="","",INDEX(전체채점!CO$3:CO$62,$R$1602))</f>
        <v/>
      </c>
      <c r="P1638" s="33">
        <f>IF($R$1602="","",INDEX(전체채점!CP$3:CP$62,$R$1602))</f>
        <v/>
      </c>
    </row>
    <row r="1641" ht="34" customHeight="1">
      <c r="A1641" s="36">
        <f>IF($R$1643="","",회차설정!$B$2&amp;" 성적표")</f>
        <v/>
      </c>
    </row>
    <row r="1643">
      <c r="A1643" s="12" t="inlineStr">
        <is>
          <t>1. 학생정보</t>
        </is>
      </c>
      <c r="R1643" s="37">
        <f>IF(답안입력!$A$43="","",41)</f>
        <v/>
      </c>
      <c r="S1643" s="37">
        <f>IF($R$1644="","",IFERROR(IF($R$1644="언어와 매체",MATCH(1,회차설정!$G$13:$G$27,0),MATCH(1,회차설정!$F$13:$F$27,0)),""))</f>
        <v/>
      </c>
    </row>
    <row r="1644">
      <c r="A1644" s="13" t="inlineStr">
        <is>
          <t>성명</t>
        </is>
      </c>
      <c r="B1644" s="7" t="n"/>
      <c r="C1644" s="8" t="n"/>
      <c r="D1644" s="13" t="inlineStr">
        <is>
          <t>선택과목</t>
        </is>
      </c>
      <c r="E1644" s="7" t="n"/>
      <c r="F1644" s="7" t="n"/>
      <c r="G1644" s="8" t="n"/>
      <c r="H1644" s="13" t="inlineStr">
        <is>
          <t>학년</t>
        </is>
      </c>
      <c r="I1644" s="7" t="n"/>
      <c r="J1644" s="7" t="n"/>
      <c r="K1644" s="8" t="n"/>
      <c r="L1644" s="13" t="inlineStr">
        <is>
          <t>시행일</t>
        </is>
      </c>
      <c r="M1644" s="7" t="n"/>
      <c r="N1644" s="7" t="n"/>
      <c r="O1644" s="7" t="n"/>
      <c r="P1644" s="8" t="n"/>
      <c r="R1644" s="37">
        <f>IF($R$1643="","",INDEX(전체채점!$B$3:$B$62,$R$1643))</f>
        <v/>
      </c>
      <c r="S1644" s="37">
        <f>IF($R$1644="","",IFERROR(IF($R$1644="언어와 매체",MATCH(2,회차설정!$G$13:$G$27,0),MATCH(2,회차설정!$F$13:$F$27,0)),""))</f>
        <v/>
      </c>
    </row>
    <row r="1645" ht="26" customHeight="1">
      <c r="A1645" s="39">
        <f>IF($R$1643="","",INDEX(답안입력!$A$3:$A$62,$R$1643))</f>
        <v/>
      </c>
      <c r="B1645" s="7" t="n"/>
      <c r="C1645" s="8" t="n"/>
      <c r="D1645" s="39">
        <f>IF($R$1643="","",INDEX(답안입력!$C$3:$C$62,$R$1643))</f>
        <v/>
      </c>
      <c r="E1645" s="7" t="n"/>
      <c r="F1645" s="7" t="n"/>
      <c r="G1645" s="8" t="n"/>
      <c r="H1645" s="39">
        <f>IF($R$1643="","",INDEX(답안입력!$B$3:$B$62,$R$1643))</f>
        <v/>
      </c>
      <c r="I1645" s="7" t="n"/>
      <c r="J1645" s="7" t="n"/>
      <c r="K1645" s="8" t="n"/>
      <c r="L1645" s="40">
        <f>회차설정!$B$3</f>
        <v/>
      </c>
      <c r="M1645" s="7" t="n"/>
      <c r="N1645" s="7" t="n"/>
      <c r="O1645" s="7" t="n"/>
      <c r="P1645" s="8" t="n"/>
      <c r="R1645" s="37">
        <f>IF($R$1644="언어와 매체",회차설정!$B$9,회차설정!$B$8)</f>
        <v/>
      </c>
      <c r="S1645" s="37">
        <f>IF($R$1644="","",IFERROR(IF($R$1644="언어와 매체",MATCH(3,회차설정!$G$13:$G$27,0),MATCH(3,회차설정!$F$13:$F$27,0)),""))</f>
        <v/>
      </c>
    </row>
    <row r="1646">
      <c r="R1646" s="37">
        <f>IF($R$1644="언어와 매체",회차설정!$C$9,회차설정!$C$8)</f>
        <v/>
      </c>
      <c r="S1646" s="37">
        <f>IF($R$1644="","",IFERROR(IF($R$1644="언어와 매체",MATCH(4,회차설정!$G$13:$G$27,0),MATCH(4,회차설정!$F$13:$F$27,0)),""))</f>
        <v/>
      </c>
    </row>
    <row r="1647">
      <c r="A1647" s="12" t="inlineStr">
        <is>
          <t>2. 성적</t>
        </is>
      </c>
      <c r="R1647" s="37">
        <f>IF($R$1644="언어와 매체",회차설정!$D$9,회차설정!$D$8)</f>
        <v/>
      </c>
      <c r="S1647" s="37">
        <f>IF($R$1644="","",IFERROR(IF($R$1644="언어와 매체",MATCH(5,회차설정!$G$13:$G$27,0),MATCH(5,회차설정!$F$13:$F$27,0)),""))</f>
        <v/>
      </c>
    </row>
    <row r="1648">
      <c r="A1648" s="13" t="inlineStr">
        <is>
          <t>점수 (100점 만점)</t>
        </is>
      </c>
      <c r="B1648" s="7" t="n"/>
      <c r="C1648" s="7" t="n"/>
      <c r="D1648" s="7" t="n"/>
      <c r="E1648" s="8" t="n"/>
      <c r="F1648" s="13" t="inlineStr">
        <is>
          <t>등급</t>
        </is>
      </c>
      <c r="G1648" s="7" t="n"/>
      <c r="H1648" s="8" t="n"/>
      <c r="I1648" s="13" t="inlineStr">
        <is>
          <t>등급컷</t>
        </is>
      </c>
      <c r="J1648" s="7" t="n"/>
      <c r="K1648" s="7" t="n"/>
      <c r="L1648" s="8" t="n"/>
      <c r="M1648" s="13" t="inlineStr">
        <is>
          <t>같은 선택과목 평균</t>
        </is>
      </c>
      <c r="N1648" s="7" t="n"/>
      <c r="O1648" s="7" t="n"/>
      <c r="P1648" s="8" t="n"/>
      <c r="R1648" s="37">
        <f>IF($R$1644="언어와 매체",회차설정!$E$9,회차설정!$E$8)</f>
        <v/>
      </c>
      <c r="S1648" s="37">
        <f>IF($R$1644="","",IFERROR(IF($R$1644="언어와 매체",MATCH(6,회차설정!$G$13:$G$27,0),MATCH(6,회차설정!$F$13:$F$27,0)),""))</f>
        <v/>
      </c>
    </row>
    <row r="1649" ht="34" customHeight="1">
      <c r="A1649" s="41">
        <f>IF($R$1643="","",INDEX(전체채점!$C$3:$C$62,$R$1643))</f>
        <v/>
      </c>
      <c r="B1649" s="7" t="n"/>
      <c r="C1649" s="7" t="n"/>
      <c r="D1649" s="7" t="n"/>
      <c r="E1649" s="8" t="n"/>
      <c r="F1649" s="42">
        <f>IF($R$1643="","",INDEX(전체채점!$D$3:$D$62,$R$1643))</f>
        <v/>
      </c>
      <c r="G1649" s="7" t="n"/>
      <c r="H1649" s="8" t="n"/>
      <c r="I1649" s="43">
        <f>IF($R$1643="","",$R$1645&amp;"-"&amp;$R$1646&amp;"-"&amp;$R$1647&amp;"-"&amp;$R$1648)</f>
        <v/>
      </c>
      <c r="J1649" s="7" t="n"/>
      <c r="K1649" s="7" t="n"/>
      <c r="L1649" s="8" t="n"/>
      <c r="M1649" s="44">
        <f>IFERROR(AVERAGEIF(전체채점!$B$3:$B$62,$R$1644,전체채점!$C$3:$C$62),"")</f>
        <v/>
      </c>
      <c r="N1649" s="7" t="n"/>
      <c r="O1649" s="7" t="n"/>
      <c r="P1649" s="8" t="n"/>
      <c r="S1649" s="37">
        <f>IF($R$1644="","",IFERROR(IF($R$1644="언어와 매체",MATCH(7,회차설정!$G$13:$G$27,0),MATCH(7,회차설정!$F$13:$F$27,0)),""))</f>
        <v/>
      </c>
    </row>
    <row r="1650">
      <c r="S1650" s="37">
        <f>IF($R$1644="","",IFERROR(IF($R$1644="언어와 매체",MATCH(8,회차설정!$G$13:$G$27,0),MATCH(8,회차설정!$F$13:$F$27,0)),""))</f>
        <v/>
      </c>
    </row>
    <row r="1651">
      <c r="A1651" s="12" t="inlineStr">
        <is>
          <t>3. 영역분류별 성취도 분석</t>
        </is>
      </c>
      <c r="F1651" s="45">
        <f>IF(OR($R$1643="",$E1665=""),"",IF($E1665=INDEX(전체채점!$C$3:$C$62,$R$1643),"","※ 회차설정의 영역 표를 확인하세요 — 영역 합계와 점수가 다릅니다"))</f>
        <v/>
      </c>
      <c r="S1651" s="37">
        <f>IF($R$1644="","",IFERROR(IF($R$1644="언어와 매체",MATCH(9,회차설정!$G$13:$G$27,0),MATCH(9,회차설정!$F$13:$F$27,0)),""))</f>
        <v/>
      </c>
    </row>
    <row r="1652">
      <c r="A1652" s="13" t="inlineStr">
        <is>
          <t>분류</t>
        </is>
      </c>
      <c r="B1652" s="13" t="inlineStr">
        <is>
          <t>영역</t>
        </is>
      </c>
      <c r="C1652" s="8" t="n"/>
      <c r="D1652" s="13" t="inlineStr">
        <is>
          <t>배점</t>
        </is>
      </c>
      <c r="E1652" s="13" t="inlineStr">
        <is>
          <t>득점</t>
        </is>
      </c>
      <c r="F1652" s="13" t="inlineStr">
        <is>
          <t>성취도(%)</t>
        </is>
      </c>
      <c r="G1652" s="8" t="n"/>
      <c r="H1652" s="13" t="inlineStr"/>
      <c r="I1652" s="7" t="n"/>
      <c r="J1652" s="7" t="n"/>
      <c r="K1652" s="7" t="n"/>
      <c r="L1652" s="7" t="n"/>
      <c r="M1652" s="7" t="n"/>
      <c r="N1652" s="7" t="n"/>
      <c r="O1652" s="7" t="n"/>
      <c r="P1652" s="8" t="n"/>
      <c r="S1652" s="37">
        <f>IF($R$1644="","",IFERROR(IF($R$1644="언어와 매체",MATCH(10,회차설정!$G$13:$G$27,0),MATCH(10,회차설정!$F$13:$F$27,0)),""))</f>
        <v/>
      </c>
    </row>
    <row r="1653">
      <c r="A1653" s="14">
        <f>IF($S$1643="","",INDEX(회차설정!$A$13:$A$27,$S$1643))</f>
        <v/>
      </c>
      <c r="B1653" s="14">
        <f>IF($S$1643="","",INDEX(회차설정!$B$13:$B$27,$S$1643))</f>
        <v/>
      </c>
      <c r="C1653" s="8" t="n"/>
      <c r="D1653" s="14">
        <f>IF($S$1643="","",IF($R$1644="언어와 매체",SUMPRODUCT((자동계산!$A$4:$A$48&gt;=INDEX(회차설정!$C$13:$C$27,$S$1643))*(자동계산!$A$4:$A$48&lt;=INDEX(회차설정!$D$13:$D$27,$S$1643))*자동계산!$E$4:$E$48),SUMPRODUCT((자동계산!$A$4:$A$48&gt;=INDEX(회차설정!$C$13:$C$27,$S$1643))*(자동계산!$A$4:$A$48&lt;=INDEX(회차설정!$D$13:$D$27,$S$1643))*자동계산!$C$4:$C$48)))</f>
        <v/>
      </c>
      <c r="E1653" s="14">
        <f>IF(OR($S$1643="",$R$1643=""),"",SUM(OFFSET(전체채점!$AW$2,$R$1643,INDEX(회차설정!$C$13:$C$27,$S$1643),1,INDEX(회차설정!$D$13:$D$27,$S$1643)-INDEX(회차설정!$C$13:$C$27,$S$1643)+1)))</f>
        <v/>
      </c>
      <c r="F1653" s="46">
        <f>IF(OR($S$1643="",$D1653=0,$D1653="",$E1653=""),"",$E1653/$D1653*100)</f>
        <v/>
      </c>
      <c r="G1653" s="8" t="n"/>
      <c r="H1653" s="47">
        <f>IF($F1653="","",REPT("■",ROUND($F1653/5,0)))</f>
        <v/>
      </c>
      <c r="I1653" s="7" t="n"/>
      <c r="J1653" s="7" t="n"/>
      <c r="K1653" s="7" t="n"/>
      <c r="L1653" s="7" t="n"/>
      <c r="M1653" s="7" t="n"/>
      <c r="N1653" s="7" t="n"/>
      <c r="O1653" s="7" t="n"/>
      <c r="P1653" s="8" t="n"/>
      <c r="S1653" s="37">
        <f>IF($R$1644="","",IFERROR(IF($R$1644="언어와 매체",MATCH(11,회차설정!$G$13:$G$27,0),MATCH(11,회차설정!$F$13:$F$27,0)),""))</f>
        <v/>
      </c>
    </row>
    <row r="1654">
      <c r="A1654" s="14">
        <f>IF($S$1644="","",INDEX(회차설정!$A$13:$A$27,$S$1644))</f>
        <v/>
      </c>
      <c r="B1654" s="14">
        <f>IF($S$1644="","",INDEX(회차설정!$B$13:$B$27,$S$1644))</f>
        <v/>
      </c>
      <c r="C1654" s="8" t="n"/>
      <c r="D1654" s="14">
        <f>IF($S$1644="","",IF($R$1644="언어와 매체",SUMPRODUCT((자동계산!$A$4:$A$48&gt;=INDEX(회차설정!$C$13:$C$27,$S$1644))*(자동계산!$A$4:$A$48&lt;=INDEX(회차설정!$D$13:$D$27,$S$1644))*자동계산!$E$4:$E$48),SUMPRODUCT((자동계산!$A$4:$A$48&gt;=INDEX(회차설정!$C$13:$C$27,$S$1644))*(자동계산!$A$4:$A$48&lt;=INDEX(회차설정!$D$13:$D$27,$S$1644))*자동계산!$C$4:$C$48)))</f>
        <v/>
      </c>
      <c r="E1654" s="14">
        <f>IF(OR($S$1644="",$R$1643=""),"",SUM(OFFSET(전체채점!$AW$2,$R$1643,INDEX(회차설정!$C$13:$C$27,$S$1644),1,INDEX(회차설정!$D$13:$D$27,$S$1644)-INDEX(회차설정!$C$13:$C$27,$S$1644)+1)))</f>
        <v/>
      </c>
      <c r="F1654" s="46">
        <f>IF(OR($S$1644="",$D1654=0,$D1654="",$E1654=""),"",$E1654/$D1654*100)</f>
        <v/>
      </c>
      <c r="G1654" s="8" t="n"/>
      <c r="H1654" s="47">
        <f>IF($F1654="","",REPT("■",ROUND($F1654/5,0)))</f>
        <v/>
      </c>
      <c r="I1654" s="7" t="n"/>
      <c r="J1654" s="7" t="n"/>
      <c r="K1654" s="7" t="n"/>
      <c r="L1654" s="7" t="n"/>
      <c r="M1654" s="7" t="n"/>
      <c r="N1654" s="7" t="n"/>
      <c r="O1654" s="7" t="n"/>
      <c r="P1654" s="8" t="n"/>
      <c r="S1654" s="37">
        <f>IF($R$1644="","",IFERROR(IF($R$1644="언어와 매체",MATCH(12,회차설정!$G$13:$G$27,0),MATCH(12,회차설정!$F$13:$F$27,0)),""))</f>
        <v/>
      </c>
    </row>
    <row r="1655">
      <c r="A1655" s="14">
        <f>IF($S$1645="","",INDEX(회차설정!$A$13:$A$27,$S$1645))</f>
        <v/>
      </c>
      <c r="B1655" s="14">
        <f>IF($S$1645="","",INDEX(회차설정!$B$13:$B$27,$S$1645))</f>
        <v/>
      </c>
      <c r="C1655" s="8" t="n"/>
      <c r="D1655" s="14">
        <f>IF($S$1645="","",IF($R$1644="언어와 매체",SUMPRODUCT((자동계산!$A$4:$A$48&gt;=INDEX(회차설정!$C$13:$C$27,$S$1645))*(자동계산!$A$4:$A$48&lt;=INDEX(회차설정!$D$13:$D$27,$S$1645))*자동계산!$E$4:$E$48),SUMPRODUCT((자동계산!$A$4:$A$48&gt;=INDEX(회차설정!$C$13:$C$27,$S$1645))*(자동계산!$A$4:$A$48&lt;=INDEX(회차설정!$D$13:$D$27,$S$1645))*자동계산!$C$4:$C$48)))</f>
        <v/>
      </c>
      <c r="E1655" s="14">
        <f>IF(OR($S$1645="",$R$1643=""),"",SUM(OFFSET(전체채점!$AW$2,$R$1643,INDEX(회차설정!$C$13:$C$27,$S$1645),1,INDEX(회차설정!$D$13:$D$27,$S$1645)-INDEX(회차설정!$C$13:$C$27,$S$1645)+1)))</f>
        <v/>
      </c>
      <c r="F1655" s="46">
        <f>IF(OR($S$1645="",$D1655=0,$D1655="",$E1655=""),"",$E1655/$D1655*100)</f>
        <v/>
      </c>
      <c r="G1655" s="8" t="n"/>
      <c r="H1655" s="47">
        <f>IF($F1655="","",REPT("■",ROUND($F1655/5,0)))</f>
        <v/>
      </c>
      <c r="I1655" s="7" t="n"/>
      <c r="J1655" s="7" t="n"/>
      <c r="K1655" s="7" t="n"/>
      <c r="L1655" s="7" t="n"/>
      <c r="M1655" s="7" t="n"/>
      <c r="N1655" s="7" t="n"/>
      <c r="O1655" s="7" t="n"/>
      <c r="P1655" s="8" t="n"/>
    </row>
    <row r="1656">
      <c r="A1656" s="14">
        <f>IF($S$1646="","",INDEX(회차설정!$A$13:$A$27,$S$1646))</f>
        <v/>
      </c>
      <c r="B1656" s="14">
        <f>IF($S$1646="","",INDEX(회차설정!$B$13:$B$27,$S$1646))</f>
        <v/>
      </c>
      <c r="C1656" s="8" t="n"/>
      <c r="D1656" s="14">
        <f>IF($S$1646="","",IF($R$1644="언어와 매체",SUMPRODUCT((자동계산!$A$4:$A$48&gt;=INDEX(회차설정!$C$13:$C$27,$S$1646))*(자동계산!$A$4:$A$48&lt;=INDEX(회차설정!$D$13:$D$27,$S$1646))*자동계산!$E$4:$E$48),SUMPRODUCT((자동계산!$A$4:$A$48&gt;=INDEX(회차설정!$C$13:$C$27,$S$1646))*(자동계산!$A$4:$A$48&lt;=INDEX(회차설정!$D$13:$D$27,$S$1646))*자동계산!$C$4:$C$48)))</f>
        <v/>
      </c>
      <c r="E1656" s="14">
        <f>IF(OR($S$1646="",$R$1643=""),"",SUM(OFFSET(전체채점!$AW$2,$R$1643,INDEX(회차설정!$C$13:$C$27,$S$1646),1,INDEX(회차설정!$D$13:$D$27,$S$1646)-INDEX(회차설정!$C$13:$C$27,$S$1646)+1)))</f>
        <v/>
      </c>
      <c r="F1656" s="46">
        <f>IF(OR($S$1646="",$D1656=0,$D1656="",$E1656=""),"",$E1656/$D1656*100)</f>
        <v/>
      </c>
      <c r="G1656" s="8" t="n"/>
      <c r="H1656" s="47">
        <f>IF($F1656="","",REPT("■",ROUND($F1656/5,0)))</f>
        <v/>
      </c>
      <c r="I1656" s="7" t="n"/>
      <c r="J1656" s="7" t="n"/>
      <c r="K1656" s="7" t="n"/>
      <c r="L1656" s="7" t="n"/>
      <c r="M1656" s="7" t="n"/>
      <c r="N1656" s="7" t="n"/>
      <c r="O1656" s="7" t="n"/>
      <c r="P1656" s="8" t="n"/>
    </row>
    <row r="1657">
      <c r="A1657" s="14">
        <f>IF($S$1647="","",INDEX(회차설정!$A$13:$A$27,$S$1647))</f>
        <v/>
      </c>
      <c r="B1657" s="14">
        <f>IF($S$1647="","",INDEX(회차설정!$B$13:$B$27,$S$1647))</f>
        <v/>
      </c>
      <c r="C1657" s="8" t="n"/>
      <c r="D1657" s="14">
        <f>IF($S$1647="","",IF($R$1644="언어와 매체",SUMPRODUCT((자동계산!$A$4:$A$48&gt;=INDEX(회차설정!$C$13:$C$27,$S$1647))*(자동계산!$A$4:$A$48&lt;=INDEX(회차설정!$D$13:$D$27,$S$1647))*자동계산!$E$4:$E$48),SUMPRODUCT((자동계산!$A$4:$A$48&gt;=INDEX(회차설정!$C$13:$C$27,$S$1647))*(자동계산!$A$4:$A$48&lt;=INDEX(회차설정!$D$13:$D$27,$S$1647))*자동계산!$C$4:$C$48)))</f>
        <v/>
      </c>
      <c r="E1657" s="14">
        <f>IF(OR($S$1647="",$R$1643=""),"",SUM(OFFSET(전체채점!$AW$2,$R$1643,INDEX(회차설정!$C$13:$C$27,$S$1647),1,INDEX(회차설정!$D$13:$D$27,$S$1647)-INDEX(회차설정!$C$13:$C$27,$S$1647)+1)))</f>
        <v/>
      </c>
      <c r="F1657" s="46">
        <f>IF(OR($S$1647="",$D1657=0,$D1657="",$E1657=""),"",$E1657/$D1657*100)</f>
        <v/>
      </c>
      <c r="G1657" s="8" t="n"/>
      <c r="H1657" s="47">
        <f>IF($F1657="","",REPT("■",ROUND($F1657/5,0)))</f>
        <v/>
      </c>
      <c r="I1657" s="7" t="n"/>
      <c r="J1657" s="7" t="n"/>
      <c r="K1657" s="7" t="n"/>
      <c r="L1657" s="7" t="n"/>
      <c r="M1657" s="7" t="n"/>
      <c r="N1657" s="7" t="n"/>
      <c r="O1657" s="7" t="n"/>
      <c r="P1657" s="8" t="n"/>
    </row>
    <row r="1658">
      <c r="A1658" s="14">
        <f>IF($S$1648="","",INDEX(회차설정!$A$13:$A$27,$S$1648))</f>
        <v/>
      </c>
      <c r="B1658" s="14">
        <f>IF($S$1648="","",INDEX(회차설정!$B$13:$B$27,$S$1648))</f>
        <v/>
      </c>
      <c r="C1658" s="8" t="n"/>
      <c r="D1658" s="14">
        <f>IF($S$1648="","",IF($R$1644="언어와 매체",SUMPRODUCT((자동계산!$A$4:$A$48&gt;=INDEX(회차설정!$C$13:$C$27,$S$1648))*(자동계산!$A$4:$A$48&lt;=INDEX(회차설정!$D$13:$D$27,$S$1648))*자동계산!$E$4:$E$48),SUMPRODUCT((자동계산!$A$4:$A$48&gt;=INDEX(회차설정!$C$13:$C$27,$S$1648))*(자동계산!$A$4:$A$48&lt;=INDEX(회차설정!$D$13:$D$27,$S$1648))*자동계산!$C$4:$C$48)))</f>
        <v/>
      </c>
      <c r="E1658" s="14">
        <f>IF(OR($S$1648="",$R$1643=""),"",SUM(OFFSET(전체채점!$AW$2,$R$1643,INDEX(회차설정!$C$13:$C$27,$S$1648),1,INDEX(회차설정!$D$13:$D$27,$S$1648)-INDEX(회차설정!$C$13:$C$27,$S$1648)+1)))</f>
        <v/>
      </c>
      <c r="F1658" s="46">
        <f>IF(OR($S$1648="",$D1658=0,$D1658="",$E1658=""),"",$E1658/$D1658*100)</f>
        <v/>
      </c>
      <c r="G1658" s="8" t="n"/>
      <c r="H1658" s="47">
        <f>IF($F1658="","",REPT("■",ROUND($F1658/5,0)))</f>
        <v/>
      </c>
      <c r="I1658" s="7" t="n"/>
      <c r="J1658" s="7" t="n"/>
      <c r="K1658" s="7" t="n"/>
      <c r="L1658" s="7" t="n"/>
      <c r="M1658" s="7" t="n"/>
      <c r="N1658" s="7" t="n"/>
      <c r="O1658" s="7" t="n"/>
      <c r="P1658" s="8" t="n"/>
    </row>
    <row r="1659">
      <c r="A1659" s="14">
        <f>IF($S$1649="","",INDEX(회차설정!$A$13:$A$27,$S$1649))</f>
        <v/>
      </c>
      <c r="B1659" s="14">
        <f>IF($S$1649="","",INDEX(회차설정!$B$13:$B$27,$S$1649))</f>
        <v/>
      </c>
      <c r="C1659" s="8" t="n"/>
      <c r="D1659" s="14">
        <f>IF($S$1649="","",IF($R$1644="언어와 매체",SUMPRODUCT((자동계산!$A$4:$A$48&gt;=INDEX(회차설정!$C$13:$C$27,$S$1649))*(자동계산!$A$4:$A$48&lt;=INDEX(회차설정!$D$13:$D$27,$S$1649))*자동계산!$E$4:$E$48),SUMPRODUCT((자동계산!$A$4:$A$48&gt;=INDEX(회차설정!$C$13:$C$27,$S$1649))*(자동계산!$A$4:$A$48&lt;=INDEX(회차설정!$D$13:$D$27,$S$1649))*자동계산!$C$4:$C$48)))</f>
        <v/>
      </c>
      <c r="E1659" s="14">
        <f>IF(OR($S$1649="",$R$1643=""),"",SUM(OFFSET(전체채점!$AW$2,$R$1643,INDEX(회차설정!$C$13:$C$27,$S$1649),1,INDEX(회차설정!$D$13:$D$27,$S$1649)-INDEX(회차설정!$C$13:$C$27,$S$1649)+1)))</f>
        <v/>
      </c>
      <c r="F1659" s="46">
        <f>IF(OR($S$1649="",$D1659=0,$D1659="",$E1659=""),"",$E1659/$D1659*100)</f>
        <v/>
      </c>
      <c r="G1659" s="8" t="n"/>
      <c r="H1659" s="47">
        <f>IF($F1659="","",REPT("■",ROUND($F1659/5,0)))</f>
        <v/>
      </c>
      <c r="I1659" s="7" t="n"/>
      <c r="J1659" s="7" t="n"/>
      <c r="K1659" s="7" t="n"/>
      <c r="L1659" s="7" t="n"/>
      <c r="M1659" s="7" t="n"/>
      <c r="N1659" s="7" t="n"/>
      <c r="O1659" s="7" t="n"/>
      <c r="P1659" s="8" t="n"/>
    </row>
    <row r="1660">
      <c r="A1660" s="14">
        <f>IF($S$1650="","",INDEX(회차설정!$A$13:$A$27,$S$1650))</f>
        <v/>
      </c>
      <c r="B1660" s="14">
        <f>IF($S$1650="","",INDEX(회차설정!$B$13:$B$27,$S$1650))</f>
        <v/>
      </c>
      <c r="C1660" s="8" t="n"/>
      <c r="D1660" s="14">
        <f>IF($S$1650="","",IF($R$1644="언어와 매체",SUMPRODUCT((자동계산!$A$4:$A$48&gt;=INDEX(회차설정!$C$13:$C$27,$S$1650))*(자동계산!$A$4:$A$48&lt;=INDEX(회차설정!$D$13:$D$27,$S$1650))*자동계산!$E$4:$E$48),SUMPRODUCT((자동계산!$A$4:$A$48&gt;=INDEX(회차설정!$C$13:$C$27,$S$1650))*(자동계산!$A$4:$A$48&lt;=INDEX(회차설정!$D$13:$D$27,$S$1650))*자동계산!$C$4:$C$48)))</f>
        <v/>
      </c>
      <c r="E1660" s="14">
        <f>IF(OR($S$1650="",$R$1643=""),"",SUM(OFFSET(전체채점!$AW$2,$R$1643,INDEX(회차설정!$C$13:$C$27,$S$1650),1,INDEX(회차설정!$D$13:$D$27,$S$1650)-INDEX(회차설정!$C$13:$C$27,$S$1650)+1)))</f>
        <v/>
      </c>
      <c r="F1660" s="46">
        <f>IF(OR($S$1650="",$D1660=0,$D1660="",$E1660=""),"",$E1660/$D1660*100)</f>
        <v/>
      </c>
      <c r="G1660" s="8" t="n"/>
      <c r="H1660" s="47">
        <f>IF($F1660="","",REPT("■",ROUND($F1660/5,0)))</f>
        <v/>
      </c>
      <c r="I1660" s="7" t="n"/>
      <c r="J1660" s="7" t="n"/>
      <c r="K1660" s="7" t="n"/>
      <c r="L1660" s="7" t="n"/>
      <c r="M1660" s="7" t="n"/>
      <c r="N1660" s="7" t="n"/>
      <c r="O1660" s="7" t="n"/>
      <c r="P1660" s="8" t="n"/>
    </row>
    <row r="1661">
      <c r="A1661" s="14">
        <f>IF($S$1651="","",INDEX(회차설정!$A$13:$A$27,$S$1651))</f>
        <v/>
      </c>
      <c r="B1661" s="14">
        <f>IF($S$1651="","",INDEX(회차설정!$B$13:$B$27,$S$1651))</f>
        <v/>
      </c>
      <c r="C1661" s="8" t="n"/>
      <c r="D1661" s="14">
        <f>IF($S$1651="","",IF($R$1644="언어와 매체",SUMPRODUCT((자동계산!$A$4:$A$48&gt;=INDEX(회차설정!$C$13:$C$27,$S$1651))*(자동계산!$A$4:$A$48&lt;=INDEX(회차설정!$D$13:$D$27,$S$1651))*자동계산!$E$4:$E$48),SUMPRODUCT((자동계산!$A$4:$A$48&gt;=INDEX(회차설정!$C$13:$C$27,$S$1651))*(자동계산!$A$4:$A$48&lt;=INDEX(회차설정!$D$13:$D$27,$S$1651))*자동계산!$C$4:$C$48)))</f>
        <v/>
      </c>
      <c r="E1661" s="14">
        <f>IF(OR($S$1651="",$R$1643=""),"",SUM(OFFSET(전체채점!$AW$2,$R$1643,INDEX(회차설정!$C$13:$C$27,$S$1651),1,INDEX(회차설정!$D$13:$D$27,$S$1651)-INDEX(회차설정!$C$13:$C$27,$S$1651)+1)))</f>
        <v/>
      </c>
      <c r="F1661" s="46">
        <f>IF(OR($S$1651="",$D1661=0,$D1661="",$E1661=""),"",$E1661/$D1661*100)</f>
        <v/>
      </c>
      <c r="G1661" s="8" t="n"/>
      <c r="H1661" s="47">
        <f>IF($F1661="","",REPT("■",ROUND($F1661/5,0)))</f>
        <v/>
      </c>
      <c r="I1661" s="7" t="n"/>
      <c r="J1661" s="7" t="n"/>
      <c r="K1661" s="7" t="n"/>
      <c r="L1661" s="7" t="n"/>
      <c r="M1661" s="7" t="n"/>
      <c r="N1661" s="7" t="n"/>
      <c r="O1661" s="7" t="n"/>
      <c r="P1661" s="8" t="n"/>
    </row>
    <row r="1662">
      <c r="A1662" s="14">
        <f>IF($S$1652="","",INDEX(회차설정!$A$13:$A$27,$S$1652))</f>
        <v/>
      </c>
      <c r="B1662" s="14">
        <f>IF($S$1652="","",INDEX(회차설정!$B$13:$B$27,$S$1652))</f>
        <v/>
      </c>
      <c r="C1662" s="8" t="n"/>
      <c r="D1662" s="14">
        <f>IF($S$1652="","",IF($R$1644="언어와 매체",SUMPRODUCT((자동계산!$A$4:$A$48&gt;=INDEX(회차설정!$C$13:$C$27,$S$1652))*(자동계산!$A$4:$A$48&lt;=INDEX(회차설정!$D$13:$D$27,$S$1652))*자동계산!$E$4:$E$48),SUMPRODUCT((자동계산!$A$4:$A$48&gt;=INDEX(회차설정!$C$13:$C$27,$S$1652))*(자동계산!$A$4:$A$48&lt;=INDEX(회차설정!$D$13:$D$27,$S$1652))*자동계산!$C$4:$C$48)))</f>
        <v/>
      </c>
      <c r="E1662" s="14">
        <f>IF(OR($S$1652="",$R$1643=""),"",SUM(OFFSET(전체채점!$AW$2,$R$1643,INDEX(회차설정!$C$13:$C$27,$S$1652),1,INDEX(회차설정!$D$13:$D$27,$S$1652)-INDEX(회차설정!$C$13:$C$27,$S$1652)+1)))</f>
        <v/>
      </c>
      <c r="F1662" s="46">
        <f>IF(OR($S$1652="",$D1662=0,$D1662="",$E1662=""),"",$E1662/$D1662*100)</f>
        <v/>
      </c>
      <c r="G1662" s="8" t="n"/>
      <c r="H1662" s="47">
        <f>IF($F1662="","",REPT("■",ROUND($F1662/5,0)))</f>
        <v/>
      </c>
      <c r="I1662" s="7" t="n"/>
      <c r="J1662" s="7" t="n"/>
      <c r="K1662" s="7" t="n"/>
      <c r="L1662" s="7" t="n"/>
      <c r="M1662" s="7" t="n"/>
      <c r="N1662" s="7" t="n"/>
      <c r="O1662" s="7" t="n"/>
      <c r="P1662" s="8" t="n"/>
    </row>
    <row r="1663">
      <c r="A1663" s="14">
        <f>IF($S$1653="","",INDEX(회차설정!$A$13:$A$27,$S$1653))</f>
        <v/>
      </c>
      <c r="B1663" s="14">
        <f>IF($S$1653="","",INDEX(회차설정!$B$13:$B$27,$S$1653))</f>
        <v/>
      </c>
      <c r="C1663" s="8" t="n"/>
      <c r="D1663" s="14">
        <f>IF($S$1653="","",IF($R$1644="언어와 매체",SUMPRODUCT((자동계산!$A$4:$A$48&gt;=INDEX(회차설정!$C$13:$C$27,$S$1653))*(자동계산!$A$4:$A$48&lt;=INDEX(회차설정!$D$13:$D$27,$S$1653))*자동계산!$E$4:$E$48),SUMPRODUCT((자동계산!$A$4:$A$48&gt;=INDEX(회차설정!$C$13:$C$27,$S$1653))*(자동계산!$A$4:$A$48&lt;=INDEX(회차설정!$D$13:$D$27,$S$1653))*자동계산!$C$4:$C$48)))</f>
        <v/>
      </c>
      <c r="E1663" s="14">
        <f>IF(OR($S$1653="",$R$1643=""),"",SUM(OFFSET(전체채점!$AW$2,$R$1643,INDEX(회차설정!$C$13:$C$27,$S$1653),1,INDEX(회차설정!$D$13:$D$27,$S$1653)-INDEX(회차설정!$C$13:$C$27,$S$1653)+1)))</f>
        <v/>
      </c>
      <c r="F1663" s="46">
        <f>IF(OR($S$1653="",$D1663=0,$D1663="",$E1663=""),"",$E1663/$D1663*100)</f>
        <v/>
      </c>
      <c r="G1663" s="8" t="n"/>
      <c r="H1663" s="47">
        <f>IF($F1663="","",REPT("■",ROUND($F1663/5,0)))</f>
        <v/>
      </c>
      <c r="I1663" s="7" t="n"/>
      <c r="J1663" s="7" t="n"/>
      <c r="K1663" s="7" t="n"/>
      <c r="L1663" s="7" t="n"/>
      <c r="M1663" s="7" t="n"/>
      <c r="N1663" s="7" t="n"/>
      <c r="O1663" s="7" t="n"/>
      <c r="P1663" s="8" t="n"/>
    </row>
    <row r="1664">
      <c r="A1664" s="14">
        <f>IF($S$1654="","",INDEX(회차설정!$A$13:$A$27,$S$1654))</f>
        <v/>
      </c>
      <c r="B1664" s="14">
        <f>IF($S$1654="","",INDEX(회차설정!$B$13:$B$27,$S$1654))</f>
        <v/>
      </c>
      <c r="C1664" s="8" t="n"/>
      <c r="D1664" s="14">
        <f>IF($S$1654="","",IF($R$1644="언어와 매체",SUMPRODUCT((자동계산!$A$4:$A$48&gt;=INDEX(회차설정!$C$13:$C$27,$S$1654))*(자동계산!$A$4:$A$48&lt;=INDEX(회차설정!$D$13:$D$27,$S$1654))*자동계산!$E$4:$E$48),SUMPRODUCT((자동계산!$A$4:$A$48&gt;=INDEX(회차설정!$C$13:$C$27,$S$1654))*(자동계산!$A$4:$A$48&lt;=INDEX(회차설정!$D$13:$D$27,$S$1654))*자동계산!$C$4:$C$48)))</f>
        <v/>
      </c>
      <c r="E1664" s="14">
        <f>IF(OR($S$1654="",$R$1643=""),"",SUM(OFFSET(전체채점!$AW$2,$R$1643,INDEX(회차설정!$C$13:$C$27,$S$1654),1,INDEX(회차설정!$D$13:$D$27,$S$1654)-INDEX(회차설정!$C$13:$C$27,$S$1654)+1)))</f>
        <v/>
      </c>
      <c r="F1664" s="46">
        <f>IF(OR($S$1654="",$D1664=0,$D1664="",$E1664=""),"",$E1664/$D1664*100)</f>
        <v/>
      </c>
      <c r="G1664" s="8" t="n"/>
      <c r="H1664" s="47">
        <f>IF($F1664="","",REPT("■",ROUND($F1664/5,0)))</f>
        <v/>
      </c>
      <c r="I1664" s="7" t="n"/>
      <c r="J1664" s="7" t="n"/>
      <c r="K1664" s="7" t="n"/>
      <c r="L1664" s="7" t="n"/>
      <c r="M1664" s="7" t="n"/>
      <c r="N1664" s="7" t="n"/>
      <c r="O1664" s="7" t="n"/>
      <c r="P1664" s="8" t="n"/>
    </row>
    <row r="1665">
      <c r="A1665" s="5">
        <f>IF($R$1643="","","합계")</f>
        <v/>
      </c>
      <c r="B1665" s="7" t="n"/>
      <c r="C1665" s="8" t="n"/>
      <c r="D1665" s="5">
        <f>IF($R$1643="","",SUM(D1653:D1664))</f>
        <v/>
      </c>
      <c r="E1665" s="5">
        <f>IF($R$1643="","",SUM(E1653:E1664))</f>
        <v/>
      </c>
      <c r="F1665" s="48">
        <f>IF(OR($D1665=0,$D1665=""),"",$E1665/$D1665*100)</f>
        <v/>
      </c>
      <c r="G1665" s="8" t="n"/>
      <c r="H1665" s="49">
        <f>IF($F1665="","",REPT("■",ROUND($F1665/5,0)))</f>
        <v/>
      </c>
      <c r="I1665" s="7" t="n"/>
      <c r="J1665" s="7" t="n"/>
      <c r="K1665" s="7" t="n"/>
      <c r="L1665" s="7" t="n"/>
      <c r="M1665" s="7" t="n"/>
      <c r="N1665" s="7" t="n"/>
      <c r="O1665" s="7" t="n"/>
      <c r="P1665" s="8" t="n"/>
    </row>
    <row r="1667">
      <c r="A1667" s="12" t="inlineStr">
        <is>
          <t>4. 문항 채점표</t>
        </is>
      </c>
    </row>
    <row r="1668">
      <c r="A1668" s="50" t="inlineStr">
        <is>
          <t>문항 번호</t>
        </is>
      </c>
      <c r="B1668" s="51" t="n">
        <v>1</v>
      </c>
      <c r="C1668" s="51" t="n">
        <v>2</v>
      </c>
      <c r="D1668" s="51" t="n">
        <v>3</v>
      </c>
      <c r="E1668" s="51" t="n">
        <v>4</v>
      </c>
      <c r="F1668" s="51" t="n">
        <v>5</v>
      </c>
      <c r="G1668" s="51" t="n">
        <v>6</v>
      </c>
      <c r="H1668" s="51" t="n">
        <v>7</v>
      </c>
      <c r="I1668" s="51" t="n">
        <v>8</v>
      </c>
      <c r="J1668" s="51" t="n">
        <v>9</v>
      </c>
      <c r="K1668" s="51" t="n">
        <v>10</v>
      </c>
      <c r="L1668" s="51" t="n">
        <v>11</v>
      </c>
      <c r="M1668" s="51" t="n">
        <v>12</v>
      </c>
      <c r="N1668" s="51" t="n">
        <v>13</v>
      </c>
      <c r="O1668" s="51" t="n">
        <v>14</v>
      </c>
      <c r="P1668" s="51" t="n">
        <v>15</v>
      </c>
    </row>
    <row r="1669">
      <c r="A1669" s="52" t="inlineStr">
        <is>
          <t>정답</t>
        </is>
      </c>
      <c r="B1669" s="33">
        <f>IF($R$1644="","",IF($R$1644="언어와 매체",자동계산!$D$4,자동계산!$B$4))</f>
        <v/>
      </c>
      <c r="C1669" s="33">
        <f>IF($R$1644="","",IF($R$1644="언어와 매체",자동계산!$D$5,자동계산!$B$5))</f>
        <v/>
      </c>
      <c r="D1669" s="33">
        <f>IF($R$1644="","",IF($R$1644="언어와 매체",자동계산!$D$6,자동계산!$B$6))</f>
        <v/>
      </c>
      <c r="E1669" s="33">
        <f>IF($R$1644="","",IF($R$1644="언어와 매체",자동계산!$D$7,자동계산!$B$7))</f>
        <v/>
      </c>
      <c r="F1669" s="33">
        <f>IF($R$1644="","",IF($R$1644="언어와 매체",자동계산!$D$8,자동계산!$B$8))</f>
        <v/>
      </c>
      <c r="G1669" s="33">
        <f>IF($R$1644="","",IF($R$1644="언어와 매체",자동계산!$D$9,자동계산!$B$9))</f>
        <v/>
      </c>
      <c r="H1669" s="33">
        <f>IF($R$1644="","",IF($R$1644="언어와 매체",자동계산!$D$10,자동계산!$B$10))</f>
        <v/>
      </c>
      <c r="I1669" s="33">
        <f>IF($R$1644="","",IF($R$1644="언어와 매체",자동계산!$D$11,자동계산!$B$11))</f>
        <v/>
      </c>
      <c r="J1669" s="33">
        <f>IF($R$1644="","",IF($R$1644="언어와 매체",자동계산!$D$12,자동계산!$B$12))</f>
        <v/>
      </c>
      <c r="K1669" s="33">
        <f>IF($R$1644="","",IF($R$1644="언어와 매체",자동계산!$D$13,자동계산!$B$13))</f>
        <v/>
      </c>
      <c r="L1669" s="33">
        <f>IF($R$1644="","",IF($R$1644="언어와 매체",자동계산!$D$14,자동계산!$B$14))</f>
        <v/>
      </c>
      <c r="M1669" s="33">
        <f>IF($R$1644="","",IF($R$1644="언어와 매체",자동계산!$D$15,자동계산!$B$15))</f>
        <v/>
      </c>
      <c r="N1669" s="33">
        <f>IF($R$1644="","",IF($R$1644="언어와 매체",자동계산!$D$16,자동계산!$B$16))</f>
        <v/>
      </c>
      <c r="O1669" s="33">
        <f>IF($R$1644="","",IF($R$1644="언어와 매체",자동계산!$D$17,자동계산!$B$17))</f>
        <v/>
      </c>
      <c r="P1669" s="33">
        <f>IF($R$1644="","",IF($R$1644="언어와 매체",자동계산!$D$18,자동계산!$B$18))</f>
        <v/>
      </c>
    </row>
    <row r="1670">
      <c r="A1670" s="52" t="inlineStr">
        <is>
          <t>학생답안</t>
        </is>
      </c>
      <c r="B1670" s="33">
        <f>IF($R$1643="","",INDEX(전체채점!E$3:E$62,$R$1643))</f>
        <v/>
      </c>
      <c r="C1670" s="33">
        <f>IF($R$1643="","",INDEX(전체채점!F$3:F$62,$R$1643))</f>
        <v/>
      </c>
      <c r="D1670" s="33">
        <f>IF($R$1643="","",INDEX(전체채점!G$3:G$62,$R$1643))</f>
        <v/>
      </c>
      <c r="E1670" s="33">
        <f>IF($R$1643="","",INDEX(전체채점!H$3:H$62,$R$1643))</f>
        <v/>
      </c>
      <c r="F1670" s="33">
        <f>IF($R$1643="","",INDEX(전체채점!I$3:I$62,$R$1643))</f>
        <v/>
      </c>
      <c r="G1670" s="33">
        <f>IF($R$1643="","",INDEX(전체채점!J$3:J$62,$R$1643))</f>
        <v/>
      </c>
      <c r="H1670" s="33">
        <f>IF($R$1643="","",INDEX(전체채점!K$3:K$62,$R$1643))</f>
        <v/>
      </c>
      <c r="I1670" s="33">
        <f>IF($R$1643="","",INDEX(전체채점!L$3:L$62,$R$1643))</f>
        <v/>
      </c>
      <c r="J1670" s="33">
        <f>IF($R$1643="","",INDEX(전체채점!M$3:M$62,$R$1643))</f>
        <v/>
      </c>
      <c r="K1670" s="33">
        <f>IF($R$1643="","",INDEX(전체채점!N$3:N$62,$R$1643))</f>
        <v/>
      </c>
      <c r="L1670" s="33">
        <f>IF($R$1643="","",INDEX(전체채점!O$3:O$62,$R$1643))</f>
        <v/>
      </c>
      <c r="M1670" s="33">
        <f>IF($R$1643="","",INDEX(전체채점!P$3:P$62,$R$1643))</f>
        <v/>
      </c>
      <c r="N1670" s="33">
        <f>IF($R$1643="","",INDEX(전체채점!Q$3:Q$62,$R$1643))</f>
        <v/>
      </c>
      <c r="O1670" s="33">
        <f>IF($R$1643="","",INDEX(전체채점!R$3:R$62,$R$1643))</f>
        <v/>
      </c>
      <c r="P1670" s="33">
        <f>IF($R$1643="","",INDEX(전체채점!S$3:S$62,$R$1643))</f>
        <v/>
      </c>
    </row>
    <row r="1671">
      <c r="A1671" s="52" t="inlineStr">
        <is>
          <t>정오</t>
        </is>
      </c>
      <c r="B1671" s="33">
        <f>IF($R$1643="","",INDEX(전체채점!AX$3:AX$62,$R$1643))</f>
        <v/>
      </c>
      <c r="C1671" s="33">
        <f>IF($R$1643="","",INDEX(전체채점!AY$3:AY$62,$R$1643))</f>
        <v/>
      </c>
      <c r="D1671" s="33">
        <f>IF($R$1643="","",INDEX(전체채점!AZ$3:AZ$62,$R$1643))</f>
        <v/>
      </c>
      <c r="E1671" s="33">
        <f>IF($R$1643="","",INDEX(전체채점!BA$3:BA$62,$R$1643))</f>
        <v/>
      </c>
      <c r="F1671" s="33">
        <f>IF($R$1643="","",INDEX(전체채점!BB$3:BB$62,$R$1643))</f>
        <v/>
      </c>
      <c r="G1671" s="33">
        <f>IF($R$1643="","",INDEX(전체채점!BC$3:BC$62,$R$1643))</f>
        <v/>
      </c>
      <c r="H1671" s="33">
        <f>IF($R$1643="","",INDEX(전체채점!BD$3:BD$62,$R$1643))</f>
        <v/>
      </c>
      <c r="I1671" s="33">
        <f>IF($R$1643="","",INDEX(전체채점!BE$3:BE$62,$R$1643))</f>
        <v/>
      </c>
      <c r="J1671" s="33">
        <f>IF($R$1643="","",INDEX(전체채점!BF$3:BF$62,$R$1643))</f>
        <v/>
      </c>
      <c r="K1671" s="33">
        <f>IF($R$1643="","",INDEX(전체채점!BG$3:BG$62,$R$1643))</f>
        <v/>
      </c>
      <c r="L1671" s="33">
        <f>IF($R$1643="","",INDEX(전체채점!BH$3:BH$62,$R$1643))</f>
        <v/>
      </c>
      <c r="M1671" s="33">
        <f>IF($R$1643="","",INDEX(전체채점!BI$3:BI$62,$R$1643))</f>
        <v/>
      </c>
      <c r="N1671" s="33">
        <f>IF($R$1643="","",INDEX(전체채점!BJ$3:BJ$62,$R$1643))</f>
        <v/>
      </c>
      <c r="O1671" s="33">
        <f>IF($R$1643="","",INDEX(전체채점!BK$3:BK$62,$R$1643))</f>
        <v/>
      </c>
      <c r="P1671" s="33">
        <f>IF($R$1643="","",INDEX(전체채점!BL$3:BL$62,$R$1643))</f>
        <v/>
      </c>
    </row>
    <row r="1672">
      <c r="A1672" s="50" t="inlineStr">
        <is>
          <t>문항 번호</t>
        </is>
      </c>
      <c r="B1672" s="51" t="n">
        <v>16</v>
      </c>
      <c r="C1672" s="51" t="n">
        <v>17</v>
      </c>
      <c r="D1672" s="51" t="n">
        <v>18</v>
      </c>
      <c r="E1672" s="51" t="n">
        <v>19</v>
      </c>
      <c r="F1672" s="51" t="n">
        <v>20</v>
      </c>
      <c r="G1672" s="51" t="n">
        <v>21</v>
      </c>
      <c r="H1672" s="51" t="n">
        <v>22</v>
      </c>
      <c r="I1672" s="51" t="n">
        <v>23</v>
      </c>
      <c r="J1672" s="51" t="n">
        <v>24</v>
      </c>
      <c r="K1672" s="51" t="n">
        <v>25</v>
      </c>
      <c r="L1672" s="51" t="n">
        <v>26</v>
      </c>
      <c r="M1672" s="51" t="n">
        <v>27</v>
      </c>
      <c r="N1672" s="51" t="n">
        <v>28</v>
      </c>
      <c r="O1672" s="51" t="n">
        <v>29</v>
      </c>
      <c r="P1672" s="51" t="n">
        <v>30</v>
      </c>
    </row>
    <row r="1673">
      <c r="A1673" s="52" t="inlineStr">
        <is>
          <t>정답</t>
        </is>
      </c>
      <c r="B1673" s="33">
        <f>IF($R$1644="","",IF($R$1644="언어와 매체",자동계산!$D$19,자동계산!$B$19))</f>
        <v/>
      </c>
      <c r="C1673" s="33">
        <f>IF($R$1644="","",IF($R$1644="언어와 매체",자동계산!$D$20,자동계산!$B$20))</f>
        <v/>
      </c>
      <c r="D1673" s="33">
        <f>IF($R$1644="","",IF($R$1644="언어와 매체",자동계산!$D$21,자동계산!$B$21))</f>
        <v/>
      </c>
      <c r="E1673" s="33">
        <f>IF($R$1644="","",IF($R$1644="언어와 매체",자동계산!$D$22,자동계산!$B$22))</f>
        <v/>
      </c>
      <c r="F1673" s="33">
        <f>IF($R$1644="","",IF($R$1644="언어와 매체",자동계산!$D$23,자동계산!$B$23))</f>
        <v/>
      </c>
      <c r="G1673" s="33">
        <f>IF($R$1644="","",IF($R$1644="언어와 매체",자동계산!$D$24,자동계산!$B$24))</f>
        <v/>
      </c>
      <c r="H1673" s="33">
        <f>IF($R$1644="","",IF($R$1644="언어와 매체",자동계산!$D$25,자동계산!$B$25))</f>
        <v/>
      </c>
      <c r="I1673" s="33">
        <f>IF($R$1644="","",IF($R$1644="언어와 매체",자동계산!$D$26,자동계산!$B$26))</f>
        <v/>
      </c>
      <c r="J1673" s="33">
        <f>IF($R$1644="","",IF($R$1644="언어와 매체",자동계산!$D$27,자동계산!$B$27))</f>
        <v/>
      </c>
      <c r="K1673" s="33">
        <f>IF($R$1644="","",IF($R$1644="언어와 매체",자동계산!$D$28,자동계산!$B$28))</f>
        <v/>
      </c>
      <c r="L1673" s="33">
        <f>IF($R$1644="","",IF($R$1644="언어와 매체",자동계산!$D$29,자동계산!$B$29))</f>
        <v/>
      </c>
      <c r="M1673" s="33">
        <f>IF($R$1644="","",IF($R$1644="언어와 매체",자동계산!$D$30,자동계산!$B$30))</f>
        <v/>
      </c>
      <c r="N1673" s="33">
        <f>IF($R$1644="","",IF($R$1644="언어와 매체",자동계산!$D$31,자동계산!$B$31))</f>
        <v/>
      </c>
      <c r="O1673" s="33">
        <f>IF($R$1644="","",IF($R$1644="언어와 매체",자동계산!$D$32,자동계산!$B$32))</f>
        <v/>
      </c>
      <c r="P1673" s="33">
        <f>IF($R$1644="","",IF($R$1644="언어와 매체",자동계산!$D$33,자동계산!$B$33))</f>
        <v/>
      </c>
    </row>
    <row r="1674">
      <c r="A1674" s="52" t="inlineStr">
        <is>
          <t>학생답안</t>
        </is>
      </c>
      <c r="B1674" s="33">
        <f>IF($R$1643="","",INDEX(전체채점!T$3:T$62,$R$1643))</f>
        <v/>
      </c>
      <c r="C1674" s="33">
        <f>IF($R$1643="","",INDEX(전체채점!U$3:U$62,$R$1643))</f>
        <v/>
      </c>
      <c r="D1674" s="33">
        <f>IF($R$1643="","",INDEX(전체채점!V$3:V$62,$R$1643))</f>
        <v/>
      </c>
      <c r="E1674" s="33">
        <f>IF($R$1643="","",INDEX(전체채점!W$3:W$62,$R$1643))</f>
        <v/>
      </c>
      <c r="F1674" s="33">
        <f>IF($R$1643="","",INDEX(전체채점!X$3:X$62,$R$1643))</f>
        <v/>
      </c>
      <c r="G1674" s="33">
        <f>IF($R$1643="","",INDEX(전체채점!Y$3:Y$62,$R$1643))</f>
        <v/>
      </c>
      <c r="H1674" s="33">
        <f>IF($R$1643="","",INDEX(전체채점!Z$3:Z$62,$R$1643))</f>
        <v/>
      </c>
      <c r="I1674" s="33">
        <f>IF($R$1643="","",INDEX(전체채점!AA$3:AA$62,$R$1643))</f>
        <v/>
      </c>
      <c r="J1674" s="33">
        <f>IF($R$1643="","",INDEX(전체채점!AB$3:AB$62,$R$1643))</f>
        <v/>
      </c>
      <c r="K1674" s="33">
        <f>IF($R$1643="","",INDEX(전체채점!AC$3:AC$62,$R$1643))</f>
        <v/>
      </c>
      <c r="L1674" s="33">
        <f>IF($R$1643="","",INDEX(전체채점!AD$3:AD$62,$R$1643))</f>
        <v/>
      </c>
      <c r="M1674" s="33">
        <f>IF($R$1643="","",INDEX(전체채점!AE$3:AE$62,$R$1643))</f>
        <v/>
      </c>
      <c r="N1674" s="33">
        <f>IF($R$1643="","",INDEX(전체채점!AF$3:AF$62,$R$1643))</f>
        <v/>
      </c>
      <c r="O1674" s="33">
        <f>IF($R$1643="","",INDEX(전체채점!AG$3:AG$62,$R$1643))</f>
        <v/>
      </c>
      <c r="P1674" s="33">
        <f>IF($R$1643="","",INDEX(전체채점!AH$3:AH$62,$R$1643))</f>
        <v/>
      </c>
    </row>
    <row r="1675">
      <c r="A1675" s="52" t="inlineStr">
        <is>
          <t>정오</t>
        </is>
      </c>
      <c r="B1675" s="33">
        <f>IF($R$1643="","",INDEX(전체채점!BM$3:BM$62,$R$1643))</f>
        <v/>
      </c>
      <c r="C1675" s="33">
        <f>IF($R$1643="","",INDEX(전체채점!BN$3:BN$62,$R$1643))</f>
        <v/>
      </c>
      <c r="D1675" s="33">
        <f>IF($R$1643="","",INDEX(전체채점!BO$3:BO$62,$R$1643))</f>
        <v/>
      </c>
      <c r="E1675" s="33">
        <f>IF($R$1643="","",INDEX(전체채점!BP$3:BP$62,$R$1643))</f>
        <v/>
      </c>
      <c r="F1675" s="33">
        <f>IF($R$1643="","",INDEX(전체채점!BQ$3:BQ$62,$R$1643))</f>
        <v/>
      </c>
      <c r="G1675" s="33">
        <f>IF($R$1643="","",INDEX(전체채점!BR$3:BR$62,$R$1643))</f>
        <v/>
      </c>
      <c r="H1675" s="33">
        <f>IF($R$1643="","",INDEX(전체채점!BS$3:BS$62,$R$1643))</f>
        <v/>
      </c>
      <c r="I1675" s="33">
        <f>IF($R$1643="","",INDEX(전체채점!BT$3:BT$62,$R$1643))</f>
        <v/>
      </c>
      <c r="J1675" s="33">
        <f>IF($R$1643="","",INDEX(전체채점!BU$3:BU$62,$R$1643))</f>
        <v/>
      </c>
      <c r="K1675" s="33">
        <f>IF($R$1643="","",INDEX(전체채점!BV$3:BV$62,$R$1643))</f>
        <v/>
      </c>
      <c r="L1675" s="33">
        <f>IF($R$1643="","",INDEX(전체채점!BW$3:BW$62,$R$1643))</f>
        <v/>
      </c>
      <c r="M1675" s="33">
        <f>IF($R$1643="","",INDEX(전체채점!BX$3:BX$62,$R$1643))</f>
        <v/>
      </c>
      <c r="N1675" s="33">
        <f>IF($R$1643="","",INDEX(전체채점!BY$3:BY$62,$R$1643))</f>
        <v/>
      </c>
      <c r="O1675" s="33">
        <f>IF($R$1643="","",INDEX(전체채점!BZ$3:BZ$62,$R$1643))</f>
        <v/>
      </c>
      <c r="P1675" s="33">
        <f>IF($R$1643="","",INDEX(전체채점!CA$3:CA$62,$R$1643))</f>
        <v/>
      </c>
    </row>
    <row r="1676">
      <c r="A1676" s="50" t="inlineStr">
        <is>
          <t>문항 번호</t>
        </is>
      </c>
      <c r="B1676" s="51" t="n">
        <v>31</v>
      </c>
      <c r="C1676" s="51" t="n">
        <v>32</v>
      </c>
      <c r="D1676" s="51" t="n">
        <v>33</v>
      </c>
      <c r="E1676" s="51" t="n">
        <v>34</v>
      </c>
      <c r="F1676" s="51" t="n">
        <v>35</v>
      </c>
      <c r="G1676" s="51" t="n">
        <v>36</v>
      </c>
      <c r="H1676" s="51" t="n">
        <v>37</v>
      </c>
      <c r="I1676" s="51" t="n">
        <v>38</v>
      </c>
      <c r="J1676" s="51" t="n">
        <v>39</v>
      </c>
      <c r="K1676" s="51" t="n">
        <v>40</v>
      </c>
      <c r="L1676" s="51" t="n">
        <v>41</v>
      </c>
      <c r="M1676" s="51" t="n">
        <v>42</v>
      </c>
      <c r="N1676" s="51" t="n">
        <v>43</v>
      </c>
      <c r="O1676" s="51" t="n">
        <v>44</v>
      </c>
      <c r="P1676" s="51" t="n">
        <v>45</v>
      </c>
    </row>
    <row r="1677">
      <c r="A1677" s="52" t="inlineStr">
        <is>
          <t>정답</t>
        </is>
      </c>
      <c r="B1677" s="33">
        <f>IF($R$1644="","",IF($R$1644="언어와 매체",자동계산!$D$34,자동계산!$B$34))</f>
        <v/>
      </c>
      <c r="C1677" s="33">
        <f>IF($R$1644="","",IF($R$1644="언어와 매체",자동계산!$D$35,자동계산!$B$35))</f>
        <v/>
      </c>
      <c r="D1677" s="33">
        <f>IF($R$1644="","",IF($R$1644="언어와 매체",자동계산!$D$36,자동계산!$B$36))</f>
        <v/>
      </c>
      <c r="E1677" s="33">
        <f>IF($R$1644="","",IF($R$1644="언어와 매체",자동계산!$D$37,자동계산!$B$37))</f>
        <v/>
      </c>
      <c r="F1677" s="33">
        <f>IF($R$1644="","",IF($R$1644="언어와 매체",자동계산!$D$38,자동계산!$B$38))</f>
        <v/>
      </c>
      <c r="G1677" s="33">
        <f>IF($R$1644="","",IF($R$1644="언어와 매체",자동계산!$D$39,자동계산!$B$39))</f>
        <v/>
      </c>
      <c r="H1677" s="33">
        <f>IF($R$1644="","",IF($R$1644="언어와 매체",자동계산!$D$40,자동계산!$B$40))</f>
        <v/>
      </c>
      <c r="I1677" s="33">
        <f>IF($R$1644="","",IF($R$1644="언어와 매체",자동계산!$D$41,자동계산!$B$41))</f>
        <v/>
      </c>
      <c r="J1677" s="33">
        <f>IF($R$1644="","",IF($R$1644="언어와 매체",자동계산!$D$42,자동계산!$B$42))</f>
        <v/>
      </c>
      <c r="K1677" s="33">
        <f>IF($R$1644="","",IF($R$1644="언어와 매체",자동계산!$D$43,자동계산!$B$43))</f>
        <v/>
      </c>
      <c r="L1677" s="33">
        <f>IF($R$1644="","",IF($R$1644="언어와 매체",자동계산!$D$44,자동계산!$B$44))</f>
        <v/>
      </c>
      <c r="M1677" s="33">
        <f>IF($R$1644="","",IF($R$1644="언어와 매체",자동계산!$D$45,자동계산!$B$45))</f>
        <v/>
      </c>
      <c r="N1677" s="33">
        <f>IF($R$1644="","",IF($R$1644="언어와 매체",자동계산!$D$46,자동계산!$B$46))</f>
        <v/>
      </c>
      <c r="O1677" s="33">
        <f>IF($R$1644="","",IF($R$1644="언어와 매체",자동계산!$D$47,자동계산!$B$47))</f>
        <v/>
      </c>
      <c r="P1677" s="33">
        <f>IF($R$1644="","",IF($R$1644="언어와 매체",자동계산!$D$48,자동계산!$B$48))</f>
        <v/>
      </c>
    </row>
    <row r="1678">
      <c r="A1678" s="52" t="inlineStr">
        <is>
          <t>학생답안</t>
        </is>
      </c>
      <c r="B1678" s="33">
        <f>IF($R$1643="","",INDEX(전체채점!AI$3:AI$62,$R$1643))</f>
        <v/>
      </c>
      <c r="C1678" s="33">
        <f>IF($R$1643="","",INDEX(전체채점!AJ$3:AJ$62,$R$1643))</f>
        <v/>
      </c>
      <c r="D1678" s="33">
        <f>IF($R$1643="","",INDEX(전체채점!AK$3:AK$62,$R$1643))</f>
        <v/>
      </c>
      <c r="E1678" s="33">
        <f>IF($R$1643="","",INDEX(전체채점!AL$3:AL$62,$R$1643))</f>
        <v/>
      </c>
      <c r="F1678" s="33">
        <f>IF($R$1643="","",INDEX(전체채점!AM$3:AM$62,$R$1643))</f>
        <v/>
      </c>
      <c r="G1678" s="33">
        <f>IF($R$1643="","",INDEX(전체채점!AN$3:AN$62,$R$1643))</f>
        <v/>
      </c>
      <c r="H1678" s="33">
        <f>IF($R$1643="","",INDEX(전체채점!AO$3:AO$62,$R$1643))</f>
        <v/>
      </c>
      <c r="I1678" s="33">
        <f>IF($R$1643="","",INDEX(전체채점!AP$3:AP$62,$R$1643))</f>
        <v/>
      </c>
      <c r="J1678" s="33">
        <f>IF($R$1643="","",INDEX(전체채점!AQ$3:AQ$62,$R$1643))</f>
        <v/>
      </c>
      <c r="K1678" s="33">
        <f>IF($R$1643="","",INDEX(전체채점!AR$3:AR$62,$R$1643))</f>
        <v/>
      </c>
      <c r="L1678" s="33">
        <f>IF($R$1643="","",INDEX(전체채점!AS$3:AS$62,$R$1643))</f>
        <v/>
      </c>
      <c r="M1678" s="33">
        <f>IF($R$1643="","",INDEX(전체채점!AT$3:AT$62,$R$1643))</f>
        <v/>
      </c>
      <c r="N1678" s="33">
        <f>IF($R$1643="","",INDEX(전체채점!AU$3:AU$62,$R$1643))</f>
        <v/>
      </c>
      <c r="O1678" s="33">
        <f>IF($R$1643="","",INDEX(전체채점!AV$3:AV$62,$R$1643))</f>
        <v/>
      </c>
      <c r="P1678" s="33">
        <f>IF($R$1643="","",INDEX(전체채점!AW$3:AW$62,$R$1643))</f>
        <v/>
      </c>
    </row>
    <row r="1679">
      <c r="A1679" s="52" t="inlineStr">
        <is>
          <t>정오</t>
        </is>
      </c>
      <c r="B1679" s="33">
        <f>IF($R$1643="","",INDEX(전체채점!CB$3:CB$62,$R$1643))</f>
        <v/>
      </c>
      <c r="C1679" s="33">
        <f>IF($R$1643="","",INDEX(전체채점!CC$3:CC$62,$R$1643))</f>
        <v/>
      </c>
      <c r="D1679" s="33">
        <f>IF($R$1643="","",INDEX(전체채점!CD$3:CD$62,$R$1643))</f>
        <v/>
      </c>
      <c r="E1679" s="33">
        <f>IF($R$1643="","",INDEX(전체채점!CE$3:CE$62,$R$1643))</f>
        <v/>
      </c>
      <c r="F1679" s="33">
        <f>IF($R$1643="","",INDEX(전체채점!CF$3:CF$62,$R$1643))</f>
        <v/>
      </c>
      <c r="G1679" s="33">
        <f>IF($R$1643="","",INDEX(전체채점!CG$3:CG$62,$R$1643))</f>
        <v/>
      </c>
      <c r="H1679" s="33">
        <f>IF($R$1643="","",INDEX(전체채점!CH$3:CH$62,$R$1643))</f>
        <v/>
      </c>
      <c r="I1679" s="33">
        <f>IF($R$1643="","",INDEX(전체채점!CI$3:CI$62,$R$1643))</f>
        <v/>
      </c>
      <c r="J1679" s="33">
        <f>IF($R$1643="","",INDEX(전체채점!CJ$3:CJ$62,$R$1643))</f>
        <v/>
      </c>
      <c r="K1679" s="33">
        <f>IF($R$1643="","",INDEX(전체채점!CK$3:CK$62,$R$1643))</f>
        <v/>
      </c>
      <c r="L1679" s="33">
        <f>IF($R$1643="","",INDEX(전체채점!CL$3:CL$62,$R$1643))</f>
        <v/>
      </c>
      <c r="M1679" s="33">
        <f>IF($R$1643="","",INDEX(전체채점!CM$3:CM$62,$R$1643))</f>
        <v/>
      </c>
      <c r="N1679" s="33">
        <f>IF($R$1643="","",INDEX(전체채점!CN$3:CN$62,$R$1643))</f>
        <v/>
      </c>
      <c r="O1679" s="33">
        <f>IF($R$1643="","",INDEX(전체채점!CO$3:CO$62,$R$1643))</f>
        <v/>
      </c>
      <c r="P1679" s="33">
        <f>IF($R$1643="","",INDEX(전체채점!CP$3:CP$62,$R$1643))</f>
        <v/>
      </c>
    </row>
    <row r="1682" ht="34" customHeight="1">
      <c r="A1682" s="36">
        <f>IF($R$1684="","",회차설정!$B$2&amp;" 성적표")</f>
        <v/>
      </c>
    </row>
    <row r="1684">
      <c r="A1684" s="12" t="inlineStr">
        <is>
          <t>1. 학생정보</t>
        </is>
      </c>
      <c r="R1684" s="37">
        <f>IF(답안입력!$A$44="","",42)</f>
        <v/>
      </c>
      <c r="S1684" s="37">
        <f>IF($R$1685="","",IFERROR(IF($R$1685="언어와 매체",MATCH(1,회차설정!$G$13:$G$27,0),MATCH(1,회차설정!$F$13:$F$27,0)),""))</f>
        <v/>
      </c>
    </row>
    <row r="1685">
      <c r="A1685" s="13" t="inlineStr">
        <is>
          <t>성명</t>
        </is>
      </c>
      <c r="B1685" s="7" t="n"/>
      <c r="C1685" s="8" t="n"/>
      <c r="D1685" s="13" t="inlineStr">
        <is>
          <t>선택과목</t>
        </is>
      </c>
      <c r="E1685" s="7" t="n"/>
      <c r="F1685" s="7" t="n"/>
      <c r="G1685" s="8" t="n"/>
      <c r="H1685" s="13" t="inlineStr">
        <is>
          <t>학년</t>
        </is>
      </c>
      <c r="I1685" s="7" t="n"/>
      <c r="J1685" s="7" t="n"/>
      <c r="K1685" s="8" t="n"/>
      <c r="L1685" s="13" t="inlineStr">
        <is>
          <t>시행일</t>
        </is>
      </c>
      <c r="M1685" s="7" t="n"/>
      <c r="N1685" s="7" t="n"/>
      <c r="O1685" s="7" t="n"/>
      <c r="P1685" s="8" t="n"/>
      <c r="R1685" s="37">
        <f>IF($R$1684="","",INDEX(전체채점!$B$3:$B$62,$R$1684))</f>
        <v/>
      </c>
      <c r="S1685" s="37">
        <f>IF($R$1685="","",IFERROR(IF($R$1685="언어와 매체",MATCH(2,회차설정!$G$13:$G$27,0),MATCH(2,회차설정!$F$13:$F$27,0)),""))</f>
        <v/>
      </c>
    </row>
    <row r="1686" ht="26" customHeight="1">
      <c r="A1686" s="39">
        <f>IF($R$1684="","",INDEX(답안입력!$A$3:$A$62,$R$1684))</f>
        <v/>
      </c>
      <c r="B1686" s="7" t="n"/>
      <c r="C1686" s="8" t="n"/>
      <c r="D1686" s="39">
        <f>IF($R$1684="","",INDEX(답안입력!$C$3:$C$62,$R$1684))</f>
        <v/>
      </c>
      <c r="E1686" s="7" t="n"/>
      <c r="F1686" s="7" t="n"/>
      <c r="G1686" s="8" t="n"/>
      <c r="H1686" s="39">
        <f>IF($R$1684="","",INDEX(답안입력!$B$3:$B$62,$R$1684))</f>
        <v/>
      </c>
      <c r="I1686" s="7" t="n"/>
      <c r="J1686" s="7" t="n"/>
      <c r="K1686" s="8" t="n"/>
      <c r="L1686" s="40">
        <f>회차설정!$B$3</f>
        <v/>
      </c>
      <c r="M1686" s="7" t="n"/>
      <c r="N1686" s="7" t="n"/>
      <c r="O1686" s="7" t="n"/>
      <c r="P1686" s="8" t="n"/>
      <c r="R1686" s="37">
        <f>IF($R$1685="언어와 매체",회차설정!$B$9,회차설정!$B$8)</f>
        <v/>
      </c>
      <c r="S1686" s="37">
        <f>IF($R$1685="","",IFERROR(IF($R$1685="언어와 매체",MATCH(3,회차설정!$G$13:$G$27,0),MATCH(3,회차설정!$F$13:$F$27,0)),""))</f>
        <v/>
      </c>
    </row>
    <row r="1687">
      <c r="R1687" s="37">
        <f>IF($R$1685="언어와 매체",회차설정!$C$9,회차설정!$C$8)</f>
        <v/>
      </c>
      <c r="S1687" s="37">
        <f>IF($R$1685="","",IFERROR(IF($R$1685="언어와 매체",MATCH(4,회차설정!$G$13:$G$27,0),MATCH(4,회차설정!$F$13:$F$27,0)),""))</f>
        <v/>
      </c>
    </row>
    <row r="1688">
      <c r="A1688" s="12" t="inlineStr">
        <is>
          <t>2. 성적</t>
        </is>
      </c>
      <c r="R1688" s="37">
        <f>IF($R$1685="언어와 매체",회차설정!$D$9,회차설정!$D$8)</f>
        <v/>
      </c>
      <c r="S1688" s="37">
        <f>IF($R$1685="","",IFERROR(IF($R$1685="언어와 매체",MATCH(5,회차설정!$G$13:$G$27,0),MATCH(5,회차설정!$F$13:$F$27,0)),""))</f>
        <v/>
      </c>
    </row>
    <row r="1689">
      <c r="A1689" s="13" t="inlineStr">
        <is>
          <t>점수 (100점 만점)</t>
        </is>
      </c>
      <c r="B1689" s="7" t="n"/>
      <c r="C1689" s="7" t="n"/>
      <c r="D1689" s="7" t="n"/>
      <c r="E1689" s="8" t="n"/>
      <c r="F1689" s="13" t="inlineStr">
        <is>
          <t>등급</t>
        </is>
      </c>
      <c r="G1689" s="7" t="n"/>
      <c r="H1689" s="8" t="n"/>
      <c r="I1689" s="13" t="inlineStr">
        <is>
          <t>등급컷</t>
        </is>
      </c>
      <c r="J1689" s="7" t="n"/>
      <c r="K1689" s="7" t="n"/>
      <c r="L1689" s="8" t="n"/>
      <c r="M1689" s="13" t="inlineStr">
        <is>
          <t>같은 선택과목 평균</t>
        </is>
      </c>
      <c r="N1689" s="7" t="n"/>
      <c r="O1689" s="7" t="n"/>
      <c r="P1689" s="8" t="n"/>
      <c r="R1689" s="37">
        <f>IF($R$1685="언어와 매체",회차설정!$E$9,회차설정!$E$8)</f>
        <v/>
      </c>
      <c r="S1689" s="37">
        <f>IF($R$1685="","",IFERROR(IF($R$1685="언어와 매체",MATCH(6,회차설정!$G$13:$G$27,0),MATCH(6,회차설정!$F$13:$F$27,0)),""))</f>
        <v/>
      </c>
    </row>
    <row r="1690" ht="34" customHeight="1">
      <c r="A1690" s="41">
        <f>IF($R$1684="","",INDEX(전체채점!$C$3:$C$62,$R$1684))</f>
        <v/>
      </c>
      <c r="B1690" s="7" t="n"/>
      <c r="C1690" s="7" t="n"/>
      <c r="D1690" s="7" t="n"/>
      <c r="E1690" s="8" t="n"/>
      <c r="F1690" s="42">
        <f>IF($R$1684="","",INDEX(전체채점!$D$3:$D$62,$R$1684))</f>
        <v/>
      </c>
      <c r="G1690" s="7" t="n"/>
      <c r="H1690" s="8" t="n"/>
      <c r="I1690" s="43">
        <f>IF($R$1684="","",$R$1686&amp;"-"&amp;$R$1687&amp;"-"&amp;$R$1688&amp;"-"&amp;$R$1689)</f>
        <v/>
      </c>
      <c r="J1690" s="7" t="n"/>
      <c r="K1690" s="7" t="n"/>
      <c r="L1690" s="8" t="n"/>
      <c r="M1690" s="44">
        <f>IFERROR(AVERAGEIF(전체채점!$B$3:$B$62,$R$1685,전체채점!$C$3:$C$62),"")</f>
        <v/>
      </c>
      <c r="N1690" s="7" t="n"/>
      <c r="O1690" s="7" t="n"/>
      <c r="P1690" s="8" t="n"/>
      <c r="S1690" s="37">
        <f>IF($R$1685="","",IFERROR(IF($R$1685="언어와 매체",MATCH(7,회차설정!$G$13:$G$27,0),MATCH(7,회차설정!$F$13:$F$27,0)),""))</f>
        <v/>
      </c>
    </row>
    <row r="1691">
      <c r="S1691" s="37">
        <f>IF($R$1685="","",IFERROR(IF($R$1685="언어와 매체",MATCH(8,회차설정!$G$13:$G$27,0),MATCH(8,회차설정!$F$13:$F$27,0)),""))</f>
        <v/>
      </c>
    </row>
    <row r="1692">
      <c r="A1692" s="12" t="inlineStr">
        <is>
          <t>3. 영역분류별 성취도 분석</t>
        </is>
      </c>
      <c r="F1692" s="45">
        <f>IF(OR($R$1684="",$E1706=""),"",IF($E1706=INDEX(전체채점!$C$3:$C$62,$R$1684),"","※ 회차설정의 영역 표를 확인하세요 — 영역 합계와 점수가 다릅니다"))</f>
        <v/>
      </c>
      <c r="S1692" s="37">
        <f>IF($R$1685="","",IFERROR(IF($R$1685="언어와 매체",MATCH(9,회차설정!$G$13:$G$27,0),MATCH(9,회차설정!$F$13:$F$27,0)),""))</f>
        <v/>
      </c>
    </row>
    <row r="1693">
      <c r="A1693" s="13" t="inlineStr">
        <is>
          <t>분류</t>
        </is>
      </c>
      <c r="B1693" s="13" t="inlineStr">
        <is>
          <t>영역</t>
        </is>
      </c>
      <c r="C1693" s="8" t="n"/>
      <c r="D1693" s="13" t="inlineStr">
        <is>
          <t>배점</t>
        </is>
      </c>
      <c r="E1693" s="13" t="inlineStr">
        <is>
          <t>득점</t>
        </is>
      </c>
      <c r="F1693" s="13" t="inlineStr">
        <is>
          <t>성취도(%)</t>
        </is>
      </c>
      <c r="G1693" s="8" t="n"/>
      <c r="H1693" s="13" t="inlineStr"/>
      <c r="I1693" s="7" t="n"/>
      <c r="J1693" s="7" t="n"/>
      <c r="K1693" s="7" t="n"/>
      <c r="L1693" s="7" t="n"/>
      <c r="M1693" s="7" t="n"/>
      <c r="N1693" s="7" t="n"/>
      <c r="O1693" s="7" t="n"/>
      <c r="P1693" s="8" t="n"/>
      <c r="S1693" s="37">
        <f>IF($R$1685="","",IFERROR(IF($R$1685="언어와 매체",MATCH(10,회차설정!$G$13:$G$27,0),MATCH(10,회차설정!$F$13:$F$27,0)),""))</f>
        <v/>
      </c>
    </row>
    <row r="1694">
      <c r="A1694" s="14">
        <f>IF($S$1684="","",INDEX(회차설정!$A$13:$A$27,$S$1684))</f>
        <v/>
      </c>
      <c r="B1694" s="14">
        <f>IF($S$1684="","",INDEX(회차설정!$B$13:$B$27,$S$1684))</f>
        <v/>
      </c>
      <c r="C1694" s="8" t="n"/>
      <c r="D1694" s="14">
        <f>IF($S$1684="","",IF($R$1685="언어와 매체",SUMPRODUCT((자동계산!$A$4:$A$48&gt;=INDEX(회차설정!$C$13:$C$27,$S$1684))*(자동계산!$A$4:$A$48&lt;=INDEX(회차설정!$D$13:$D$27,$S$1684))*자동계산!$E$4:$E$48),SUMPRODUCT((자동계산!$A$4:$A$48&gt;=INDEX(회차설정!$C$13:$C$27,$S$1684))*(자동계산!$A$4:$A$48&lt;=INDEX(회차설정!$D$13:$D$27,$S$1684))*자동계산!$C$4:$C$48)))</f>
        <v/>
      </c>
      <c r="E1694" s="14">
        <f>IF(OR($S$1684="",$R$1684=""),"",SUM(OFFSET(전체채점!$AW$2,$R$1684,INDEX(회차설정!$C$13:$C$27,$S$1684),1,INDEX(회차설정!$D$13:$D$27,$S$1684)-INDEX(회차설정!$C$13:$C$27,$S$1684)+1)))</f>
        <v/>
      </c>
      <c r="F1694" s="46">
        <f>IF(OR($S$1684="",$D1694=0,$D1694="",$E1694=""),"",$E1694/$D1694*100)</f>
        <v/>
      </c>
      <c r="G1694" s="8" t="n"/>
      <c r="H1694" s="47">
        <f>IF($F1694="","",REPT("■",ROUND($F1694/5,0)))</f>
        <v/>
      </c>
      <c r="I1694" s="7" t="n"/>
      <c r="J1694" s="7" t="n"/>
      <c r="K1694" s="7" t="n"/>
      <c r="L1694" s="7" t="n"/>
      <c r="M1694" s="7" t="n"/>
      <c r="N1694" s="7" t="n"/>
      <c r="O1694" s="7" t="n"/>
      <c r="P1694" s="8" t="n"/>
      <c r="S1694" s="37">
        <f>IF($R$1685="","",IFERROR(IF($R$1685="언어와 매체",MATCH(11,회차설정!$G$13:$G$27,0),MATCH(11,회차설정!$F$13:$F$27,0)),""))</f>
        <v/>
      </c>
    </row>
    <row r="1695">
      <c r="A1695" s="14">
        <f>IF($S$1685="","",INDEX(회차설정!$A$13:$A$27,$S$1685))</f>
        <v/>
      </c>
      <c r="B1695" s="14">
        <f>IF($S$1685="","",INDEX(회차설정!$B$13:$B$27,$S$1685))</f>
        <v/>
      </c>
      <c r="C1695" s="8" t="n"/>
      <c r="D1695" s="14">
        <f>IF($S$1685="","",IF($R$1685="언어와 매체",SUMPRODUCT((자동계산!$A$4:$A$48&gt;=INDEX(회차설정!$C$13:$C$27,$S$1685))*(자동계산!$A$4:$A$48&lt;=INDEX(회차설정!$D$13:$D$27,$S$1685))*자동계산!$E$4:$E$48),SUMPRODUCT((자동계산!$A$4:$A$48&gt;=INDEX(회차설정!$C$13:$C$27,$S$1685))*(자동계산!$A$4:$A$48&lt;=INDEX(회차설정!$D$13:$D$27,$S$1685))*자동계산!$C$4:$C$48)))</f>
        <v/>
      </c>
      <c r="E1695" s="14">
        <f>IF(OR($S$1685="",$R$1684=""),"",SUM(OFFSET(전체채점!$AW$2,$R$1684,INDEX(회차설정!$C$13:$C$27,$S$1685),1,INDEX(회차설정!$D$13:$D$27,$S$1685)-INDEX(회차설정!$C$13:$C$27,$S$1685)+1)))</f>
        <v/>
      </c>
      <c r="F1695" s="46">
        <f>IF(OR($S$1685="",$D1695=0,$D1695="",$E1695=""),"",$E1695/$D1695*100)</f>
        <v/>
      </c>
      <c r="G1695" s="8" t="n"/>
      <c r="H1695" s="47">
        <f>IF($F1695="","",REPT("■",ROUND($F1695/5,0)))</f>
        <v/>
      </c>
      <c r="I1695" s="7" t="n"/>
      <c r="J1695" s="7" t="n"/>
      <c r="K1695" s="7" t="n"/>
      <c r="L1695" s="7" t="n"/>
      <c r="M1695" s="7" t="n"/>
      <c r="N1695" s="7" t="n"/>
      <c r="O1695" s="7" t="n"/>
      <c r="P1695" s="8" t="n"/>
      <c r="S1695" s="37">
        <f>IF($R$1685="","",IFERROR(IF($R$1685="언어와 매체",MATCH(12,회차설정!$G$13:$G$27,0),MATCH(12,회차설정!$F$13:$F$27,0)),""))</f>
        <v/>
      </c>
    </row>
    <row r="1696">
      <c r="A1696" s="14">
        <f>IF($S$1686="","",INDEX(회차설정!$A$13:$A$27,$S$1686))</f>
        <v/>
      </c>
      <c r="B1696" s="14">
        <f>IF($S$1686="","",INDEX(회차설정!$B$13:$B$27,$S$1686))</f>
        <v/>
      </c>
      <c r="C1696" s="8" t="n"/>
      <c r="D1696" s="14">
        <f>IF($S$1686="","",IF($R$1685="언어와 매체",SUMPRODUCT((자동계산!$A$4:$A$48&gt;=INDEX(회차설정!$C$13:$C$27,$S$1686))*(자동계산!$A$4:$A$48&lt;=INDEX(회차설정!$D$13:$D$27,$S$1686))*자동계산!$E$4:$E$48),SUMPRODUCT((자동계산!$A$4:$A$48&gt;=INDEX(회차설정!$C$13:$C$27,$S$1686))*(자동계산!$A$4:$A$48&lt;=INDEX(회차설정!$D$13:$D$27,$S$1686))*자동계산!$C$4:$C$48)))</f>
        <v/>
      </c>
      <c r="E1696" s="14">
        <f>IF(OR($S$1686="",$R$1684=""),"",SUM(OFFSET(전체채점!$AW$2,$R$1684,INDEX(회차설정!$C$13:$C$27,$S$1686),1,INDEX(회차설정!$D$13:$D$27,$S$1686)-INDEX(회차설정!$C$13:$C$27,$S$1686)+1)))</f>
        <v/>
      </c>
      <c r="F1696" s="46">
        <f>IF(OR($S$1686="",$D1696=0,$D1696="",$E1696=""),"",$E1696/$D1696*100)</f>
        <v/>
      </c>
      <c r="G1696" s="8" t="n"/>
      <c r="H1696" s="47">
        <f>IF($F1696="","",REPT("■",ROUND($F1696/5,0)))</f>
        <v/>
      </c>
      <c r="I1696" s="7" t="n"/>
      <c r="J1696" s="7" t="n"/>
      <c r="K1696" s="7" t="n"/>
      <c r="L1696" s="7" t="n"/>
      <c r="M1696" s="7" t="n"/>
      <c r="N1696" s="7" t="n"/>
      <c r="O1696" s="7" t="n"/>
      <c r="P1696" s="8" t="n"/>
    </row>
    <row r="1697">
      <c r="A1697" s="14">
        <f>IF($S$1687="","",INDEX(회차설정!$A$13:$A$27,$S$1687))</f>
        <v/>
      </c>
      <c r="B1697" s="14">
        <f>IF($S$1687="","",INDEX(회차설정!$B$13:$B$27,$S$1687))</f>
        <v/>
      </c>
      <c r="C1697" s="8" t="n"/>
      <c r="D1697" s="14">
        <f>IF($S$1687="","",IF($R$1685="언어와 매체",SUMPRODUCT((자동계산!$A$4:$A$48&gt;=INDEX(회차설정!$C$13:$C$27,$S$1687))*(자동계산!$A$4:$A$48&lt;=INDEX(회차설정!$D$13:$D$27,$S$1687))*자동계산!$E$4:$E$48),SUMPRODUCT((자동계산!$A$4:$A$48&gt;=INDEX(회차설정!$C$13:$C$27,$S$1687))*(자동계산!$A$4:$A$48&lt;=INDEX(회차설정!$D$13:$D$27,$S$1687))*자동계산!$C$4:$C$48)))</f>
        <v/>
      </c>
      <c r="E1697" s="14">
        <f>IF(OR($S$1687="",$R$1684=""),"",SUM(OFFSET(전체채점!$AW$2,$R$1684,INDEX(회차설정!$C$13:$C$27,$S$1687),1,INDEX(회차설정!$D$13:$D$27,$S$1687)-INDEX(회차설정!$C$13:$C$27,$S$1687)+1)))</f>
        <v/>
      </c>
      <c r="F1697" s="46">
        <f>IF(OR($S$1687="",$D1697=0,$D1697="",$E1697=""),"",$E1697/$D1697*100)</f>
        <v/>
      </c>
      <c r="G1697" s="8" t="n"/>
      <c r="H1697" s="47">
        <f>IF($F1697="","",REPT("■",ROUND($F1697/5,0)))</f>
        <v/>
      </c>
      <c r="I1697" s="7" t="n"/>
      <c r="J1697" s="7" t="n"/>
      <c r="K1697" s="7" t="n"/>
      <c r="L1697" s="7" t="n"/>
      <c r="M1697" s="7" t="n"/>
      <c r="N1697" s="7" t="n"/>
      <c r="O1697" s="7" t="n"/>
      <c r="P1697" s="8" t="n"/>
    </row>
    <row r="1698">
      <c r="A1698" s="14">
        <f>IF($S$1688="","",INDEX(회차설정!$A$13:$A$27,$S$1688))</f>
        <v/>
      </c>
      <c r="B1698" s="14">
        <f>IF($S$1688="","",INDEX(회차설정!$B$13:$B$27,$S$1688))</f>
        <v/>
      </c>
      <c r="C1698" s="8" t="n"/>
      <c r="D1698" s="14">
        <f>IF($S$1688="","",IF($R$1685="언어와 매체",SUMPRODUCT((자동계산!$A$4:$A$48&gt;=INDEX(회차설정!$C$13:$C$27,$S$1688))*(자동계산!$A$4:$A$48&lt;=INDEX(회차설정!$D$13:$D$27,$S$1688))*자동계산!$E$4:$E$48),SUMPRODUCT((자동계산!$A$4:$A$48&gt;=INDEX(회차설정!$C$13:$C$27,$S$1688))*(자동계산!$A$4:$A$48&lt;=INDEX(회차설정!$D$13:$D$27,$S$1688))*자동계산!$C$4:$C$48)))</f>
        <v/>
      </c>
      <c r="E1698" s="14">
        <f>IF(OR($S$1688="",$R$1684=""),"",SUM(OFFSET(전체채점!$AW$2,$R$1684,INDEX(회차설정!$C$13:$C$27,$S$1688),1,INDEX(회차설정!$D$13:$D$27,$S$1688)-INDEX(회차설정!$C$13:$C$27,$S$1688)+1)))</f>
        <v/>
      </c>
      <c r="F1698" s="46">
        <f>IF(OR($S$1688="",$D1698=0,$D1698="",$E1698=""),"",$E1698/$D1698*100)</f>
        <v/>
      </c>
      <c r="G1698" s="8" t="n"/>
      <c r="H1698" s="47">
        <f>IF($F1698="","",REPT("■",ROUND($F1698/5,0)))</f>
        <v/>
      </c>
      <c r="I1698" s="7" t="n"/>
      <c r="J1698" s="7" t="n"/>
      <c r="K1698" s="7" t="n"/>
      <c r="L1698" s="7" t="n"/>
      <c r="M1698" s="7" t="n"/>
      <c r="N1698" s="7" t="n"/>
      <c r="O1698" s="7" t="n"/>
      <c r="P1698" s="8" t="n"/>
    </row>
    <row r="1699">
      <c r="A1699" s="14">
        <f>IF($S$1689="","",INDEX(회차설정!$A$13:$A$27,$S$1689))</f>
        <v/>
      </c>
      <c r="B1699" s="14">
        <f>IF($S$1689="","",INDEX(회차설정!$B$13:$B$27,$S$1689))</f>
        <v/>
      </c>
      <c r="C1699" s="8" t="n"/>
      <c r="D1699" s="14">
        <f>IF($S$1689="","",IF($R$1685="언어와 매체",SUMPRODUCT((자동계산!$A$4:$A$48&gt;=INDEX(회차설정!$C$13:$C$27,$S$1689))*(자동계산!$A$4:$A$48&lt;=INDEX(회차설정!$D$13:$D$27,$S$1689))*자동계산!$E$4:$E$48),SUMPRODUCT((자동계산!$A$4:$A$48&gt;=INDEX(회차설정!$C$13:$C$27,$S$1689))*(자동계산!$A$4:$A$48&lt;=INDEX(회차설정!$D$13:$D$27,$S$1689))*자동계산!$C$4:$C$48)))</f>
        <v/>
      </c>
      <c r="E1699" s="14">
        <f>IF(OR($S$1689="",$R$1684=""),"",SUM(OFFSET(전체채점!$AW$2,$R$1684,INDEX(회차설정!$C$13:$C$27,$S$1689),1,INDEX(회차설정!$D$13:$D$27,$S$1689)-INDEX(회차설정!$C$13:$C$27,$S$1689)+1)))</f>
        <v/>
      </c>
      <c r="F1699" s="46">
        <f>IF(OR($S$1689="",$D1699=0,$D1699="",$E1699=""),"",$E1699/$D1699*100)</f>
        <v/>
      </c>
      <c r="G1699" s="8" t="n"/>
      <c r="H1699" s="47">
        <f>IF($F1699="","",REPT("■",ROUND($F1699/5,0)))</f>
        <v/>
      </c>
      <c r="I1699" s="7" t="n"/>
      <c r="J1699" s="7" t="n"/>
      <c r="K1699" s="7" t="n"/>
      <c r="L1699" s="7" t="n"/>
      <c r="M1699" s="7" t="n"/>
      <c r="N1699" s="7" t="n"/>
      <c r="O1699" s="7" t="n"/>
      <c r="P1699" s="8" t="n"/>
    </row>
    <row r="1700">
      <c r="A1700" s="14">
        <f>IF($S$1690="","",INDEX(회차설정!$A$13:$A$27,$S$1690))</f>
        <v/>
      </c>
      <c r="B1700" s="14">
        <f>IF($S$1690="","",INDEX(회차설정!$B$13:$B$27,$S$1690))</f>
        <v/>
      </c>
      <c r="C1700" s="8" t="n"/>
      <c r="D1700" s="14">
        <f>IF($S$1690="","",IF($R$1685="언어와 매체",SUMPRODUCT((자동계산!$A$4:$A$48&gt;=INDEX(회차설정!$C$13:$C$27,$S$1690))*(자동계산!$A$4:$A$48&lt;=INDEX(회차설정!$D$13:$D$27,$S$1690))*자동계산!$E$4:$E$48),SUMPRODUCT((자동계산!$A$4:$A$48&gt;=INDEX(회차설정!$C$13:$C$27,$S$1690))*(자동계산!$A$4:$A$48&lt;=INDEX(회차설정!$D$13:$D$27,$S$1690))*자동계산!$C$4:$C$48)))</f>
        <v/>
      </c>
      <c r="E1700" s="14">
        <f>IF(OR($S$1690="",$R$1684=""),"",SUM(OFFSET(전체채점!$AW$2,$R$1684,INDEX(회차설정!$C$13:$C$27,$S$1690),1,INDEX(회차설정!$D$13:$D$27,$S$1690)-INDEX(회차설정!$C$13:$C$27,$S$1690)+1)))</f>
        <v/>
      </c>
      <c r="F1700" s="46">
        <f>IF(OR($S$1690="",$D1700=0,$D1700="",$E1700=""),"",$E1700/$D1700*100)</f>
        <v/>
      </c>
      <c r="G1700" s="8" t="n"/>
      <c r="H1700" s="47">
        <f>IF($F1700="","",REPT("■",ROUND($F1700/5,0)))</f>
        <v/>
      </c>
      <c r="I1700" s="7" t="n"/>
      <c r="J1700" s="7" t="n"/>
      <c r="K1700" s="7" t="n"/>
      <c r="L1700" s="7" t="n"/>
      <c r="M1700" s="7" t="n"/>
      <c r="N1700" s="7" t="n"/>
      <c r="O1700" s="7" t="n"/>
      <c r="P1700" s="8" t="n"/>
    </row>
    <row r="1701">
      <c r="A1701" s="14">
        <f>IF($S$1691="","",INDEX(회차설정!$A$13:$A$27,$S$1691))</f>
        <v/>
      </c>
      <c r="B1701" s="14">
        <f>IF($S$1691="","",INDEX(회차설정!$B$13:$B$27,$S$1691))</f>
        <v/>
      </c>
      <c r="C1701" s="8" t="n"/>
      <c r="D1701" s="14">
        <f>IF($S$1691="","",IF($R$1685="언어와 매체",SUMPRODUCT((자동계산!$A$4:$A$48&gt;=INDEX(회차설정!$C$13:$C$27,$S$1691))*(자동계산!$A$4:$A$48&lt;=INDEX(회차설정!$D$13:$D$27,$S$1691))*자동계산!$E$4:$E$48),SUMPRODUCT((자동계산!$A$4:$A$48&gt;=INDEX(회차설정!$C$13:$C$27,$S$1691))*(자동계산!$A$4:$A$48&lt;=INDEX(회차설정!$D$13:$D$27,$S$1691))*자동계산!$C$4:$C$48)))</f>
        <v/>
      </c>
      <c r="E1701" s="14">
        <f>IF(OR($S$1691="",$R$1684=""),"",SUM(OFFSET(전체채점!$AW$2,$R$1684,INDEX(회차설정!$C$13:$C$27,$S$1691),1,INDEX(회차설정!$D$13:$D$27,$S$1691)-INDEX(회차설정!$C$13:$C$27,$S$1691)+1)))</f>
        <v/>
      </c>
      <c r="F1701" s="46">
        <f>IF(OR($S$1691="",$D1701=0,$D1701="",$E1701=""),"",$E1701/$D1701*100)</f>
        <v/>
      </c>
      <c r="G1701" s="8" t="n"/>
      <c r="H1701" s="47">
        <f>IF($F1701="","",REPT("■",ROUND($F1701/5,0)))</f>
        <v/>
      </c>
      <c r="I1701" s="7" t="n"/>
      <c r="J1701" s="7" t="n"/>
      <c r="K1701" s="7" t="n"/>
      <c r="L1701" s="7" t="n"/>
      <c r="M1701" s="7" t="n"/>
      <c r="N1701" s="7" t="n"/>
      <c r="O1701" s="7" t="n"/>
      <c r="P1701" s="8" t="n"/>
    </row>
    <row r="1702">
      <c r="A1702" s="14">
        <f>IF($S$1692="","",INDEX(회차설정!$A$13:$A$27,$S$1692))</f>
        <v/>
      </c>
      <c r="B1702" s="14">
        <f>IF($S$1692="","",INDEX(회차설정!$B$13:$B$27,$S$1692))</f>
        <v/>
      </c>
      <c r="C1702" s="8" t="n"/>
      <c r="D1702" s="14">
        <f>IF($S$1692="","",IF($R$1685="언어와 매체",SUMPRODUCT((자동계산!$A$4:$A$48&gt;=INDEX(회차설정!$C$13:$C$27,$S$1692))*(자동계산!$A$4:$A$48&lt;=INDEX(회차설정!$D$13:$D$27,$S$1692))*자동계산!$E$4:$E$48),SUMPRODUCT((자동계산!$A$4:$A$48&gt;=INDEX(회차설정!$C$13:$C$27,$S$1692))*(자동계산!$A$4:$A$48&lt;=INDEX(회차설정!$D$13:$D$27,$S$1692))*자동계산!$C$4:$C$48)))</f>
        <v/>
      </c>
      <c r="E1702" s="14">
        <f>IF(OR($S$1692="",$R$1684=""),"",SUM(OFFSET(전체채점!$AW$2,$R$1684,INDEX(회차설정!$C$13:$C$27,$S$1692),1,INDEX(회차설정!$D$13:$D$27,$S$1692)-INDEX(회차설정!$C$13:$C$27,$S$1692)+1)))</f>
        <v/>
      </c>
      <c r="F1702" s="46">
        <f>IF(OR($S$1692="",$D1702=0,$D1702="",$E1702=""),"",$E1702/$D1702*100)</f>
        <v/>
      </c>
      <c r="G1702" s="8" t="n"/>
      <c r="H1702" s="47">
        <f>IF($F1702="","",REPT("■",ROUND($F1702/5,0)))</f>
        <v/>
      </c>
      <c r="I1702" s="7" t="n"/>
      <c r="J1702" s="7" t="n"/>
      <c r="K1702" s="7" t="n"/>
      <c r="L1702" s="7" t="n"/>
      <c r="M1702" s="7" t="n"/>
      <c r="N1702" s="7" t="n"/>
      <c r="O1702" s="7" t="n"/>
      <c r="P1702" s="8" t="n"/>
    </row>
    <row r="1703">
      <c r="A1703" s="14">
        <f>IF($S$1693="","",INDEX(회차설정!$A$13:$A$27,$S$1693))</f>
        <v/>
      </c>
      <c r="B1703" s="14">
        <f>IF($S$1693="","",INDEX(회차설정!$B$13:$B$27,$S$1693))</f>
        <v/>
      </c>
      <c r="C1703" s="8" t="n"/>
      <c r="D1703" s="14">
        <f>IF($S$1693="","",IF($R$1685="언어와 매체",SUMPRODUCT((자동계산!$A$4:$A$48&gt;=INDEX(회차설정!$C$13:$C$27,$S$1693))*(자동계산!$A$4:$A$48&lt;=INDEX(회차설정!$D$13:$D$27,$S$1693))*자동계산!$E$4:$E$48),SUMPRODUCT((자동계산!$A$4:$A$48&gt;=INDEX(회차설정!$C$13:$C$27,$S$1693))*(자동계산!$A$4:$A$48&lt;=INDEX(회차설정!$D$13:$D$27,$S$1693))*자동계산!$C$4:$C$48)))</f>
        <v/>
      </c>
      <c r="E1703" s="14">
        <f>IF(OR($S$1693="",$R$1684=""),"",SUM(OFFSET(전체채점!$AW$2,$R$1684,INDEX(회차설정!$C$13:$C$27,$S$1693),1,INDEX(회차설정!$D$13:$D$27,$S$1693)-INDEX(회차설정!$C$13:$C$27,$S$1693)+1)))</f>
        <v/>
      </c>
      <c r="F1703" s="46">
        <f>IF(OR($S$1693="",$D1703=0,$D1703="",$E1703=""),"",$E1703/$D1703*100)</f>
        <v/>
      </c>
      <c r="G1703" s="8" t="n"/>
      <c r="H1703" s="47">
        <f>IF($F1703="","",REPT("■",ROUND($F1703/5,0)))</f>
        <v/>
      </c>
      <c r="I1703" s="7" t="n"/>
      <c r="J1703" s="7" t="n"/>
      <c r="K1703" s="7" t="n"/>
      <c r="L1703" s="7" t="n"/>
      <c r="M1703" s="7" t="n"/>
      <c r="N1703" s="7" t="n"/>
      <c r="O1703" s="7" t="n"/>
      <c r="P1703" s="8" t="n"/>
    </row>
    <row r="1704">
      <c r="A1704" s="14">
        <f>IF($S$1694="","",INDEX(회차설정!$A$13:$A$27,$S$1694))</f>
        <v/>
      </c>
      <c r="B1704" s="14">
        <f>IF($S$1694="","",INDEX(회차설정!$B$13:$B$27,$S$1694))</f>
        <v/>
      </c>
      <c r="C1704" s="8" t="n"/>
      <c r="D1704" s="14">
        <f>IF($S$1694="","",IF($R$1685="언어와 매체",SUMPRODUCT((자동계산!$A$4:$A$48&gt;=INDEX(회차설정!$C$13:$C$27,$S$1694))*(자동계산!$A$4:$A$48&lt;=INDEX(회차설정!$D$13:$D$27,$S$1694))*자동계산!$E$4:$E$48),SUMPRODUCT((자동계산!$A$4:$A$48&gt;=INDEX(회차설정!$C$13:$C$27,$S$1694))*(자동계산!$A$4:$A$48&lt;=INDEX(회차설정!$D$13:$D$27,$S$1694))*자동계산!$C$4:$C$48)))</f>
        <v/>
      </c>
      <c r="E1704" s="14">
        <f>IF(OR($S$1694="",$R$1684=""),"",SUM(OFFSET(전체채점!$AW$2,$R$1684,INDEX(회차설정!$C$13:$C$27,$S$1694),1,INDEX(회차설정!$D$13:$D$27,$S$1694)-INDEX(회차설정!$C$13:$C$27,$S$1694)+1)))</f>
        <v/>
      </c>
      <c r="F1704" s="46">
        <f>IF(OR($S$1694="",$D1704=0,$D1704="",$E1704=""),"",$E1704/$D1704*100)</f>
        <v/>
      </c>
      <c r="G1704" s="8" t="n"/>
      <c r="H1704" s="47">
        <f>IF($F1704="","",REPT("■",ROUND($F1704/5,0)))</f>
        <v/>
      </c>
      <c r="I1704" s="7" t="n"/>
      <c r="J1704" s="7" t="n"/>
      <c r="K1704" s="7" t="n"/>
      <c r="L1704" s="7" t="n"/>
      <c r="M1704" s="7" t="n"/>
      <c r="N1704" s="7" t="n"/>
      <c r="O1704" s="7" t="n"/>
      <c r="P1704" s="8" t="n"/>
    </row>
    <row r="1705">
      <c r="A1705" s="14">
        <f>IF($S$1695="","",INDEX(회차설정!$A$13:$A$27,$S$1695))</f>
        <v/>
      </c>
      <c r="B1705" s="14">
        <f>IF($S$1695="","",INDEX(회차설정!$B$13:$B$27,$S$1695))</f>
        <v/>
      </c>
      <c r="C1705" s="8" t="n"/>
      <c r="D1705" s="14">
        <f>IF($S$1695="","",IF($R$1685="언어와 매체",SUMPRODUCT((자동계산!$A$4:$A$48&gt;=INDEX(회차설정!$C$13:$C$27,$S$1695))*(자동계산!$A$4:$A$48&lt;=INDEX(회차설정!$D$13:$D$27,$S$1695))*자동계산!$E$4:$E$48),SUMPRODUCT((자동계산!$A$4:$A$48&gt;=INDEX(회차설정!$C$13:$C$27,$S$1695))*(자동계산!$A$4:$A$48&lt;=INDEX(회차설정!$D$13:$D$27,$S$1695))*자동계산!$C$4:$C$48)))</f>
        <v/>
      </c>
      <c r="E1705" s="14">
        <f>IF(OR($S$1695="",$R$1684=""),"",SUM(OFFSET(전체채점!$AW$2,$R$1684,INDEX(회차설정!$C$13:$C$27,$S$1695),1,INDEX(회차설정!$D$13:$D$27,$S$1695)-INDEX(회차설정!$C$13:$C$27,$S$1695)+1)))</f>
        <v/>
      </c>
      <c r="F1705" s="46">
        <f>IF(OR($S$1695="",$D1705=0,$D1705="",$E1705=""),"",$E1705/$D1705*100)</f>
        <v/>
      </c>
      <c r="G1705" s="8" t="n"/>
      <c r="H1705" s="47">
        <f>IF($F1705="","",REPT("■",ROUND($F1705/5,0)))</f>
        <v/>
      </c>
      <c r="I1705" s="7" t="n"/>
      <c r="J1705" s="7" t="n"/>
      <c r="K1705" s="7" t="n"/>
      <c r="L1705" s="7" t="n"/>
      <c r="M1705" s="7" t="n"/>
      <c r="N1705" s="7" t="n"/>
      <c r="O1705" s="7" t="n"/>
      <c r="P1705" s="8" t="n"/>
    </row>
    <row r="1706">
      <c r="A1706" s="5">
        <f>IF($R$1684="","","합계")</f>
        <v/>
      </c>
      <c r="B1706" s="7" t="n"/>
      <c r="C1706" s="8" t="n"/>
      <c r="D1706" s="5">
        <f>IF($R$1684="","",SUM(D1694:D1705))</f>
        <v/>
      </c>
      <c r="E1706" s="5">
        <f>IF($R$1684="","",SUM(E1694:E1705))</f>
        <v/>
      </c>
      <c r="F1706" s="48">
        <f>IF(OR($D1706=0,$D1706=""),"",$E1706/$D1706*100)</f>
        <v/>
      </c>
      <c r="G1706" s="8" t="n"/>
      <c r="H1706" s="49">
        <f>IF($F1706="","",REPT("■",ROUND($F1706/5,0)))</f>
        <v/>
      </c>
      <c r="I1706" s="7" t="n"/>
      <c r="J1706" s="7" t="n"/>
      <c r="K1706" s="7" t="n"/>
      <c r="L1706" s="7" t="n"/>
      <c r="M1706" s="7" t="n"/>
      <c r="N1706" s="7" t="n"/>
      <c r="O1706" s="7" t="n"/>
      <c r="P1706" s="8" t="n"/>
    </row>
    <row r="1708">
      <c r="A1708" s="12" t="inlineStr">
        <is>
          <t>4. 문항 채점표</t>
        </is>
      </c>
    </row>
    <row r="1709">
      <c r="A1709" s="50" t="inlineStr">
        <is>
          <t>문항 번호</t>
        </is>
      </c>
      <c r="B1709" s="51" t="n">
        <v>1</v>
      </c>
      <c r="C1709" s="51" t="n">
        <v>2</v>
      </c>
      <c r="D1709" s="51" t="n">
        <v>3</v>
      </c>
      <c r="E1709" s="51" t="n">
        <v>4</v>
      </c>
      <c r="F1709" s="51" t="n">
        <v>5</v>
      </c>
      <c r="G1709" s="51" t="n">
        <v>6</v>
      </c>
      <c r="H1709" s="51" t="n">
        <v>7</v>
      </c>
      <c r="I1709" s="51" t="n">
        <v>8</v>
      </c>
      <c r="J1709" s="51" t="n">
        <v>9</v>
      </c>
      <c r="K1709" s="51" t="n">
        <v>10</v>
      </c>
      <c r="L1709" s="51" t="n">
        <v>11</v>
      </c>
      <c r="M1709" s="51" t="n">
        <v>12</v>
      </c>
      <c r="N1709" s="51" t="n">
        <v>13</v>
      </c>
      <c r="O1709" s="51" t="n">
        <v>14</v>
      </c>
      <c r="P1709" s="51" t="n">
        <v>15</v>
      </c>
    </row>
    <row r="1710">
      <c r="A1710" s="52" t="inlineStr">
        <is>
          <t>정답</t>
        </is>
      </c>
      <c r="B1710" s="33">
        <f>IF($R$1685="","",IF($R$1685="언어와 매체",자동계산!$D$4,자동계산!$B$4))</f>
        <v/>
      </c>
      <c r="C1710" s="33">
        <f>IF($R$1685="","",IF($R$1685="언어와 매체",자동계산!$D$5,자동계산!$B$5))</f>
        <v/>
      </c>
      <c r="D1710" s="33">
        <f>IF($R$1685="","",IF($R$1685="언어와 매체",자동계산!$D$6,자동계산!$B$6))</f>
        <v/>
      </c>
      <c r="E1710" s="33">
        <f>IF($R$1685="","",IF($R$1685="언어와 매체",자동계산!$D$7,자동계산!$B$7))</f>
        <v/>
      </c>
      <c r="F1710" s="33">
        <f>IF($R$1685="","",IF($R$1685="언어와 매체",자동계산!$D$8,자동계산!$B$8))</f>
        <v/>
      </c>
      <c r="G1710" s="33">
        <f>IF($R$1685="","",IF($R$1685="언어와 매체",자동계산!$D$9,자동계산!$B$9))</f>
        <v/>
      </c>
      <c r="H1710" s="33">
        <f>IF($R$1685="","",IF($R$1685="언어와 매체",자동계산!$D$10,자동계산!$B$10))</f>
        <v/>
      </c>
      <c r="I1710" s="33">
        <f>IF($R$1685="","",IF($R$1685="언어와 매체",자동계산!$D$11,자동계산!$B$11))</f>
        <v/>
      </c>
      <c r="J1710" s="33">
        <f>IF($R$1685="","",IF($R$1685="언어와 매체",자동계산!$D$12,자동계산!$B$12))</f>
        <v/>
      </c>
      <c r="K1710" s="33">
        <f>IF($R$1685="","",IF($R$1685="언어와 매체",자동계산!$D$13,자동계산!$B$13))</f>
        <v/>
      </c>
      <c r="L1710" s="33">
        <f>IF($R$1685="","",IF($R$1685="언어와 매체",자동계산!$D$14,자동계산!$B$14))</f>
        <v/>
      </c>
      <c r="M1710" s="33">
        <f>IF($R$1685="","",IF($R$1685="언어와 매체",자동계산!$D$15,자동계산!$B$15))</f>
        <v/>
      </c>
      <c r="N1710" s="33">
        <f>IF($R$1685="","",IF($R$1685="언어와 매체",자동계산!$D$16,자동계산!$B$16))</f>
        <v/>
      </c>
      <c r="O1710" s="33">
        <f>IF($R$1685="","",IF($R$1685="언어와 매체",자동계산!$D$17,자동계산!$B$17))</f>
        <v/>
      </c>
      <c r="P1710" s="33">
        <f>IF($R$1685="","",IF($R$1685="언어와 매체",자동계산!$D$18,자동계산!$B$18))</f>
        <v/>
      </c>
    </row>
    <row r="1711">
      <c r="A1711" s="52" t="inlineStr">
        <is>
          <t>학생답안</t>
        </is>
      </c>
      <c r="B1711" s="33">
        <f>IF($R$1684="","",INDEX(전체채점!E$3:E$62,$R$1684))</f>
        <v/>
      </c>
      <c r="C1711" s="33">
        <f>IF($R$1684="","",INDEX(전체채점!F$3:F$62,$R$1684))</f>
        <v/>
      </c>
      <c r="D1711" s="33">
        <f>IF($R$1684="","",INDEX(전체채점!G$3:G$62,$R$1684))</f>
        <v/>
      </c>
      <c r="E1711" s="33">
        <f>IF($R$1684="","",INDEX(전체채점!H$3:H$62,$R$1684))</f>
        <v/>
      </c>
      <c r="F1711" s="33">
        <f>IF($R$1684="","",INDEX(전체채점!I$3:I$62,$R$1684))</f>
        <v/>
      </c>
      <c r="G1711" s="33">
        <f>IF($R$1684="","",INDEX(전체채점!J$3:J$62,$R$1684))</f>
        <v/>
      </c>
      <c r="H1711" s="33">
        <f>IF($R$1684="","",INDEX(전체채점!K$3:K$62,$R$1684))</f>
        <v/>
      </c>
      <c r="I1711" s="33">
        <f>IF($R$1684="","",INDEX(전체채점!L$3:L$62,$R$1684))</f>
        <v/>
      </c>
      <c r="J1711" s="33">
        <f>IF($R$1684="","",INDEX(전체채점!M$3:M$62,$R$1684))</f>
        <v/>
      </c>
      <c r="K1711" s="33">
        <f>IF($R$1684="","",INDEX(전체채점!N$3:N$62,$R$1684))</f>
        <v/>
      </c>
      <c r="L1711" s="33">
        <f>IF($R$1684="","",INDEX(전체채점!O$3:O$62,$R$1684))</f>
        <v/>
      </c>
      <c r="M1711" s="33">
        <f>IF($R$1684="","",INDEX(전체채점!P$3:P$62,$R$1684))</f>
        <v/>
      </c>
      <c r="N1711" s="33">
        <f>IF($R$1684="","",INDEX(전체채점!Q$3:Q$62,$R$1684))</f>
        <v/>
      </c>
      <c r="O1711" s="33">
        <f>IF($R$1684="","",INDEX(전체채점!R$3:R$62,$R$1684))</f>
        <v/>
      </c>
      <c r="P1711" s="33">
        <f>IF($R$1684="","",INDEX(전체채점!S$3:S$62,$R$1684))</f>
        <v/>
      </c>
    </row>
    <row r="1712">
      <c r="A1712" s="52" t="inlineStr">
        <is>
          <t>정오</t>
        </is>
      </c>
      <c r="B1712" s="33">
        <f>IF($R$1684="","",INDEX(전체채점!AX$3:AX$62,$R$1684))</f>
        <v/>
      </c>
      <c r="C1712" s="33">
        <f>IF($R$1684="","",INDEX(전체채점!AY$3:AY$62,$R$1684))</f>
        <v/>
      </c>
      <c r="D1712" s="33">
        <f>IF($R$1684="","",INDEX(전체채점!AZ$3:AZ$62,$R$1684))</f>
        <v/>
      </c>
      <c r="E1712" s="33">
        <f>IF($R$1684="","",INDEX(전체채점!BA$3:BA$62,$R$1684))</f>
        <v/>
      </c>
      <c r="F1712" s="33">
        <f>IF($R$1684="","",INDEX(전체채점!BB$3:BB$62,$R$1684))</f>
        <v/>
      </c>
      <c r="G1712" s="33">
        <f>IF($R$1684="","",INDEX(전체채점!BC$3:BC$62,$R$1684))</f>
        <v/>
      </c>
      <c r="H1712" s="33">
        <f>IF($R$1684="","",INDEX(전체채점!BD$3:BD$62,$R$1684))</f>
        <v/>
      </c>
      <c r="I1712" s="33">
        <f>IF($R$1684="","",INDEX(전체채점!BE$3:BE$62,$R$1684))</f>
        <v/>
      </c>
      <c r="J1712" s="33">
        <f>IF($R$1684="","",INDEX(전체채점!BF$3:BF$62,$R$1684))</f>
        <v/>
      </c>
      <c r="K1712" s="33">
        <f>IF($R$1684="","",INDEX(전체채점!BG$3:BG$62,$R$1684))</f>
        <v/>
      </c>
      <c r="L1712" s="33">
        <f>IF($R$1684="","",INDEX(전체채점!BH$3:BH$62,$R$1684))</f>
        <v/>
      </c>
      <c r="M1712" s="33">
        <f>IF($R$1684="","",INDEX(전체채점!BI$3:BI$62,$R$1684))</f>
        <v/>
      </c>
      <c r="N1712" s="33">
        <f>IF($R$1684="","",INDEX(전체채점!BJ$3:BJ$62,$R$1684))</f>
        <v/>
      </c>
      <c r="O1712" s="33">
        <f>IF($R$1684="","",INDEX(전체채점!BK$3:BK$62,$R$1684))</f>
        <v/>
      </c>
      <c r="P1712" s="33">
        <f>IF($R$1684="","",INDEX(전체채점!BL$3:BL$62,$R$1684))</f>
        <v/>
      </c>
    </row>
    <row r="1713">
      <c r="A1713" s="50" t="inlineStr">
        <is>
          <t>문항 번호</t>
        </is>
      </c>
      <c r="B1713" s="51" t="n">
        <v>16</v>
      </c>
      <c r="C1713" s="51" t="n">
        <v>17</v>
      </c>
      <c r="D1713" s="51" t="n">
        <v>18</v>
      </c>
      <c r="E1713" s="51" t="n">
        <v>19</v>
      </c>
      <c r="F1713" s="51" t="n">
        <v>20</v>
      </c>
      <c r="G1713" s="51" t="n">
        <v>21</v>
      </c>
      <c r="H1713" s="51" t="n">
        <v>22</v>
      </c>
      <c r="I1713" s="51" t="n">
        <v>23</v>
      </c>
      <c r="J1713" s="51" t="n">
        <v>24</v>
      </c>
      <c r="K1713" s="51" t="n">
        <v>25</v>
      </c>
      <c r="L1713" s="51" t="n">
        <v>26</v>
      </c>
      <c r="M1713" s="51" t="n">
        <v>27</v>
      </c>
      <c r="N1713" s="51" t="n">
        <v>28</v>
      </c>
      <c r="O1713" s="51" t="n">
        <v>29</v>
      </c>
      <c r="P1713" s="51" t="n">
        <v>30</v>
      </c>
    </row>
    <row r="1714">
      <c r="A1714" s="52" t="inlineStr">
        <is>
          <t>정답</t>
        </is>
      </c>
      <c r="B1714" s="33">
        <f>IF($R$1685="","",IF($R$1685="언어와 매체",자동계산!$D$19,자동계산!$B$19))</f>
        <v/>
      </c>
      <c r="C1714" s="33">
        <f>IF($R$1685="","",IF($R$1685="언어와 매체",자동계산!$D$20,자동계산!$B$20))</f>
        <v/>
      </c>
      <c r="D1714" s="33">
        <f>IF($R$1685="","",IF($R$1685="언어와 매체",자동계산!$D$21,자동계산!$B$21))</f>
        <v/>
      </c>
      <c r="E1714" s="33">
        <f>IF($R$1685="","",IF($R$1685="언어와 매체",자동계산!$D$22,자동계산!$B$22))</f>
        <v/>
      </c>
      <c r="F1714" s="33">
        <f>IF($R$1685="","",IF($R$1685="언어와 매체",자동계산!$D$23,자동계산!$B$23))</f>
        <v/>
      </c>
      <c r="G1714" s="33">
        <f>IF($R$1685="","",IF($R$1685="언어와 매체",자동계산!$D$24,자동계산!$B$24))</f>
        <v/>
      </c>
      <c r="H1714" s="33">
        <f>IF($R$1685="","",IF($R$1685="언어와 매체",자동계산!$D$25,자동계산!$B$25))</f>
        <v/>
      </c>
      <c r="I1714" s="33">
        <f>IF($R$1685="","",IF($R$1685="언어와 매체",자동계산!$D$26,자동계산!$B$26))</f>
        <v/>
      </c>
      <c r="J1714" s="33">
        <f>IF($R$1685="","",IF($R$1685="언어와 매체",자동계산!$D$27,자동계산!$B$27))</f>
        <v/>
      </c>
      <c r="K1714" s="33">
        <f>IF($R$1685="","",IF($R$1685="언어와 매체",자동계산!$D$28,자동계산!$B$28))</f>
        <v/>
      </c>
      <c r="L1714" s="33">
        <f>IF($R$1685="","",IF($R$1685="언어와 매체",자동계산!$D$29,자동계산!$B$29))</f>
        <v/>
      </c>
      <c r="M1714" s="33">
        <f>IF($R$1685="","",IF($R$1685="언어와 매체",자동계산!$D$30,자동계산!$B$30))</f>
        <v/>
      </c>
      <c r="N1714" s="33">
        <f>IF($R$1685="","",IF($R$1685="언어와 매체",자동계산!$D$31,자동계산!$B$31))</f>
        <v/>
      </c>
      <c r="O1714" s="33">
        <f>IF($R$1685="","",IF($R$1685="언어와 매체",자동계산!$D$32,자동계산!$B$32))</f>
        <v/>
      </c>
      <c r="P1714" s="33">
        <f>IF($R$1685="","",IF($R$1685="언어와 매체",자동계산!$D$33,자동계산!$B$33))</f>
        <v/>
      </c>
    </row>
    <row r="1715">
      <c r="A1715" s="52" t="inlineStr">
        <is>
          <t>학생답안</t>
        </is>
      </c>
      <c r="B1715" s="33">
        <f>IF($R$1684="","",INDEX(전체채점!T$3:T$62,$R$1684))</f>
        <v/>
      </c>
      <c r="C1715" s="33">
        <f>IF($R$1684="","",INDEX(전체채점!U$3:U$62,$R$1684))</f>
        <v/>
      </c>
      <c r="D1715" s="33">
        <f>IF($R$1684="","",INDEX(전체채점!V$3:V$62,$R$1684))</f>
        <v/>
      </c>
      <c r="E1715" s="33">
        <f>IF($R$1684="","",INDEX(전체채점!W$3:W$62,$R$1684))</f>
        <v/>
      </c>
      <c r="F1715" s="33">
        <f>IF($R$1684="","",INDEX(전체채점!X$3:X$62,$R$1684))</f>
        <v/>
      </c>
      <c r="G1715" s="33">
        <f>IF($R$1684="","",INDEX(전체채점!Y$3:Y$62,$R$1684))</f>
        <v/>
      </c>
      <c r="H1715" s="33">
        <f>IF($R$1684="","",INDEX(전체채점!Z$3:Z$62,$R$1684))</f>
        <v/>
      </c>
      <c r="I1715" s="33">
        <f>IF($R$1684="","",INDEX(전체채점!AA$3:AA$62,$R$1684))</f>
        <v/>
      </c>
      <c r="J1715" s="33">
        <f>IF($R$1684="","",INDEX(전체채점!AB$3:AB$62,$R$1684))</f>
        <v/>
      </c>
      <c r="K1715" s="33">
        <f>IF($R$1684="","",INDEX(전체채점!AC$3:AC$62,$R$1684))</f>
        <v/>
      </c>
      <c r="L1715" s="33">
        <f>IF($R$1684="","",INDEX(전체채점!AD$3:AD$62,$R$1684))</f>
        <v/>
      </c>
      <c r="M1715" s="33">
        <f>IF($R$1684="","",INDEX(전체채점!AE$3:AE$62,$R$1684))</f>
        <v/>
      </c>
      <c r="N1715" s="33">
        <f>IF($R$1684="","",INDEX(전체채점!AF$3:AF$62,$R$1684))</f>
        <v/>
      </c>
      <c r="O1715" s="33">
        <f>IF($R$1684="","",INDEX(전체채점!AG$3:AG$62,$R$1684))</f>
        <v/>
      </c>
      <c r="P1715" s="33">
        <f>IF($R$1684="","",INDEX(전체채점!AH$3:AH$62,$R$1684))</f>
        <v/>
      </c>
    </row>
    <row r="1716">
      <c r="A1716" s="52" t="inlineStr">
        <is>
          <t>정오</t>
        </is>
      </c>
      <c r="B1716" s="33">
        <f>IF($R$1684="","",INDEX(전체채점!BM$3:BM$62,$R$1684))</f>
        <v/>
      </c>
      <c r="C1716" s="33">
        <f>IF($R$1684="","",INDEX(전체채점!BN$3:BN$62,$R$1684))</f>
        <v/>
      </c>
      <c r="D1716" s="33">
        <f>IF($R$1684="","",INDEX(전체채점!BO$3:BO$62,$R$1684))</f>
        <v/>
      </c>
      <c r="E1716" s="33">
        <f>IF($R$1684="","",INDEX(전체채점!BP$3:BP$62,$R$1684))</f>
        <v/>
      </c>
      <c r="F1716" s="33">
        <f>IF($R$1684="","",INDEX(전체채점!BQ$3:BQ$62,$R$1684))</f>
        <v/>
      </c>
      <c r="G1716" s="33">
        <f>IF($R$1684="","",INDEX(전체채점!BR$3:BR$62,$R$1684))</f>
        <v/>
      </c>
      <c r="H1716" s="33">
        <f>IF($R$1684="","",INDEX(전체채점!BS$3:BS$62,$R$1684))</f>
        <v/>
      </c>
      <c r="I1716" s="33">
        <f>IF($R$1684="","",INDEX(전체채점!BT$3:BT$62,$R$1684))</f>
        <v/>
      </c>
      <c r="J1716" s="33">
        <f>IF($R$1684="","",INDEX(전체채점!BU$3:BU$62,$R$1684))</f>
        <v/>
      </c>
      <c r="K1716" s="33">
        <f>IF($R$1684="","",INDEX(전체채점!BV$3:BV$62,$R$1684))</f>
        <v/>
      </c>
      <c r="L1716" s="33">
        <f>IF($R$1684="","",INDEX(전체채점!BW$3:BW$62,$R$1684))</f>
        <v/>
      </c>
      <c r="M1716" s="33">
        <f>IF($R$1684="","",INDEX(전체채점!BX$3:BX$62,$R$1684))</f>
        <v/>
      </c>
      <c r="N1716" s="33">
        <f>IF($R$1684="","",INDEX(전체채점!BY$3:BY$62,$R$1684))</f>
        <v/>
      </c>
      <c r="O1716" s="33">
        <f>IF($R$1684="","",INDEX(전체채점!BZ$3:BZ$62,$R$1684))</f>
        <v/>
      </c>
      <c r="P1716" s="33">
        <f>IF($R$1684="","",INDEX(전체채점!CA$3:CA$62,$R$1684))</f>
        <v/>
      </c>
    </row>
    <row r="1717">
      <c r="A1717" s="50" t="inlineStr">
        <is>
          <t>문항 번호</t>
        </is>
      </c>
      <c r="B1717" s="51" t="n">
        <v>31</v>
      </c>
      <c r="C1717" s="51" t="n">
        <v>32</v>
      </c>
      <c r="D1717" s="51" t="n">
        <v>33</v>
      </c>
      <c r="E1717" s="51" t="n">
        <v>34</v>
      </c>
      <c r="F1717" s="51" t="n">
        <v>35</v>
      </c>
      <c r="G1717" s="51" t="n">
        <v>36</v>
      </c>
      <c r="H1717" s="51" t="n">
        <v>37</v>
      </c>
      <c r="I1717" s="51" t="n">
        <v>38</v>
      </c>
      <c r="J1717" s="51" t="n">
        <v>39</v>
      </c>
      <c r="K1717" s="51" t="n">
        <v>40</v>
      </c>
      <c r="L1717" s="51" t="n">
        <v>41</v>
      </c>
      <c r="M1717" s="51" t="n">
        <v>42</v>
      </c>
      <c r="N1717" s="51" t="n">
        <v>43</v>
      </c>
      <c r="O1717" s="51" t="n">
        <v>44</v>
      </c>
      <c r="P1717" s="51" t="n">
        <v>45</v>
      </c>
    </row>
    <row r="1718">
      <c r="A1718" s="52" t="inlineStr">
        <is>
          <t>정답</t>
        </is>
      </c>
      <c r="B1718" s="33">
        <f>IF($R$1685="","",IF($R$1685="언어와 매체",자동계산!$D$34,자동계산!$B$34))</f>
        <v/>
      </c>
      <c r="C1718" s="33">
        <f>IF($R$1685="","",IF($R$1685="언어와 매체",자동계산!$D$35,자동계산!$B$35))</f>
        <v/>
      </c>
      <c r="D1718" s="33">
        <f>IF($R$1685="","",IF($R$1685="언어와 매체",자동계산!$D$36,자동계산!$B$36))</f>
        <v/>
      </c>
      <c r="E1718" s="33">
        <f>IF($R$1685="","",IF($R$1685="언어와 매체",자동계산!$D$37,자동계산!$B$37))</f>
        <v/>
      </c>
      <c r="F1718" s="33">
        <f>IF($R$1685="","",IF($R$1685="언어와 매체",자동계산!$D$38,자동계산!$B$38))</f>
        <v/>
      </c>
      <c r="G1718" s="33">
        <f>IF($R$1685="","",IF($R$1685="언어와 매체",자동계산!$D$39,자동계산!$B$39))</f>
        <v/>
      </c>
      <c r="H1718" s="33">
        <f>IF($R$1685="","",IF($R$1685="언어와 매체",자동계산!$D$40,자동계산!$B$40))</f>
        <v/>
      </c>
      <c r="I1718" s="33">
        <f>IF($R$1685="","",IF($R$1685="언어와 매체",자동계산!$D$41,자동계산!$B$41))</f>
        <v/>
      </c>
      <c r="J1718" s="33">
        <f>IF($R$1685="","",IF($R$1685="언어와 매체",자동계산!$D$42,자동계산!$B$42))</f>
        <v/>
      </c>
      <c r="K1718" s="33">
        <f>IF($R$1685="","",IF($R$1685="언어와 매체",자동계산!$D$43,자동계산!$B$43))</f>
        <v/>
      </c>
      <c r="L1718" s="33">
        <f>IF($R$1685="","",IF($R$1685="언어와 매체",자동계산!$D$44,자동계산!$B$44))</f>
        <v/>
      </c>
      <c r="M1718" s="33">
        <f>IF($R$1685="","",IF($R$1685="언어와 매체",자동계산!$D$45,자동계산!$B$45))</f>
        <v/>
      </c>
      <c r="N1718" s="33">
        <f>IF($R$1685="","",IF($R$1685="언어와 매체",자동계산!$D$46,자동계산!$B$46))</f>
        <v/>
      </c>
      <c r="O1718" s="33">
        <f>IF($R$1685="","",IF($R$1685="언어와 매체",자동계산!$D$47,자동계산!$B$47))</f>
        <v/>
      </c>
      <c r="P1718" s="33">
        <f>IF($R$1685="","",IF($R$1685="언어와 매체",자동계산!$D$48,자동계산!$B$48))</f>
        <v/>
      </c>
    </row>
    <row r="1719">
      <c r="A1719" s="52" t="inlineStr">
        <is>
          <t>학생답안</t>
        </is>
      </c>
      <c r="B1719" s="33">
        <f>IF($R$1684="","",INDEX(전체채점!AI$3:AI$62,$R$1684))</f>
        <v/>
      </c>
      <c r="C1719" s="33">
        <f>IF($R$1684="","",INDEX(전체채점!AJ$3:AJ$62,$R$1684))</f>
        <v/>
      </c>
      <c r="D1719" s="33">
        <f>IF($R$1684="","",INDEX(전체채점!AK$3:AK$62,$R$1684))</f>
        <v/>
      </c>
      <c r="E1719" s="33">
        <f>IF($R$1684="","",INDEX(전체채점!AL$3:AL$62,$R$1684))</f>
        <v/>
      </c>
      <c r="F1719" s="33">
        <f>IF($R$1684="","",INDEX(전체채점!AM$3:AM$62,$R$1684))</f>
        <v/>
      </c>
      <c r="G1719" s="33">
        <f>IF($R$1684="","",INDEX(전체채점!AN$3:AN$62,$R$1684))</f>
        <v/>
      </c>
      <c r="H1719" s="33">
        <f>IF($R$1684="","",INDEX(전체채점!AO$3:AO$62,$R$1684))</f>
        <v/>
      </c>
      <c r="I1719" s="33">
        <f>IF($R$1684="","",INDEX(전체채점!AP$3:AP$62,$R$1684))</f>
        <v/>
      </c>
      <c r="J1719" s="33">
        <f>IF($R$1684="","",INDEX(전체채점!AQ$3:AQ$62,$R$1684))</f>
        <v/>
      </c>
      <c r="K1719" s="33">
        <f>IF($R$1684="","",INDEX(전체채점!AR$3:AR$62,$R$1684))</f>
        <v/>
      </c>
      <c r="L1719" s="33">
        <f>IF($R$1684="","",INDEX(전체채점!AS$3:AS$62,$R$1684))</f>
        <v/>
      </c>
      <c r="M1719" s="33">
        <f>IF($R$1684="","",INDEX(전체채점!AT$3:AT$62,$R$1684))</f>
        <v/>
      </c>
      <c r="N1719" s="33">
        <f>IF($R$1684="","",INDEX(전체채점!AU$3:AU$62,$R$1684))</f>
        <v/>
      </c>
      <c r="O1719" s="33">
        <f>IF($R$1684="","",INDEX(전체채점!AV$3:AV$62,$R$1684))</f>
        <v/>
      </c>
      <c r="P1719" s="33">
        <f>IF($R$1684="","",INDEX(전체채점!AW$3:AW$62,$R$1684))</f>
        <v/>
      </c>
    </row>
    <row r="1720">
      <c r="A1720" s="52" t="inlineStr">
        <is>
          <t>정오</t>
        </is>
      </c>
      <c r="B1720" s="33">
        <f>IF($R$1684="","",INDEX(전체채점!CB$3:CB$62,$R$1684))</f>
        <v/>
      </c>
      <c r="C1720" s="33">
        <f>IF($R$1684="","",INDEX(전체채점!CC$3:CC$62,$R$1684))</f>
        <v/>
      </c>
      <c r="D1720" s="33">
        <f>IF($R$1684="","",INDEX(전체채점!CD$3:CD$62,$R$1684))</f>
        <v/>
      </c>
      <c r="E1720" s="33">
        <f>IF($R$1684="","",INDEX(전체채점!CE$3:CE$62,$R$1684))</f>
        <v/>
      </c>
      <c r="F1720" s="33">
        <f>IF($R$1684="","",INDEX(전체채점!CF$3:CF$62,$R$1684))</f>
        <v/>
      </c>
      <c r="G1720" s="33">
        <f>IF($R$1684="","",INDEX(전체채점!CG$3:CG$62,$R$1684))</f>
        <v/>
      </c>
      <c r="H1720" s="33">
        <f>IF($R$1684="","",INDEX(전체채점!CH$3:CH$62,$R$1684))</f>
        <v/>
      </c>
      <c r="I1720" s="33">
        <f>IF($R$1684="","",INDEX(전체채점!CI$3:CI$62,$R$1684))</f>
        <v/>
      </c>
      <c r="J1720" s="33">
        <f>IF($R$1684="","",INDEX(전체채점!CJ$3:CJ$62,$R$1684))</f>
        <v/>
      </c>
      <c r="K1720" s="33">
        <f>IF($R$1684="","",INDEX(전체채점!CK$3:CK$62,$R$1684))</f>
        <v/>
      </c>
      <c r="L1720" s="33">
        <f>IF($R$1684="","",INDEX(전체채점!CL$3:CL$62,$R$1684))</f>
        <v/>
      </c>
      <c r="M1720" s="33">
        <f>IF($R$1684="","",INDEX(전체채점!CM$3:CM$62,$R$1684))</f>
        <v/>
      </c>
      <c r="N1720" s="33">
        <f>IF($R$1684="","",INDEX(전체채점!CN$3:CN$62,$R$1684))</f>
        <v/>
      </c>
      <c r="O1720" s="33">
        <f>IF($R$1684="","",INDEX(전체채점!CO$3:CO$62,$R$1684))</f>
        <v/>
      </c>
      <c r="P1720" s="33">
        <f>IF($R$1684="","",INDEX(전체채점!CP$3:CP$62,$R$1684))</f>
        <v/>
      </c>
    </row>
    <row r="1723" ht="34" customHeight="1">
      <c r="A1723" s="36">
        <f>IF($R$1725="","",회차설정!$B$2&amp;" 성적표")</f>
        <v/>
      </c>
    </row>
    <row r="1725">
      <c r="A1725" s="12" t="inlineStr">
        <is>
          <t>1. 학생정보</t>
        </is>
      </c>
      <c r="R1725" s="37">
        <f>IF(답안입력!$A$45="","",43)</f>
        <v/>
      </c>
      <c r="S1725" s="37">
        <f>IF($R$1726="","",IFERROR(IF($R$1726="언어와 매체",MATCH(1,회차설정!$G$13:$G$27,0),MATCH(1,회차설정!$F$13:$F$27,0)),""))</f>
        <v/>
      </c>
    </row>
    <row r="1726">
      <c r="A1726" s="13" t="inlineStr">
        <is>
          <t>성명</t>
        </is>
      </c>
      <c r="B1726" s="7" t="n"/>
      <c r="C1726" s="8" t="n"/>
      <c r="D1726" s="13" t="inlineStr">
        <is>
          <t>선택과목</t>
        </is>
      </c>
      <c r="E1726" s="7" t="n"/>
      <c r="F1726" s="7" t="n"/>
      <c r="G1726" s="8" t="n"/>
      <c r="H1726" s="13" t="inlineStr">
        <is>
          <t>학년</t>
        </is>
      </c>
      <c r="I1726" s="7" t="n"/>
      <c r="J1726" s="7" t="n"/>
      <c r="K1726" s="8" t="n"/>
      <c r="L1726" s="13" t="inlineStr">
        <is>
          <t>시행일</t>
        </is>
      </c>
      <c r="M1726" s="7" t="n"/>
      <c r="N1726" s="7" t="n"/>
      <c r="O1726" s="7" t="n"/>
      <c r="P1726" s="8" t="n"/>
      <c r="R1726" s="37">
        <f>IF($R$1725="","",INDEX(전체채점!$B$3:$B$62,$R$1725))</f>
        <v/>
      </c>
      <c r="S1726" s="37">
        <f>IF($R$1726="","",IFERROR(IF($R$1726="언어와 매체",MATCH(2,회차설정!$G$13:$G$27,0),MATCH(2,회차설정!$F$13:$F$27,0)),""))</f>
        <v/>
      </c>
    </row>
    <row r="1727" ht="26" customHeight="1">
      <c r="A1727" s="39">
        <f>IF($R$1725="","",INDEX(답안입력!$A$3:$A$62,$R$1725))</f>
        <v/>
      </c>
      <c r="B1727" s="7" t="n"/>
      <c r="C1727" s="8" t="n"/>
      <c r="D1727" s="39">
        <f>IF($R$1725="","",INDEX(답안입력!$C$3:$C$62,$R$1725))</f>
        <v/>
      </c>
      <c r="E1727" s="7" t="n"/>
      <c r="F1727" s="7" t="n"/>
      <c r="G1727" s="8" t="n"/>
      <c r="H1727" s="39">
        <f>IF($R$1725="","",INDEX(답안입력!$B$3:$B$62,$R$1725))</f>
        <v/>
      </c>
      <c r="I1727" s="7" t="n"/>
      <c r="J1727" s="7" t="n"/>
      <c r="K1727" s="8" t="n"/>
      <c r="L1727" s="40">
        <f>회차설정!$B$3</f>
        <v/>
      </c>
      <c r="M1727" s="7" t="n"/>
      <c r="N1727" s="7" t="n"/>
      <c r="O1727" s="7" t="n"/>
      <c r="P1727" s="8" t="n"/>
      <c r="R1727" s="37">
        <f>IF($R$1726="언어와 매체",회차설정!$B$9,회차설정!$B$8)</f>
        <v/>
      </c>
      <c r="S1727" s="37">
        <f>IF($R$1726="","",IFERROR(IF($R$1726="언어와 매체",MATCH(3,회차설정!$G$13:$G$27,0),MATCH(3,회차설정!$F$13:$F$27,0)),""))</f>
        <v/>
      </c>
    </row>
    <row r="1728">
      <c r="R1728" s="37">
        <f>IF($R$1726="언어와 매체",회차설정!$C$9,회차설정!$C$8)</f>
        <v/>
      </c>
      <c r="S1728" s="37">
        <f>IF($R$1726="","",IFERROR(IF($R$1726="언어와 매체",MATCH(4,회차설정!$G$13:$G$27,0),MATCH(4,회차설정!$F$13:$F$27,0)),""))</f>
        <v/>
      </c>
    </row>
    <row r="1729">
      <c r="A1729" s="12" t="inlineStr">
        <is>
          <t>2. 성적</t>
        </is>
      </c>
      <c r="R1729" s="37">
        <f>IF($R$1726="언어와 매체",회차설정!$D$9,회차설정!$D$8)</f>
        <v/>
      </c>
      <c r="S1729" s="37">
        <f>IF($R$1726="","",IFERROR(IF($R$1726="언어와 매체",MATCH(5,회차설정!$G$13:$G$27,0),MATCH(5,회차설정!$F$13:$F$27,0)),""))</f>
        <v/>
      </c>
    </row>
    <row r="1730">
      <c r="A1730" s="13" t="inlineStr">
        <is>
          <t>점수 (100점 만점)</t>
        </is>
      </c>
      <c r="B1730" s="7" t="n"/>
      <c r="C1730" s="7" t="n"/>
      <c r="D1730" s="7" t="n"/>
      <c r="E1730" s="8" t="n"/>
      <c r="F1730" s="13" t="inlineStr">
        <is>
          <t>등급</t>
        </is>
      </c>
      <c r="G1730" s="7" t="n"/>
      <c r="H1730" s="8" t="n"/>
      <c r="I1730" s="13" t="inlineStr">
        <is>
          <t>등급컷</t>
        </is>
      </c>
      <c r="J1730" s="7" t="n"/>
      <c r="K1730" s="7" t="n"/>
      <c r="L1730" s="8" t="n"/>
      <c r="M1730" s="13" t="inlineStr">
        <is>
          <t>같은 선택과목 평균</t>
        </is>
      </c>
      <c r="N1730" s="7" t="n"/>
      <c r="O1730" s="7" t="n"/>
      <c r="P1730" s="8" t="n"/>
      <c r="R1730" s="37">
        <f>IF($R$1726="언어와 매체",회차설정!$E$9,회차설정!$E$8)</f>
        <v/>
      </c>
      <c r="S1730" s="37">
        <f>IF($R$1726="","",IFERROR(IF($R$1726="언어와 매체",MATCH(6,회차설정!$G$13:$G$27,0),MATCH(6,회차설정!$F$13:$F$27,0)),""))</f>
        <v/>
      </c>
    </row>
    <row r="1731" ht="34" customHeight="1">
      <c r="A1731" s="41">
        <f>IF($R$1725="","",INDEX(전체채점!$C$3:$C$62,$R$1725))</f>
        <v/>
      </c>
      <c r="B1731" s="7" t="n"/>
      <c r="C1731" s="7" t="n"/>
      <c r="D1731" s="7" t="n"/>
      <c r="E1731" s="8" t="n"/>
      <c r="F1731" s="42">
        <f>IF($R$1725="","",INDEX(전체채점!$D$3:$D$62,$R$1725))</f>
        <v/>
      </c>
      <c r="G1731" s="7" t="n"/>
      <c r="H1731" s="8" t="n"/>
      <c r="I1731" s="43">
        <f>IF($R$1725="","",$R$1727&amp;"-"&amp;$R$1728&amp;"-"&amp;$R$1729&amp;"-"&amp;$R$1730)</f>
        <v/>
      </c>
      <c r="J1731" s="7" t="n"/>
      <c r="K1731" s="7" t="n"/>
      <c r="L1731" s="8" t="n"/>
      <c r="M1731" s="44">
        <f>IFERROR(AVERAGEIF(전체채점!$B$3:$B$62,$R$1726,전체채점!$C$3:$C$62),"")</f>
        <v/>
      </c>
      <c r="N1731" s="7" t="n"/>
      <c r="O1731" s="7" t="n"/>
      <c r="P1731" s="8" t="n"/>
      <c r="S1731" s="37">
        <f>IF($R$1726="","",IFERROR(IF($R$1726="언어와 매체",MATCH(7,회차설정!$G$13:$G$27,0),MATCH(7,회차설정!$F$13:$F$27,0)),""))</f>
        <v/>
      </c>
    </row>
    <row r="1732">
      <c r="S1732" s="37">
        <f>IF($R$1726="","",IFERROR(IF($R$1726="언어와 매체",MATCH(8,회차설정!$G$13:$G$27,0),MATCH(8,회차설정!$F$13:$F$27,0)),""))</f>
        <v/>
      </c>
    </row>
    <row r="1733">
      <c r="A1733" s="12" t="inlineStr">
        <is>
          <t>3. 영역분류별 성취도 분석</t>
        </is>
      </c>
      <c r="F1733" s="45">
        <f>IF(OR($R$1725="",$E1747=""),"",IF($E1747=INDEX(전체채점!$C$3:$C$62,$R$1725),"","※ 회차설정의 영역 표를 확인하세요 — 영역 합계와 점수가 다릅니다"))</f>
        <v/>
      </c>
      <c r="S1733" s="37">
        <f>IF($R$1726="","",IFERROR(IF($R$1726="언어와 매체",MATCH(9,회차설정!$G$13:$G$27,0),MATCH(9,회차설정!$F$13:$F$27,0)),""))</f>
        <v/>
      </c>
    </row>
    <row r="1734">
      <c r="A1734" s="13" t="inlineStr">
        <is>
          <t>분류</t>
        </is>
      </c>
      <c r="B1734" s="13" t="inlineStr">
        <is>
          <t>영역</t>
        </is>
      </c>
      <c r="C1734" s="8" t="n"/>
      <c r="D1734" s="13" t="inlineStr">
        <is>
          <t>배점</t>
        </is>
      </c>
      <c r="E1734" s="13" t="inlineStr">
        <is>
          <t>득점</t>
        </is>
      </c>
      <c r="F1734" s="13" t="inlineStr">
        <is>
          <t>성취도(%)</t>
        </is>
      </c>
      <c r="G1734" s="8" t="n"/>
      <c r="H1734" s="13" t="inlineStr"/>
      <c r="I1734" s="7" t="n"/>
      <c r="J1734" s="7" t="n"/>
      <c r="K1734" s="7" t="n"/>
      <c r="L1734" s="7" t="n"/>
      <c r="M1734" s="7" t="n"/>
      <c r="N1734" s="7" t="n"/>
      <c r="O1734" s="7" t="n"/>
      <c r="P1734" s="8" t="n"/>
      <c r="S1734" s="37">
        <f>IF($R$1726="","",IFERROR(IF($R$1726="언어와 매체",MATCH(10,회차설정!$G$13:$G$27,0),MATCH(10,회차설정!$F$13:$F$27,0)),""))</f>
        <v/>
      </c>
    </row>
    <row r="1735">
      <c r="A1735" s="14">
        <f>IF($S$1725="","",INDEX(회차설정!$A$13:$A$27,$S$1725))</f>
        <v/>
      </c>
      <c r="B1735" s="14">
        <f>IF($S$1725="","",INDEX(회차설정!$B$13:$B$27,$S$1725))</f>
        <v/>
      </c>
      <c r="C1735" s="8" t="n"/>
      <c r="D1735" s="14">
        <f>IF($S$1725="","",IF($R$1726="언어와 매체",SUMPRODUCT((자동계산!$A$4:$A$48&gt;=INDEX(회차설정!$C$13:$C$27,$S$1725))*(자동계산!$A$4:$A$48&lt;=INDEX(회차설정!$D$13:$D$27,$S$1725))*자동계산!$E$4:$E$48),SUMPRODUCT((자동계산!$A$4:$A$48&gt;=INDEX(회차설정!$C$13:$C$27,$S$1725))*(자동계산!$A$4:$A$48&lt;=INDEX(회차설정!$D$13:$D$27,$S$1725))*자동계산!$C$4:$C$48)))</f>
        <v/>
      </c>
      <c r="E1735" s="14">
        <f>IF(OR($S$1725="",$R$1725=""),"",SUM(OFFSET(전체채점!$AW$2,$R$1725,INDEX(회차설정!$C$13:$C$27,$S$1725),1,INDEX(회차설정!$D$13:$D$27,$S$1725)-INDEX(회차설정!$C$13:$C$27,$S$1725)+1)))</f>
        <v/>
      </c>
      <c r="F1735" s="46">
        <f>IF(OR($S$1725="",$D1735=0,$D1735="",$E1735=""),"",$E1735/$D1735*100)</f>
        <v/>
      </c>
      <c r="G1735" s="8" t="n"/>
      <c r="H1735" s="47">
        <f>IF($F1735="","",REPT("■",ROUND($F1735/5,0)))</f>
        <v/>
      </c>
      <c r="I1735" s="7" t="n"/>
      <c r="J1735" s="7" t="n"/>
      <c r="K1735" s="7" t="n"/>
      <c r="L1735" s="7" t="n"/>
      <c r="M1735" s="7" t="n"/>
      <c r="N1735" s="7" t="n"/>
      <c r="O1735" s="7" t="n"/>
      <c r="P1735" s="8" t="n"/>
      <c r="S1735" s="37">
        <f>IF($R$1726="","",IFERROR(IF($R$1726="언어와 매체",MATCH(11,회차설정!$G$13:$G$27,0),MATCH(11,회차설정!$F$13:$F$27,0)),""))</f>
        <v/>
      </c>
    </row>
    <row r="1736">
      <c r="A1736" s="14">
        <f>IF($S$1726="","",INDEX(회차설정!$A$13:$A$27,$S$1726))</f>
        <v/>
      </c>
      <c r="B1736" s="14">
        <f>IF($S$1726="","",INDEX(회차설정!$B$13:$B$27,$S$1726))</f>
        <v/>
      </c>
      <c r="C1736" s="8" t="n"/>
      <c r="D1736" s="14">
        <f>IF($S$1726="","",IF($R$1726="언어와 매체",SUMPRODUCT((자동계산!$A$4:$A$48&gt;=INDEX(회차설정!$C$13:$C$27,$S$1726))*(자동계산!$A$4:$A$48&lt;=INDEX(회차설정!$D$13:$D$27,$S$1726))*자동계산!$E$4:$E$48),SUMPRODUCT((자동계산!$A$4:$A$48&gt;=INDEX(회차설정!$C$13:$C$27,$S$1726))*(자동계산!$A$4:$A$48&lt;=INDEX(회차설정!$D$13:$D$27,$S$1726))*자동계산!$C$4:$C$48)))</f>
        <v/>
      </c>
      <c r="E1736" s="14">
        <f>IF(OR($S$1726="",$R$1725=""),"",SUM(OFFSET(전체채점!$AW$2,$R$1725,INDEX(회차설정!$C$13:$C$27,$S$1726),1,INDEX(회차설정!$D$13:$D$27,$S$1726)-INDEX(회차설정!$C$13:$C$27,$S$1726)+1)))</f>
        <v/>
      </c>
      <c r="F1736" s="46">
        <f>IF(OR($S$1726="",$D1736=0,$D1736="",$E1736=""),"",$E1736/$D1736*100)</f>
        <v/>
      </c>
      <c r="G1736" s="8" t="n"/>
      <c r="H1736" s="47">
        <f>IF($F1736="","",REPT("■",ROUND($F1736/5,0)))</f>
        <v/>
      </c>
      <c r="I1736" s="7" t="n"/>
      <c r="J1736" s="7" t="n"/>
      <c r="K1736" s="7" t="n"/>
      <c r="L1736" s="7" t="n"/>
      <c r="M1736" s="7" t="n"/>
      <c r="N1736" s="7" t="n"/>
      <c r="O1736" s="7" t="n"/>
      <c r="P1736" s="8" t="n"/>
      <c r="S1736" s="37">
        <f>IF($R$1726="","",IFERROR(IF($R$1726="언어와 매체",MATCH(12,회차설정!$G$13:$G$27,0),MATCH(12,회차설정!$F$13:$F$27,0)),""))</f>
        <v/>
      </c>
    </row>
    <row r="1737">
      <c r="A1737" s="14">
        <f>IF($S$1727="","",INDEX(회차설정!$A$13:$A$27,$S$1727))</f>
        <v/>
      </c>
      <c r="B1737" s="14">
        <f>IF($S$1727="","",INDEX(회차설정!$B$13:$B$27,$S$1727))</f>
        <v/>
      </c>
      <c r="C1737" s="8" t="n"/>
      <c r="D1737" s="14">
        <f>IF($S$1727="","",IF($R$1726="언어와 매체",SUMPRODUCT((자동계산!$A$4:$A$48&gt;=INDEX(회차설정!$C$13:$C$27,$S$1727))*(자동계산!$A$4:$A$48&lt;=INDEX(회차설정!$D$13:$D$27,$S$1727))*자동계산!$E$4:$E$48),SUMPRODUCT((자동계산!$A$4:$A$48&gt;=INDEX(회차설정!$C$13:$C$27,$S$1727))*(자동계산!$A$4:$A$48&lt;=INDEX(회차설정!$D$13:$D$27,$S$1727))*자동계산!$C$4:$C$48)))</f>
        <v/>
      </c>
      <c r="E1737" s="14">
        <f>IF(OR($S$1727="",$R$1725=""),"",SUM(OFFSET(전체채점!$AW$2,$R$1725,INDEX(회차설정!$C$13:$C$27,$S$1727),1,INDEX(회차설정!$D$13:$D$27,$S$1727)-INDEX(회차설정!$C$13:$C$27,$S$1727)+1)))</f>
        <v/>
      </c>
      <c r="F1737" s="46">
        <f>IF(OR($S$1727="",$D1737=0,$D1737="",$E1737=""),"",$E1737/$D1737*100)</f>
        <v/>
      </c>
      <c r="G1737" s="8" t="n"/>
      <c r="H1737" s="47">
        <f>IF($F1737="","",REPT("■",ROUND($F1737/5,0)))</f>
        <v/>
      </c>
      <c r="I1737" s="7" t="n"/>
      <c r="J1737" s="7" t="n"/>
      <c r="K1737" s="7" t="n"/>
      <c r="L1737" s="7" t="n"/>
      <c r="M1737" s="7" t="n"/>
      <c r="N1737" s="7" t="n"/>
      <c r="O1737" s="7" t="n"/>
      <c r="P1737" s="8" t="n"/>
    </row>
    <row r="1738">
      <c r="A1738" s="14">
        <f>IF($S$1728="","",INDEX(회차설정!$A$13:$A$27,$S$1728))</f>
        <v/>
      </c>
      <c r="B1738" s="14">
        <f>IF($S$1728="","",INDEX(회차설정!$B$13:$B$27,$S$1728))</f>
        <v/>
      </c>
      <c r="C1738" s="8" t="n"/>
      <c r="D1738" s="14">
        <f>IF($S$1728="","",IF($R$1726="언어와 매체",SUMPRODUCT((자동계산!$A$4:$A$48&gt;=INDEX(회차설정!$C$13:$C$27,$S$1728))*(자동계산!$A$4:$A$48&lt;=INDEX(회차설정!$D$13:$D$27,$S$1728))*자동계산!$E$4:$E$48),SUMPRODUCT((자동계산!$A$4:$A$48&gt;=INDEX(회차설정!$C$13:$C$27,$S$1728))*(자동계산!$A$4:$A$48&lt;=INDEX(회차설정!$D$13:$D$27,$S$1728))*자동계산!$C$4:$C$48)))</f>
        <v/>
      </c>
      <c r="E1738" s="14">
        <f>IF(OR($S$1728="",$R$1725=""),"",SUM(OFFSET(전체채점!$AW$2,$R$1725,INDEX(회차설정!$C$13:$C$27,$S$1728),1,INDEX(회차설정!$D$13:$D$27,$S$1728)-INDEX(회차설정!$C$13:$C$27,$S$1728)+1)))</f>
        <v/>
      </c>
      <c r="F1738" s="46">
        <f>IF(OR($S$1728="",$D1738=0,$D1738="",$E1738=""),"",$E1738/$D1738*100)</f>
        <v/>
      </c>
      <c r="G1738" s="8" t="n"/>
      <c r="H1738" s="47">
        <f>IF($F1738="","",REPT("■",ROUND($F1738/5,0)))</f>
        <v/>
      </c>
      <c r="I1738" s="7" t="n"/>
      <c r="J1738" s="7" t="n"/>
      <c r="K1738" s="7" t="n"/>
      <c r="L1738" s="7" t="n"/>
      <c r="M1738" s="7" t="n"/>
      <c r="N1738" s="7" t="n"/>
      <c r="O1738" s="7" t="n"/>
      <c r="P1738" s="8" t="n"/>
    </row>
    <row r="1739">
      <c r="A1739" s="14">
        <f>IF($S$1729="","",INDEX(회차설정!$A$13:$A$27,$S$1729))</f>
        <v/>
      </c>
      <c r="B1739" s="14">
        <f>IF($S$1729="","",INDEX(회차설정!$B$13:$B$27,$S$1729))</f>
        <v/>
      </c>
      <c r="C1739" s="8" t="n"/>
      <c r="D1739" s="14">
        <f>IF($S$1729="","",IF($R$1726="언어와 매체",SUMPRODUCT((자동계산!$A$4:$A$48&gt;=INDEX(회차설정!$C$13:$C$27,$S$1729))*(자동계산!$A$4:$A$48&lt;=INDEX(회차설정!$D$13:$D$27,$S$1729))*자동계산!$E$4:$E$48),SUMPRODUCT((자동계산!$A$4:$A$48&gt;=INDEX(회차설정!$C$13:$C$27,$S$1729))*(자동계산!$A$4:$A$48&lt;=INDEX(회차설정!$D$13:$D$27,$S$1729))*자동계산!$C$4:$C$48)))</f>
        <v/>
      </c>
      <c r="E1739" s="14">
        <f>IF(OR($S$1729="",$R$1725=""),"",SUM(OFFSET(전체채점!$AW$2,$R$1725,INDEX(회차설정!$C$13:$C$27,$S$1729),1,INDEX(회차설정!$D$13:$D$27,$S$1729)-INDEX(회차설정!$C$13:$C$27,$S$1729)+1)))</f>
        <v/>
      </c>
      <c r="F1739" s="46">
        <f>IF(OR($S$1729="",$D1739=0,$D1739="",$E1739=""),"",$E1739/$D1739*100)</f>
        <v/>
      </c>
      <c r="G1739" s="8" t="n"/>
      <c r="H1739" s="47">
        <f>IF($F1739="","",REPT("■",ROUND($F1739/5,0)))</f>
        <v/>
      </c>
      <c r="I1739" s="7" t="n"/>
      <c r="J1739" s="7" t="n"/>
      <c r="K1739" s="7" t="n"/>
      <c r="L1739" s="7" t="n"/>
      <c r="M1739" s="7" t="n"/>
      <c r="N1739" s="7" t="n"/>
      <c r="O1739" s="7" t="n"/>
      <c r="P1739" s="8" t="n"/>
    </row>
    <row r="1740">
      <c r="A1740" s="14">
        <f>IF($S$1730="","",INDEX(회차설정!$A$13:$A$27,$S$1730))</f>
        <v/>
      </c>
      <c r="B1740" s="14">
        <f>IF($S$1730="","",INDEX(회차설정!$B$13:$B$27,$S$1730))</f>
        <v/>
      </c>
      <c r="C1740" s="8" t="n"/>
      <c r="D1740" s="14">
        <f>IF($S$1730="","",IF($R$1726="언어와 매체",SUMPRODUCT((자동계산!$A$4:$A$48&gt;=INDEX(회차설정!$C$13:$C$27,$S$1730))*(자동계산!$A$4:$A$48&lt;=INDEX(회차설정!$D$13:$D$27,$S$1730))*자동계산!$E$4:$E$48),SUMPRODUCT((자동계산!$A$4:$A$48&gt;=INDEX(회차설정!$C$13:$C$27,$S$1730))*(자동계산!$A$4:$A$48&lt;=INDEX(회차설정!$D$13:$D$27,$S$1730))*자동계산!$C$4:$C$48)))</f>
        <v/>
      </c>
      <c r="E1740" s="14">
        <f>IF(OR($S$1730="",$R$1725=""),"",SUM(OFFSET(전체채점!$AW$2,$R$1725,INDEX(회차설정!$C$13:$C$27,$S$1730),1,INDEX(회차설정!$D$13:$D$27,$S$1730)-INDEX(회차설정!$C$13:$C$27,$S$1730)+1)))</f>
        <v/>
      </c>
      <c r="F1740" s="46">
        <f>IF(OR($S$1730="",$D1740=0,$D1740="",$E1740=""),"",$E1740/$D1740*100)</f>
        <v/>
      </c>
      <c r="G1740" s="8" t="n"/>
      <c r="H1740" s="47">
        <f>IF($F1740="","",REPT("■",ROUND($F1740/5,0)))</f>
        <v/>
      </c>
      <c r="I1740" s="7" t="n"/>
      <c r="J1740" s="7" t="n"/>
      <c r="K1740" s="7" t="n"/>
      <c r="L1740" s="7" t="n"/>
      <c r="M1740" s="7" t="n"/>
      <c r="N1740" s="7" t="n"/>
      <c r="O1740" s="7" t="n"/>
      <c r="P1740" s="8" t="n"/>
    </row>
    <row r="1741">
      <c r="A1741" s="14">
        <f>IF($S$1731="","",INDEX(회차설정!$A$13:$A$27,$S$1731))</f>
        <v/>
      </c>
      <c r="B1741" s="14">
        <f>IF($S$1731="","",INDEX(회차설정!$B$13:$B$27,$S$1731))</f>
        <v/>
      </c>
      <c r="C1741" s="8" t="n"/>
      <c r="D1741" s="14">
        <f>IF($S$1731="","",IF($R$1726="언어와 매체",SUMPRODUCT((자동계산!$A$4:$A$48&gt;=INDEX(회차설정!$C$13:$C$27,$S$1731))*(자동계산!$A$4:$A$48&lt;=INDEX(회차설정!$D$13:$D$27,$S$1731))*자동계산!$E$4:$E$48),SUMPRODUCT((자동계산!$A$4:$A$48&gt;=INDEX(회차설정!$C$13:$C$27,$S$1731))*(자동계산!$A$4:$A$48&lt;=INDEX(회차설정!$D$13:$D$27,$S$1731))*자동계산!$C$4:$C$48)))</f>
        <v/>
      </c>
      <c r="E1741" s="14">
        <f>IF(OR($S$1731="",$R$1725=""),"",SUM(OFFSET(전체채점!$AW$2,$R$1725,INDEX(회차설정!$C$13:$C$27,$S$1731),1,INDEX(회차설정!$D$13:$D$27,$S$1731)-INDEX(회차설정!$C$13:$C$27,$S$1731)+1)))</f>
        <v/>
      </c>
      <c r="F1741" s="46">
        <f>IF(OR($S$1731="",$D1741=0,$D1741="",$E1741=""),"",$E1741/$D1741*100)</f>
        <v/>
      </c>
      <c r="G1741" s="8" t="n"/>
      <c r="H1741" s="47">
        <f>IF($F1741="","",REPT("■",ROUND($F1741/5,0)))</f>
        <v/>
      </c>
      <c r="I1741" s="7" t="n"/>
      <c r="J1741" s="7" t="n"/>
      <c r="K1741" s="7" t="n"/>
      <c r="L1741" s="7" t="n"/>
      <c r="M1741" s="7" t="n"/>
      <c r="N1741" s="7" t="n"/>
      <c r="O1741" s="7" t="n"/>
      <c r="P1741" s="8" t="n"/>
    </row>
    <row r="1742">
      <c r="A1742" s="14">
        <f>IF($S$1732="","",INDEX(회차설정!$A$13:$A$27,$S$1732))</f>
        <v/>
      </c>
      <c r="B1742" s="14">
        <f>IF($S$1732="","",INDEX(회차설정!$B$13:$B$27,$S$1732))</f>
        <v/>
      </c>
      <c r="C1742" s="8" t="n"/>
      <c r="D1742" s="14">
        <f>IF($S$1732="","",IF($R$1726="언어와 매체",SUMPRODUCT((자동계산!$A$4:$A$48&gt;=INDEX(회차설정!$C$13:$C$27,$S$1732))*(자동계산!$A$4:$A$48&lt;=INDEX(회차설정!$D$13:$D$27,$S$1732))*자동계산!$E$4:$E$48),SUMPRODUCT((자동계산!$A$4:$A$48&gt;=INDEX(회차설정!$C$13:$C$27,$S$1732))*(자동계산!$A$4:$A$48&lt;=INDEX(회차설정!$D$13:$D$27,$S$1732))*자동계산!$C$4:$C$48)))</f>
        <v/>
      </c>
      <c r="E1742" s="14">
        <f>IF(OR($S$1732="",$R$1725=""),"",SUM(OFFSET(전체채점!$AW$2,$R$1725,INDEX(회차설정!$C$13:$C$27,$S$1732),1,INDEX(회차설정!$D$13:$D$27,$S$1732)-INDEX(회차설정!$C$13:$C$27,$S$1732)+1)))</f>
        <v/>
      </c>
      <c r="F1742" s="46">
        <f>IF(OR($S$1732="",$D1742=0,$D1742="",$E1742=""),"",$E1742/$D1742*100)</f>
        <v/>
      </c>
      <c r="G1742" s="8" t="n"/>
      <c r="H1742" s="47">
        <f>IF($F1742="","",REPT("■",ROUND($F1742/5,0)))</f>
        <v/>
      </c>
      <c r="I1742" s="7" t="n"/>
      <c r="J1742" s="7" t="n"/>
      <c r="K1742" s="7" t="n"/>
      <c r="L1742" s="7" t="n"/>
      <c r="M1742" s="7" t="n"/>
      <c r="N1742" s="7" t="n"/>
      <c r="O1742" s="7" t="n"/>
      <c r="P1742" s="8" t="n"/>
    </row>
    <row r="1743">
      <c r="A1743" s="14">
        <f>IF($S$1733="","",INDEX(회차설정!$A$13:$A$27,$S$1733))</f>
        <v/>
      </c>
      <c r="B1743" s="14">
        <f>IF($S$1733="","",INDEX(회차설정!$B$13:$B$27,$S$1733))</f>
        <v/>
      </c>
      <c r="C1743" s="8" t="n"/>
      <c r="D1743" s="14">
        <f>IF($S$1733="","",IF($R$1726="언어와 매체",SUMPRODUCT((자동계산!$A$4:$A$48&gt;=INDEX(회차설정!$C$13:$C$27,$S$1733))*(자동계산!$A$4:$A$48&lt;=INDEX(회차설정!$D$13:$D$27,$S$1733))*자동계산!$E$4:$E$48),SUMPRODUCT((자동계산!$A$4:$A$48&gt;=INDEX(회차설정!$C$13:$C$27,$S$1733))*(자동계산!$A$4:$A$48&lt;=INDEX(회차설정!$D$13:$D$27,$S$1733))*자동계산!$C$4:$C$48)))</f>
        <v/>
      </c>
      <c r="E1743" s="14">
        <f>IF(OR($S$1733="",$R$1725=""),"",SUM(OFFSET(전체채점!$AW$2,$R$1725,INDEX(회차설정!$C$13:$C$27,$S$1733),1,INDEX(회차설정!$D$13:$D$27,$S$1733)-INDEX(회차설정!$C$13:$C$27,$S$1733)+1)))</f>
        <v/>
      </c>
      <c r="F1743" s="46">
        <f>IF(OR($S$1733="",$D1743=0,$D1743="",$E1743=""),"",$E1743/$D1743*100)</f>
        <v/>
      </c>
      <c r="G1743" s="8" t="n"/>
      <c r="H1743" s="47">
        <f>IF($F1743="","",REPT("■",ROUND($F1743/5,0)))</f>
        <v/>
      </c>
      <c r="I1743" s="7" t="n"/>
      <c r="J1743" s="7" t="n"/>
      <c r="K1743" s="7" t="n"/>
      <c r="L1743" s="7" t="n"/>
      <c r="M1743" s="7" t="n"/>
      <c r="N1743" s="7" t="n"/>
      <c r="O1743" s="7" t="n"/>
      <c r="P1743" s="8" t="n"/>
    </row>
    <row r="1744">
      <c r="A1744" s="14">
        <f>IF($S$1734="","",INDEX(회차설정!$A$13:$A$27,$S$1734))</f>
        <v/>
      </c>
      <c r="B1744" s="14">
        <f>IF($S$1734="","",INDEX(회차설정!$B$13:$B$27,$S$1734))</f>
        <v/>
      </c>
      <c r="C1744" s="8" t="n"/>
      <c r="D1744" s="14">
        <f>IF($S$1734="","",IF($R$1726="언어와 매체",SUMPRODUCT((자동계산!$A$4:$A$48&gt;=INDEX(회차설정!$C$13:$C$27,$S$1734))*(자동계산!$A$4:$A$48&lt;=INDEX(회차설정!$D$13:$D$27,$S$1734))*자동계산!$E$4:$E$48),SUMPRODUCT((자동계산!$A$4:$A$48&gt;=INDEX(회차설정!$C$13:$C$27,$S$1734))*(자동계산!$A$4:$A$48&lt;=INDEX(회차설정!$D$13:$D$27,$S$1734))*자동계산!$C$4:$C$48)))</f>
        <v/>
      </c>
      <c r="E1744" s="14">
        <f>IF(OR($S$1734="",$R$1725=""),"",SUM(OFFSET(전체채점!$AW$2,$R$1725,INDEX(회차설정!$C$13:$C$27,$S$1734),1,INDEX(회차설정!$D$13:$D$27,$S$1734)-INDEX(회차설정!$C$13:$C$27,$S$1734)+1)))</f>
        <v/>
      </c>
      <c r="F1744" s="46">
        <f>IF(OR($S$1734="",$D1744=0,$D1744="",$E1744=""),"",$E1744/$D1744*100)</f>
        <v/>
      </c>
      <c r="G1744" s="8" t="n"/>
      <c r="H1744" s="47">
        <f>IF($F1744="","",REPT("■",ROUND($F1744/5,0)))</f>
        <v/>
      </c>
      <c r="I1744" s="7" t="n"/>
      <c r="J1744" s="7" t="n"/>
      <c r="K1744" s="7" t="n"/>
      <c r="L1744" s="7" t="n"/>
      <c r="M1744" s="7" t="n"/>
      <c r="N1744" s="7" t="n"/>
      <c r="O1744" s="7" t="n"/>
      <c r="P1744" s="8" t="n"/>
    </row>
    <row r="1745">
      <c r="A1745" s="14">
        <f>IF($S$1735="","",INDEX(회차설정!$A$13:$A$27,$S$1735))</f>
        <v/>
      </c>
      <c r="B1745" s="14">
        <f>IF($S$1735="","",INDEX(회차설정!$B$13:$B$27,$S$1735))</f>
        <v/>
      </c>
      <c r="C1745" s="8" t="n"/>
      <c r="D1745" s="14">
        <f>IF($S$1735="","",IF($R$1726="언어와 매체",SUMPRODUCT((자동계산!$A$4:$A$48&gt;=INDEX(회차설정!$C$13:$C$27,$S$1735))*(자동계산!$A$4:$A$48&lt;=INDEX(회차설정!$D$13:$D$27,$S$1735))*자동계산!$E$4:$E$48),SUMPRODUCT((자동계산!$A$4:$A$48&gt;=INDEX(회차설정!$C$13:$C$27,$S$1735))*(자동계산!$A$4:$A$48&lt;=INDEX(회차설정!$D$13:$D$27,$S$1735))*자동계산!$C$4:$C$48)))</f>
        <v/>
      </c>
      <c r="E1745" s="14">
        <f>IF(OR($S$1735="",$R$1725=""),"",SUM(OFFSET(전체채점!$AW$2,$R$1725,INDEX(회차설정!$C$13:$C$27,$S$1735),1,INDEX(회차설정!$D$13:$D$27,$S$1735)-INDEX(회차설정!$C$13:$C$27,$S$1735)+1)))</f>
        <v/>
      </c>
      <c r="F1745" s="46">
        <f>IF(OR($S$1735="",$D1745=0,$D1745="",$E1745=""),"",$E1745/$D1745*100)</f>
        <v/>
      </c>
      <c r="G1745" s="8" t="n"/>
      <c r="H1745" s="47">
        <f>IF($F1745="","",REPT("■",ROUND($F1745/5,0)))</f>
        <v/>
      </c>
      <c r="I1745" s="7" t="n"/>
      <c r="J1745" s="7" t="n"/>
      <c r="K1745" s="7" t="n"/>
      <c r="L1745" s="7" t="n"/>
      <c r="M1745" s="7" t="n"/>
      <c r="N1745" s="7" t="n"/>
      <c r="O1745" s="7" t="n"/>
      <c r="P1745" s="8" t="n"/>
    </row>
    <row r="1746">
      <c r="A1746" s="14">
        <f>IF($S$1736="","",INDEX(회차설정!$A$13:$A$27,$S$1736))</f>
        <v/>
      </c>
      <c r="B1746" s="14">
        <f>IF($S$1736="","",INDEX(회차설정!$B$13:$B$27,$S$1736))</f>
        <v/>
      </c>
      <c r="C1746" s="8" t="n"/>
      <c r="D1746" s="14">
        <f>IF($S$1736="","",IF($R$1726="언어와 매체",SUMPRODUCT((자동계산!$A$4:$A$48&gt;=INDEX(회차설정!$C$13:$C$27,$S$1736))*(자동계산!$A$4:$A$48&lt;=INDEX(회차설정!$D$13:$D$27,$S$1736))*자동계산!$E$4:$E$48),SUMPRODUCT((자동계산!$A$4:$A$48&gt;=INDEX(회차설정!$C$13:$C$27,$S$1736))*(자동계산!$A$4:$A$48&lt;=INDEX(회차설정!$D$13:$D$27,$S$1736))*자동계산!$C$4:$C$48)))</f>
        <v/>
      </c>
      <c r="E1746" s="14">
        <f>IF(OR($S$1736="",$R$1725=""),"",SUM(OFFSET(전체채점!$AW$2,$R$1725,INDEX(회차설정!$C$13:$C$27,$S$1736),1,INDEX(회차설정!$D$13:$D$27,$S$1736)-INDEX(회차설정!$C$13:$C$27,$S$1736)+1)))</f>
        <v/>
      </c>
      <c r="F1746" s="46">
        <f>IF(OR($S$1736="",$D1746=0,$D1746="",$E1746=""),"",$E1746/$D1746*100)</f>
        <v/>
      </c>
      <c r="G1746" s="8" t="n"/>
      <c r="H1746" s="47">
        <f>IF($F1746="","",REPT("■",ROUND($F1746/5,0)))</f>
        <v/>
      </c>
      <c r="I1746" s="7" t="n"/>
      <c r="J1746" s="7" t="n"/>
      <c r="K1746" s="7" t="n"/>
      <c r="L1746" s="7" t="n"/>
      <c r="M1746" s="7" t="n"/>
      <c r="N1746" s="7" t="n"/>
      <c r="O1746" s="7" t="n"/>
      <c r="P1746" s="8" t="n"/>
    </row>
    <row r="1747">
      <c r="A1747" s="5">
        <f>IF($R$1725="","","합계")</f>
        <v/>
      </c>
      <c r="B1747" s="7" t="n"/>
      <c r="C1747" s="8" t="n"/>
      <c r="D1747" s="5">
        <f>IF($R$1725="","",SUM(D1735:D1746))</f>
        <v/>
      </c>
      <c r="E1747" s="5">
        <f>IF($R$1725="","",SUM(E1735:E1746))</f>
        <v/>
      </c>
      <c r="F1747" s="48">
        <f>IF(OR($D1747=0,$D1747=""),"",$E1747/$D1747*100)</f>
        <v/>
      </c>
      <c r="G1747" s="8" t="n"/>
      <c r="H1747" s="49">
        <f>IF($F1747="","",REPT("■",ROUND($F1747/5,0)))</f>
        <v/>
      </c>
      <c r="I1747" s="7" t="n"/>
      <c r="J1747" s="7" t="n"/>
      <c r="K1747" s="7" t="n"/>
      <c r="L1747" s="7" t="n"/>
      <c r="M1747" s="7" t="n"/>
      <c r="N1747" s="7" t="n"/>
      <c r="O1747" s="7" t="n"/>
      <c r="P1747" s="8" t="n"/>
    </row>
    <row r="1749">
      <c r="A1749" s="12" t="inlineStr">
        <is>
          <t>4. 문항 채점표</t>
        </is>
      </c>
    </row>
    <row r="1750">
      <c r="A1750" s="50" t="inlineStr">
        <is>
          <t>문항 번호</t>
        </is>
      </c>
      <c r="B1750" s="51" t="n">
        <v>1</v>
      </c>
      <c r="C1750" s="51" t="n">
        <v>2</v>
      </c>
      <c r="D1750" s="51" t="n">
        <v>3</v>
      </c>
      <c r="E1750" s="51" t="n">
        <v>4</v>
      </c>
      <c r="F1750" s="51" t="n">
        <v>5</v>
      </c>
      <c r="G1750" s="51" t="n">
        <v>6</v>
      </c>
      <c r="H1750" s="51" t="n">
        <v>7</v>
      </c>
      <c r="I1750" s="51" t="n">
        <v>8</v>
      </c>
      <c r="J1750" s="51" t="n">
        <v>9</v>
      </c>
      <c r="K1750" s="51" t="n">
        <v>10</v>
      </c>
      <c r="L1750" s="51" t="n">
        <v>11</v>
      </c>
      <c r="M1750" s="51" t="n">
        <v>12</v>
      </c>
      <c r="N1750" s="51" t="n">
        <v>13</v>
      </c>
      <c r="O1750" s="51" t="n">
        <v>14</v>
      </c>
      <c r="P1750" s="51" t="n">
        <v>15</v>
      </c>
    </row>
    <row r="1751">
      <c r="A1751" s="52" t="inlineStr">
        <is>
          <t>정답</t>
        </is>
      </c>
      <c r="B1751" s="33">
        <f>IF($R$1726="","",IF($R$1726="언어와 매체",자동계산!$D$4,자동계산!$B$4))</f>
        <v/>
      </c>
      <c r="C1751" s="33">
        <f>IF($R$1726="","",IF($R$1726="언어와 매체",자동계산!$D$5,자동계산!$B$5))</f>
        <v/>
      </c>
      <c r="D1751" s="33">
        <f>IF($R$1726="","",IF($R$1726="언어와 매체",자동계산!$D$6,자동계산!$B$6))</f>
        <v/>
      </c>
      <c r="E1751" s="33">
        <f>IF($R$1726="","",IF($R$1726="언어와 매체",자동계산!$D$7,자동계산!$B$7))</f>
        <v/>
      </c>
      <c r="F1751" s="33">
        <f>IF($R$1726="","",IF($R$1726="언어와 매체",자동계산!$D$8,자동계산!$B$8))</f>
        <v/>
      </c>
      <c r="G1751" s="33">
        <f>IF($R$1726="","",IF($R$1726="언어와 매체",자동계산!$D$9,자동계산!$B$9))</f>
        <v/>
      </c>
      <c r="H1751" s="33">
        <f>IF($R$1726="","",IF($R$1726="언어와 매체",자동계산!$D$10,자동계산!$B$10))</f>
        <v/>
      </c>
      <c r="I1751" s="33">
        <f>IF($R$1726="","",IF($R$1726="언어와 매체",자동계산!$D$11,자동계산!$B$11))</f>
        <v/>
      </c>
      <c r="J1751" s="33">
        <f>IF($R$1726="","",IF($R$1726="언어와 매체",자동계산!$D$12,자동계산!$B$12))</f>
        <v/>
      </c>
      <c r="K1751" s="33">
        <f>IF($R$1726="","",IF($R$1726="언어와 매체",자동계산!$D$13,자동계산!$B$13))</f>
        <v/>
      </c>
      <c r="L1751" s="33">
        <f>IF($R$1726="","",IF($R$1726="언어와 매체",자동계산!$D$14,자동계산!$B$14))</f>
        <v/>
      </c>
      <c r="M1751" s="33">
        <f>IF($R$1726="","",IF($R$1726="언어와 매체",자동계산!$D$15,자동계산!$B$15))</f>
        <v/>
      </c>
      <c r="N1751" s="33">
        <f>IF($R$1726="","",IF($R$1726="언어와 매체",자동계산!$D$16,자동계산!$B$16))</f>
        <v/>
      </c>
      <c r="O1751" s="33">
        <f>IF($R$1726="","",IF($R$1726="언어와 매체",자동계산!$D$17,자동계산!$B$17))</f>
        <v/>
      </c>
      <c r="P1751" s="33">
        <f>IF($R$1726="","",IF($R$1726="언어와 매체",자동계산!$D$18,자동계산!$B$18))</f>
        <v/>
      </c>
    </row>
    <row r="1752">
      <c r="A1752" s="52" t="inlineStr">
        <is>
          <t>학생답안</t>
        </is>
      </c>
      <c r="B1752" s="33">
        <f>IF($R$1725="","",INDEX(전체채점!E$3:E$62,$R$1725))</f>
        <v/>
      </c>
      <c r="C1752" s="33">
        <f>IF($R$1725="","",INDEX(전체채점!F$3:F$62,$R$1725))</f>
        <v/>
      </c>
      <c r="D1752" s="33">
        <f>IF($R$1725="","",INDEX(전체채점!G$3:G$62,$R$1725))</f>
        <v/>
      </c>
      <c r="E1752" s="33">
        <f>IF($R$1725="","",INDEX(전체채점!H$3:H$62,$R$1725))</f>
        <v/>
      </c>
      <c r="F1752" s="33">
        <f>IF($R$1725="","",INDEX(전체채점!I$3:I$62,$R$1725))</f>
        <v/>
      </c>
      <c r="G1752" s="33">
        <f>IF($R$1725="","",INDEX(전체채점!J$3:J$62,$R$1725))</f>
        <v/>
      </c>
      <c r="H1752" s="33">
        <f>IF($R$1725="","",INDEX(전체채점!K$3:K$62,$R$1725))</f>
        <v/>
      </c>
      <c r="I1752" s="33">
        <f>IF($R$1725="","",INDEX(전체채점!L$3:L$62,$R$1725))</f>
        <v/>
      </c>
      <c r="J1752" s="33">
        <f>IF($R$1725="","",INDEX(전체채점!M$3:M$62,$R$1725))</f>
        <v/>
      </c>
      <c r="K1752" s="33">
        <f>IF($R$1725="","",INDEX(전체채점!N$3:N$62,$R$1725))</f>
        <v/>
      </c>
      <c r="L1752" s="33">
        <f>IF($R$1725="","",INDEX(전체채점!O$3:O$62,$R$1725))</f>
        <v/>
      </c>
      <c r="M1752" s="33">
        <f>IF($R$1725="","",INDEX(전체채점!P$3:P$62,$R$1725))</f>
        <v/>
      </c>
      <c r="N1752" s="33">
        <f>IF($R$1725="","",INDEX(전체채점!Q$3:Q$62,$R$1725))</f>
        <v/>
      </c>
      <c r="O1752" s="33">
        <f>IF($R$1725="","",INDEX(전체채점!R$3:R$62,$R$1725))</f>
        <v/>
      </c>
      <c r="P1752" s="33">
        <f>IF($R$1725="","",INDEX(전체채점!S$3:S$62,$R$1725))</f>
        <v/>
      </c>
    </row>
    <row r="1753">
      <c r="A1753" s="52" t="inlineStr">
        <is>
          <t>정오</t>
        </is>
      </c>
      <c r="B1753" s="33">
        <f>IF($R$1725="","",INDEX(전체채점!AX$3:AX$62,$R$1725))</f>
        <v/>
      </c>
      <c r="C1753" s="33">
        <f>IF($R$1725="","",INDEX(전체채점!AY$3:AY$62,$R$1725))</f>
        <v/>
      </c>
      <c r="D1753" s="33">
        <f>IF($R$1725="","",INDEX(전체채점!AZ$3:AZ$62,$R$1725))</f>
        <v/>
      </c>
      <c r="E1753" s="33">
        <f>IF($R$1725="","",INDEX(전체채점!BA$3:BA$62,$R$1725))</f>
        <v/>
      </c>
      <c r="F1753" s="33">
        <f>IF($R$1725="","",INDEX(전체채점!BB$3:BB$62,$R$1725))</f>
        <v/>
      </c>
      <c r="G1753" s="33">
        <f>IF($R$1725="","",INDEX(전체채점!BC$3:BC$62,$R$1725))</f>
        <v/>
      </c>
      <c r="H1753" s="33">
        <f>IF($R$1725="","",INDEX(전체채점!BD$3:BD$62,$R$1725))</f>
        <v/>
      </c>
      <c r="I1753" s="33">
        <f>IF($R$1725="","",INDEX(전체채점!BE$3:BE$62,$R$1725))</f>
        <v/>
      </c>
      <c r="J1753" s="33">
        <f>IF($R$1725="","",INDEX(전체채점!BF$3:BF$62,$R$1725))</f>
        <v/>
      </c>
      <c r="K1753" s="33">
        <f>IF($R$1725="","",INDEX(전체채점!BG$3:BG$62,$R$1725))</f>
        <v/>
      </c>
      <c r="L1753" s="33">
        <f>IF($R$1725="","",INDEX(전체채점!BH$3:BH$62,$R$1725))</f>
        <v/>
      </c>
      <c r="M1753" s="33">
        <f>IF($R$1725="","",INDEX(전체채점!BI$3:BI$62,$R$1725))</f>
        <v/>
      </c>
      <c r="N1753" s="33">
        <f>IF($R$1725="","",INDEX(전체채점!BJ$3:BJ$62,$R$1725))</f>
        <v/>
      </c>
      <c r="O1753" s="33">
        <f>IF($R$1725="","",INDEX(전체채점!BK$3:BK$62,$R$1725))</f>
        <v/>
      </c>
      <c r="P1753" s="33">
        <f>IF($R$1725="","",INDEX(전체채점!BL$3:BL$62,$R$1725))</f>
        <v/>
      </c>
    </row>
    <row r="1754">
      <c r="A1754" s="50" t="inlineStr">
        <is>
          <t>문항 번호</t>
        </is>
      </c>
      <c r="B1754" s="51" t="n">
        <v>16</v>
      </c>
      <c r="C1754" s="51" t="n">
        <v>17</v>
      </c>
      <c r="D1754" s="51" t="n">
        <v>18</v>
      </c>
      <c r="E1754" s="51" t="n">
        <v>19</v>
      </c>
      <c r="F1754" s="51" t="n">
        <v>20</v>
      </c>
      <c r="G1754" s="51" t="n">
        <v>21</v>
      </c>
      <c r="H1754" s="51" t="n">
        <v>22</v>
      </c>
      <c r="I1754" s="51" t="n">
        <v>23</v>
      </c>
      <c r="J1754" s="51" t="n">
        <v>24</v>
      </c>
      <c r="K1754" s="51" t="n">
        <v>25</v>
      </c>
      <c r="L1754" s="51" t="n">
        <v>26</v>
      </c>
      <c r="M1754" s="51" t="n">
        <v>27</v>
      </c>
      <c r="N1754" s="51" t="n">
        <v>28</v>
      </c>
      <c r="O1754" s="51" t="n">
        <v>29</v>
      </c>
      <c r="P1754" s="51" t="n">
        <v>30</v>
      </c>
    </row>
    <row r="1755">
      <c r="A1755" s="52" t="inlineStr">
        <is>
          <t>정답</t>
        </is>
      </c>
      <c r="B1755" s="33">
        <f>IF($R$1726="","",IF($R$1726="언어와 매체",자동계산!$D$19,자동계산!$B$19))</f>
        <v/>
      </c>
      <c r="C1755" s="33">
        <f>IF($R$1726="","",IF($R$1726="언어와 매체",자동계산!$D$20,자동계산!$B$20))</f>
        <v/>
      </c>
      <c r="D1755" s="33">
        <f>IF($R$1726="","",IF($R$1726="언어와 매체",자동계산!$D$21,자동계산!$B$21))</f>
        <v/>
      </c>
      <c r="E1755" s="33">
        <f>IF($R$1726="","",IF($R$1726="언어와 매체",자동계산!$D$22,자동계산!$B$22))</f>
        <v/>
      </c>
      <c r="F1755" s="33">
        <f>IF($R$1726="","",IF($R$1726="언어와 매체",자동계산!$D$23,자동계산!$B$23))</f>
        <v/>
      </c>
      <c r="G1755" s="33">
        <f>IF($R$1726="","",IF($R$1726="언어와 매체",자동계산!$D$24,자동계산!$B$24))</f>
        <v/>
      </c>
      <c r="H1755" s="33">
        <f>IF($R$1726="","",IF($R$1726="언어와 매체",자동계산!$D$25,자동계산!$B$25))</f>
        <v/>
      </c>
      <c r="I1755" s="33">
        <f>IF($R$1726="","",IF($R$1726="언어와 매체",자동계산!$D$26,자동계산!$B$26))</f>
        <v/>
      </c>
      <c r="J1755" s="33">
        <f>IF($R$1726="","",IF($R$1726="언어와 매체",자동계산!$D$27,자동계산!$B$27))</f>
        <v/>
      </c>
      <c r="K1755" s="33">
        <f>IF($R$1726="","",IF($R$1726="언어와 매체",자동계산!$D$28,자동계산!$B$28))</f>
        <v/>
      </c>
      <c r="L1755" s="33">
        <f>IF($R$1726="","",IF($R$1726="언어와 매체",자동계산!$D$29,자동계산!$B$29))</f>
        <v/>
      </c>
      <c r="M1755" s="33">
        <f>IF($R$1726="","",IF($R$1726="언어와 매체",자동계산!$D$30,자동계산!$B$30))</f>
        <v/>
      </c>
      <c r="N1755" s="33">
        <f>IF($R$1726="","",IF($R$1726="언어와 매체",자동계산!$D$31,자동계산!$B$31))</f>
        <v/>
      </c>
      <c r="O1755" s="33">
        <f>IF($R$1726="","",IF($R$1726="언어와 매체",자동계산!$D$32,자동계산!$B$32))</f>
        <v/>
      </c>
      <c r="P1755" s="33">
        <f>IF($R$1726="","",IF($R$1726="언어와 매체",자동계산!$D$33,자동계산!$B$33))</f>
        <v/>
      </c>
    </row>
    <row r="1756">
      <c r="A1756" s="52" t="inlineStr">
        <is>
          <t>학생답안</t>
        </is>
      </c>
      <c r="B1756" s="33">
        <f>IF($R$1725="","",INDEX(전체채점!T$3:T$62,$R$1725))</f>
        <v/>
      </c>
      <c r="C1756" s="33">
        <f>IF($R$1725="","",INDEX(전체채점!U$3:U$62,$R$1725))</f>
        <v/>
      </c>
      <c r="D1756" s="33">
        <f>IF($R$1725="","",INDEX(전체채점!V$3:V$62,$R$1725))</f>
        <v/>
      </c>
      <c r="E1756" s="33">
        <f>IF($R$1725="","",INDEX(전체채점!W$3:W$62,$R$1725))</f>
        <v/>
      </c>
      <c r="F1756" s="33">
        <f>IF($R$1725="","",INDEX(전체채점!X$3:X$62,$R$1725))</f>
        <v/>
      </c>
      <c r="G1756" s="33">
        <f>IF($R$1725="","",INDEX(전체채점!Y$3:Y$62,$R$1725))</f>
        <v/>
      </c>
      <c r="H1756" s="33">
        <f>IF($R$1725="","",INDEX(전체채점!Z$3:Z$62,$R$1725))</f>
        <v/>
      </c>
      <c r="I1756" s="33">
        <f>IF($R$1725="","",INDEX(전체채점!AA$3:AA$62,$R$1725))</f>
        <v/>
      </c>
      <c r="J1756" s="33">
        <f>IF($R$1725="","",INDEX(전체채점!AB$3:AB$62,$R$1725))</f>
        <v/>
      </c>
      <c r="K1756" s="33">
        <f>IF($R$1725="","",INDEX(전체채점!AC$3:AC$62,$R$1725))</f>
        <v/>
      </c>
      <c r="L1756" s="33">
        <f>IF($R$1725="","",INDEX(전체채점!AD$3:AD$62,$R$1725))</f>
        <v/>
      </c>
      <c r="M1756" s="33">
        <f>IF($R$1725="","",INDEX(전체채점!AE$3:AE$62,$R$1725))</f>
        <v/>
      </c>
      <c r="N1756" s="33">
        <f>IF($R$1725="","",INDEX(전체채점!AF$3:AF$62,$R$1725))</f>
        <v/>
      </c>
      <c r="O1756" s="33">
        <f>IF($R$1725="","",INDEX(전체채점!AG$3:AG$62,$R$1725))</f>
        <v/>
      </c>
      <c r="P1756" s="33">
        <f>IF($R$1725="","",INDEX(전체채점!AH$3:AH$62,$R$1725))</f>
        <v/>
      </c>
    </row>
    <row r="1757">
      <c r="A1757" s="52" t="inlineStr">
        <is>
          <t>정오</t>
        </is>
      </c>
      <c r="B1757" s="33">
        <f>IF($R$1725="","",INDEX(전체채점!BM$3:BM$62,$R$1725))</f>
        <v/>
      </c>
      <c r="C1757" s="33">
        <f>IF($R$1725="","",INDEX(전체채점!BN$3:BN$62,$R$1725))</f>
        <v/>
      </c>
      <c r="D1757" s="33">
        <f>IF($R$1725="","",INDEX(전체채점!BO$3:BO$62,$R$1725))</f>
        <v/>
      </c>
      <c r="E1757" s="33">
        <f>IF($R$1725="","",INDEX(전체채점!BP$3:BP$62,$R$1725))</f>
        <v/>
      </c>
      <c r="F1757" s="33">
        <f>IF($R$1725="","",INDEX(전체채점!BQ$3:BQ$62,$R$1725))</f>
        <v/>
      </c>
      <c r="G1757" s="33">
        <f>IF($R$1725="","",INDEX(전체채점!BR$3:BR$62,$R$1725))</f>
        <v/>
      </c>
      <c r="H1757" s="33">
        <f>IF($R$1725="","",INDEX(전체채점!BS$3:BS$62,$R$1725))</f>
        <v/>
      </c>
      <c r="I1757" s="33">
        <f>IF($R$1725="","",INDEX(전체채점!BT$3:BT$62,$R$1725))</f>
        <v/>
      </c>
      <c r="J1757" s="33">
        <f>IF($R$1725="","",INDEX(전체채점!BU$3:BU$62,$R$1725))</f>
        <v/>
      </c>
      <c r="K1757" s="33">
        <f>IF($R$1725="","",INDEX(전체채점!BV$3:BV$62,$R$1725))</f>
        <v/>
      </c>
      <c r="L1757" s="33">
        <f>IF($R$1725="","",INDEX(전체채점!BW$3:BW$62,$R$1725))</f>
        <v/>
      </c>
      <c r="M1757" s="33">
        <f>IF($R$1725="","",INDEX(전체채점!BX$3:BX$62,$R$1725))</f>
        <v/>
      </c>
      <c r="N1757" s="33">
        <f>IF($R$1725="","",INDEX(전체채점!BY$3:BY$62,$R$1725))</f>
        <v/>
      </c>
      <c r="O1757" s="33">
        <f>IF($R$1725="","",INDEX(전체채점!BZ$3:BZ$62,$R$1725))</f>
        <v/>
      </c>
      <c r="P1757" s="33">
        <f>IF($R$1725="","",INDEX(전체채점!CA$3:CA$62,$R$1725))</f>
        <v/>
      </c>
    </row>
    <row r="1758">
      <c r="A1758" s="50" t="inlineStr">
        <is>
          <t>문항 번호</t>
        </is>
      </c>
      <c r="B1758" s="51" t="n">
        <v>31</v>
      </c>
      <c r="C1758" s="51" t="n">
        <v>32</v>
      </c>
      <c r="D1758" s="51" t="n">
        <v>33</v>
      </c>
      <c r="E1758" s="51" t="n">
        <v>34</v>
      </c>
      <c r="F1758" s="51" t="n">
        <v>35</v>
      </c>
      <c r="G1758" s="51" t="n">
        <v>36</v>
      </c>
      <c r="H1758" s="51" t="n">
        <v>37</v>
      </c>
      <c r="I1758" s="51" t="n">
        <v>38</v>
      </c>
      <c r="J1758" s="51" t="n">
        <v>39</v>
      </c>
      <c r="K1758" s="51" t="n">
        <v>40</v>
      </c>
      <c r="L1758" s="51" t="n">
        <v>41</v>
      </c>
      <c r="M1758" s="51" t="n">
        <v>42</v>
      </c>
      <c r="N1758" s="51" t="n">
        <v>43</v>
      </c>
      <c r="O1758" s="51" t="n">
        <v>44</v>
      </c>
      <c r="P1758" s="51" t="n">
        <v>45</v>
      </c>
    </row>
    <row r="1759">
      <c r="A1759" s="52" t="inlineStr">
        <is>
          <t>정답</t>
        </is>
      </c>
      <c r="B1759" s="33">
        <f>IF($R$1726="","",IF($R$1726="언어와 매체",자동계산!$D$34,자동계산!$B$34))</f>
        <v/>
      </c>
      <c r="C1759" s="33">
        <f>IF($R$1726="","",IF($R$1726="언어와 매체",자동계산!$D$35,자동계산!$B$35))</f>
        <v/>
      </c>
      <c r="D1759" s="33">
        <f>IF($R$1726="","",IF($R$1726="언어와 매체",자동계산!$D$36,자동계산!$B$36))</f>
        <v/>
      </c>
      <c r="E1759" s="33">
        <f>IF($R$1726="","",IF($R$1726="언어와 매체",자동계산!$D$37,자동계산!$B$37))</f>
        <v/>
      </c>
      <c r="F1759" s="33">
        <f>IF($R$1726="","",IF($R$1726="언어와 매체",자동계산!$D$38,자동계산!$B$38))</f>
        <v/>
      </c>
      <c r="G1759" s="33">
        <f>IF($R$1726="","",IF($R$1726="언어와 매체",자동계산!$D$39,자동계산!$B$39))</f>
        <v/>
      </c>
      <c r="H1759" s="33">
        <f>IF($R$1726="","",IF($R$1726="언어와 매체",자동계산!$D$40,자동계산!$B$40))</f>
        <v/>
      </c>
      <c r="I1759" s="33">
        <f>IF($R$1726="","",IF($R$1726="언어와 매체",자동계산!$D$41,자동계산!$B$41))</f>
        <v/>
      </c>
      <c r="J1759" s="33">
        <f>IF($R$1726="","",IF($R$1726="언어와 매체",자동계산!$D$42,자동계산!$B$42))</f>
        <v/>
      </c>
      <c r="K1759" s="33">
        <f>IF($R$1726="","",IF($R$1726="언어와 매체",자동계산!$D$43,자동계산!$B$43))</f>
        <v/>
      </c>
      <c r="L1759" s="33">
        <f>IF($R$1726="","",IF($R$1726="언어와 매체",자동계산!$D$44,자동계산!$B$44))</f>
        <v/>
      </c>
      <c r="M1759" s="33">
        <f>IF($R$1726="","",IF($R$1726="언어와 매체",자동계산!$D$45,자동계산!$B$45))</f>
        <v/>
      </c>
      <c r="N1759" s="33">
        <f>IF($R$1726="","",IF($R$1726="언어와 매체",자동계산!$D$46,자동계산!$B$46))</f>
        <v/>
      </c>
      <c r="O1759" s="33">
        <f>IF($R$1726="","",IF($R$1726="언어와 매체",자동계산!$D$47,자동계산!$B$47))</f>
        <v/>
      </c>
      <c r="P1759" s="33">
        <f>IF($R$1726="","",IF($R$1726="언어와 매체",자동계산!$D$48,자동계산!$B$48))</f>
        <v/>
      </c>
    </row>
    <row r="1760">
      <c r="A1760" s="52" t="inlineStr">
        <is>
          <t>학생답안</t>
        </is>
      </c>
      <c r="B1760" s="33">
        <f>IF($R$1725="","",INDEX(전체채점!AI$3:AI$62,$R$1725))</f>
        <v/>
      </c>
      <c r="C1760" s="33">
        <f>IF($R$1725="","",INDEX(전체채점!AJ$3:AJ$62,$R$1725))</f>
        <v/>
      </c>
      <c r="D1760" s="33">
        <f>IF($R$1725="","",INDEX(전체채점!AK$3:AK$62,$R$1725))</f>
        <v/>
      </c>
      <c r="E1760" s="33">
        <f>IF($R$1725="","",INDEX(전체채점!AL$3:AL$62,$R$1725))</f>
        <v/>
      </c>
      <c r="F1760" s="33">
        <f>IF($R$1725="","",INDEX(전체채점!AM$3:AM$62,$R$1725))</f>
        <v/>
      </c>
      <c r="G1760" s="33">
        <f>IF($R$1725="","",INDEX(전체채점!AN$3:AN$62,$R$1725))</f>
        <v/>
      </c>
      <c r="H1760" s="33">
        <f>IF($R$1725="","",INDEX(전체채점!AO$3:AO$62,$R$1725))</f>
        <v/>
      </c>
      <c r="I1760" s="33">
        <f>IF($R$1725="","",INDEX(전체채점!AP$3:AP$62,$R$1725))</f>
        <v/>
      </c>
      <c r="J1760" s="33">
        <f>IF($R$1725="","",INDEX(전체채점!AQ$3:AQ$62,$R$1725))</f>
        <v/>
      </c>
      <c r="K1760" s="33">
        <f>IF($R$1725="","",INDEX(전체채점!AR$3:AR$62,$R$1725))</f>
        <v/>
      </c>
      <c r="L1760" s="33">
        <f>IF($R$1725="","",INDEX(전체채점!AS$3:AS$62,$R$1725))</f>
        <v/>
      </c>
      <c r="M1760" s="33">
        <f>IF($R$1725="","",INDEX(전체채점!AT$3:AT$62,$R$1725))</f>
        <v/>
      </c>
      <c r="N1760" s="33">
        <f>IF($R$1725="","",INDEX(전체채점!AU$3:AU$62,$R$1725))</f>
        <v/>
      </c>
      <c r="O1760" s="33">
        <f>IF($R$1725="","",INDEX(전체채점!AV$3:AV$62,$R$1725))</f>
        <v/>
      </c>
      <c r="P1760" s="33">
        <f>IF($R$1725="","",INDEX(전체채점!AW$3:AW$62,$R$1725))</f>
        <v/>
      </c>
    </row>
    <row r="1761">
      <c r="A1761" s="52" t="inlineStr">
        <is>
          <t>정오</t>
        </is>
      </c>
      <c r="B1761" s="33">
        <f>IF($R$1725="","",INDEX(전체채점!CB$3:CB$62,$R$1725))</f>
        <v/>
      </c>
      <c r="C1761" s="33">
        <f>IF($R$1725="","",INDEX(전체채점!CC$3:CC$62,$R$1725))</f>
        <v/>
      </c>
      <c r="D1761" s="33">
        <f>IF($R$1725="","",INDEX(전체채점!CD$3:CD$62,$R$1725))</f>
        <v/>
      </c>
      <c r="E1761" s="33">
        <f>IF($R$1725="","",INDEX(전체채점!CE$3:CE$62,$R$1725))</f>
        <v/>
      </c>
      <c r="F1761" s="33">
        <f>IF($R$1725="","",INDEX(전체채점!CF$3:CF$62,$R$1725))</f>
        <v/>
      </c>
      <c r="G1761" s="33">
        <f>IF($R$1725="","",INDEX(전체채점!CG$3:CG$62,$R$1725))</f>
        <v/>
      </c>
      <c r="H1761" s="33">
        <f>IF($R$1725="","",INDEX(전체채점!CH$3:CH$62,$R$1725))</f>
        <v/>
      </c>
      <c r="I1761" s="33">
        <f>IF($R$1725="","",INDEX(전체채점!CI$3:CI$62,$R$1725))</f>
        <v/>
      </c>
      <c r="J1761" s="33">
        <f>IF($R$1725="","",INDEX(전체채점!CJ$3:CJ$62,$R$1725))</f>
        <v/>
      </c>
      <c r="K1761" s="33">
        <f>IF($R$1725="","",INDEX(전체채점!CK$3:CK$62,$R$1725))</f>
        <v/>
      </c>
      <c r="L1761" s="33">
        <f>IF($R$1725="","",INDEX(전체채점!CL$3:CL$62,$R$1725))</f>
        <v/>
      </c>
      <c r="M1761" s="33">
        <f>IF($R$1725="","",INDEX(전체채점!CM$3:CM$62,$R$1725))</f>
        <v/>
      </c>
      <c r="N1761" s="33">
        <f>IF($R$1725="","",INDEX(전체채점!CN$3:CN$62,$R$1725))</f>
        <v/>
      </c>
      <c r="O1761" s="33">
        <f>IF($R$1725="","",INDEX(전체채점!CO$3:CO$62,$R$1725))</f>
        <v/>
      </c>
      <c r="P1761" s="33">
        <f>IF($R$1725="","",INDEX(전체채점!CP$3:CP$62,$R$1725))</f>
        <v/>
      </c>
    </row>
    <row r="1764" ht="34" customHeight="1">
      <c r="A1764" s="36">
        <f>IF($R$1766="","",회차설정!$B$2&amp;" 성적표")</f>
        <v/>
      </c>
    </row>
    <row r="1766">
      <c r="A1766" s="12" t="inlineStr">
        <is>
          <t>1. 학생정보</t>
        </is>
      </c>
      <c r="R1766" s="37">
        <f>IF(답안입력!$A$46="","",44)</f>
        <v/>
      </c>
      <c r="S1766" s="37">
        <f>IF($R$1767="","",IFERROR(IF($R$1767="언어와 매체",MATCH(1,회차설정!$G$13:$G$27,0),MATCH(1,회차설정!$F$13:$F$27,0)),""))</f>
        <v/>
      </c>
    </row>
    <row r="1767">
      <c r="A1767" s="13" t="inlineStr">
        <is>
          <t>성명</t>
        </is>
      </c>
      <c r="B1767" s="7" t="n"/>
      <c r="C1767" s="8" t="n"/>
      <c r="D1767" s="13" t="inlineStr">
        <is>
          <t>선택과목</t>
        </is>
      </c>
      <c r="E1767" s="7" t="n"/>
      <c r="F1767" s="7" t="n"/>
      <c r="G1767" s="8" t="n"/>
      <c r="H1767" s="13" t="inlineStr">
        <is>
          <t>학년</t>
        </is>
      </c>
      <c r="I1767" s="7" t="n"/>
      <c r="J1767" s="7" t="n"/>
      <c r="K1767" s="8" t="n"/>
      <c r="L1767" s="13" t="inlineStr">
        <is>
          <t>시행일</t>
        </is>
      </c>
      <c r="M1767" s="7" t="n"/>
      <c r="N1767" s="7" t="n"/>
      <c r="O1767" s="7" t="n"/>
      <c r="P1767" s="8" t="n"/>
      <c r="R1767" s="37">
        <f>IF($R$1766="","",INDEX(전체채점!$B$3:$B$62,$R$1766))</f>
        <v/>
      </c>
      <c r="S1767" s="37">
        <f>IF($R$1767="","",IFERROR(IF($R$1767="언어와 매체",MATCH(2,회차설정!$G$13:$G$27,0),MATCH(2,회차설정!$F$13:$F$27,0)),""))</f>
        <v/>
      </c>
    </row>
    <row r="1768" ht="26" customHeight="1">
      <c r="A1768" s="39">
        <f>IF($R$1766="","",INDEX(답안입력!$A$3:$A$62,$R$1766))</f>
        <v/>
      </c>
      <c r="B1768" s="7" t="n"/>
      <c r="C1768" s="8" t="n"/>
      <c r="D1768" s="39">
        <f>IF($R$1766="","",INDEX(답안입력!$C$3:$C$62,$R$1766))</f>
        <v/>
      </c>
      <c r="E1768" s="7" t="n"/>
      <c r="F1768" s="7" t="n"/>
      <c r="G1768" s="8" t="n"/>
      <c r="H1768" s="39">
        <f>IF($R$1766="","",INDEX(답안입력!$B$3:$B$62,$R$1766))</f>
        <v/>
      </c>
      <c r="I1768" s="7" t="n"/>
      <c r="J1768" s="7" t="n"/>
      <c r="K1768" s="8" t="n"/>
      <c r="L1768" s="40">
        <f>회차설정!$B$3</f>
        <v/>
      </c>
      <c r="M1768" s="7" t="n"/>
      <c r="N1768" s="7" t="n"/>
      <c r="O1768" s="7" t="n"/>
      <c r="P1768" s="8" t="n"/>
      <c r="R1768" s="37">
        <f>IF($R$1767="언어와 매체",회차설정!$B$9,회차설정!$B$8)</f>
        <v/>
      </c>
      <c r="S1768" s="37">
        <f>IF($R$1767="","",IFERROR(IF($R$1767="언어와 매체",MATCH(3,회차설정!$G$13:$G$27,0),MATCH(3,회차설정!$F$13:$F$27,0)),""))</f>
        <v/>
      </c>
    </row>
    <row r="1769">
      <c r="R1769" s="37">
        <f>IF($R$1767="언어와 매체",회차설정!$C$9,회차설정!$C$8)</f>
        <v/>
      </c>
      <c r="S1769" s="37">
        <f>IF($R$1767="","",IFERROR(IF($R$1767="언어와 매체",MATCH(4,회차설정!$G$13:$G$27,0),MATCH(4,회차설정!$F$13:$F$27,0)),""))</f>
        <v/>
      </c>
    </row>
    <row r="1770">
      <c r="A1770" s="12" t="inlineStr">
        <is>
          <t>2. 성적</t>
        </is>
      </c>
      <c r="R1770" s="37">
        <f>IF($R$1767="언어와 매체",회차설정!$D$9,회차설정!$D$8)</f>
        <v/>
      </c>
      <c r="S1770" s="37">
        <f>IF($R$1767="","",IFERROR(IF($R$1767="언어와 매체",MATCH(5,회차설정!$G$13:$G$27,0),MATCH(5,회차설정!$F$13:$F$27,0)),""))</f>
        <v/>
      </c>
    </row>
    <row r="1771">
      <c r="A1771" s="13" t="inlineStr">
        <is>
          <t>점수 (100점 만점)</t>
        </is>
      </c>
      <c r="B1771" s="7" t="n"/>
      <c r="C1771" s="7" t="n"/>
      <c r="D1771" s="7" t="n"/>
      <c r="E1771" s="8" t="n"/>
      <c r="F1771" s="13" t="inlineStr">
        <is>
          <t>등급</t>
        </is>
      </c>
      <c r="G1771" s="7" t="n"/>
      <c r="H1771" s="8" t="n"/>
      <c r="I1771" s="13" t="inlineStr">
        <is>
          <t>등급컷</t>
        </is>
      </c>
      <c r="J1771" s="7" t="n"/>
      <c r="K1771" s="7" t="n"/>
      <c r="L1771" s="8" t="n"/>
      <c r="M1771" s="13" t="inlineStr">
        <is>
          <t>같은 선택과목 평균</t>
        </is>
      </c>
      <c r="N1771" s="7" t="n"/>
      <c r="O1771" s="7" t="n"/>
      <c r="P1771" s="8" t="n"/>
      <c r="R1771" s="37">
        <f>IF($R$1767="언어와 매체",회차설정!$E$9,회차설정!$E$8)</f>
        <v/>
      </c>
      <c r="S1771" s="37">
        <f>IF($R$1767="","",IFERROR(IF($R$1767="언어와 매체",MATCH(6,회차설정!$G$13:$G$27,0),MATCH(6,회차설정!$F$13:$F$27,0)),""))</f>
        <v/>
      </c>
    </row>
    <row r="1772" ht="34" customHeight="1">
      <c r="A1772" s="41">
        <f>IF($R$1766="","",INDEX(전체채점!$C$3:$C$62,$R$1766))</f>
        <v/>
      </c>
      <c r="B1772" s="7" t="n"/>
      <c r="C1772" s="7" t="n"/>
      <c r="D1772" s="7" t="n"/>
      <c r="E1772" s="8" t="n"/>
      <c r="F1772" s="42">
        <f>IF($R$1766="","",INDEX(전체채점!$D$3:$D$62,$R$1766))</f>
        <v/>
      </c>
      <c r="G1772" s="7" t="n"/>
      <c r="H1772" s="8" t="n"/>
      <c r="I1772" s="43">
        <f>IF($R$1766="","",$R$1768&amp;"-"&amp;$R$1769&amp;"-"&amp;$R$1770&amp;"-"&amp;$R$1771)</f>
        <v/>
      </c>
      <c r="J1772" s="7" t="n"/>
      <c r="K1772" s="7" t="n"/>
      <c r="L1772" s="8" t="n"/>
      <c r="M1772" s="44">
        <f>IFERROR(AVERAGEIF(전체채점!$B$3:$B$62,$R$1767,전체채점!$C$3:$C$62),"")</f>
        <v/>
      </c>
      <c r="N1772" s="7" t="n"/>
      <c r="O1772" s="7" t="n"/>
      <c r="P1772" s="8" t="n"/>
      <c r="S1772" s="37">
        <f>IF($R$1767="","",IFERROR(IF($R$1767="언어와 매체",MATCH(7,회차설정!$G$13:$G$27,0),MATCH(7,회차설정!$F$13:$F$27,0)),""))</f>
        <v/>
      </c>
    </row>
    <row r="1773">
      <c r="S1773" s="37">
        <f>IF($R$1767="","",IFERROR(IF($R$1767="언어와 매체",MATCH(8,회차설정!$G$13:$G$27,0),MATCH(8,회차설정!$F$13:$F$27,0)),""))</f>
        <v/>
      </c>
    </row>
    <row r="1774">
      <c r="A1774" s="12" t="inlineStr">
        <is>
          <t>3. 영역분류별 성취도 분석</t>
        </is>
      </c>
      <c r="F1774" s="45">
        <f>IF(OR($R$1766="",$E1788=""),"",IF($E1788=INDEX(전체채점!$C$3:$C$62,$R$1766),"","※ 회차설정의 영역 표를 확인하세요 — 영역 합계와 점수가 다릅니다"))</f>
        <v/>
      </c>
      <c r="S1774" s="37">
        <f>IF($R$1767="","",IFERROR(IF($R$1767="언어와 매체",MATCH(9,회차설정!$G$13:$G$27,0),MATCH(9,회차설정!$F$13:$F$27,0)),""))</f>
        <v/>
      </c>
    </row>
    <row r="1775">
      <c r="A1775" s="13" t="inlineStr">
        <is>
          <t>분류</t>
        </is>
      </c>
      <c r="B1775" s="13" t="inlineStr">
        <is>
          <t>영역</t>
        </is>
      </c>
      <c r="C1775" s="8" t="n"/>
      <c r="D1775" s="13" t="inlineStr">
        <is>
          <t>배점</t>
        </is>
      </c>
      <c r="E1775" s="13" t="inlineStr">
        <is>
          <t>득점</t>
        </is>
      </c>
      <c r="F1775" s="13" t="inlineStr">
        <is>
          <t>성취도(%)</t>
        </is>
      </c>
      <c r="G1775" s="8" t="n"/>
      <c r="H1775" s="13" t="inlineStr"/>
      <c r="I1775" s="7" t="n"/>
      <c r="J1775" s="7" t="n"/>
      <c r="K1775" s="7" t="n"/>
      <c r="L1775" s="7" t="n"/>
      <c r="M1775" s="7" t="n"/>
      <c r="N1775" s="7" t="n"/>
      <c r="O1775" s="7" t="n"/>
      <c r="P1775" s="8" t="n"/>
      <c r="S1775" s="37">
        <f>IF($R$1767="","",IFERROR(IF($R$1767="언어와 매체",MATCH(10,회차설정!$G$13:$G$27,0),MATCH(10,회차설정!$F$13:$F$27,0)),""))</f>
        <v/>
      </c>
    </row>
    <row r="1776">
      <c r="A1776" s="14">
        <f>IF($S$1766="","",INDEX(회차설정!$A$13:$A$27,$S$1766))</f>
        <v/>
      </c>
      <c r="B1776" s="14">
        <f>IF($S$1766="","",INDEX(회차설정!$B$13:$B$27,$S$1766))</f>
        <v/>
      </c>
      <c r="C1776" s="8" t="n"/>
      <c r="D1776" s="14">
        <f>IF($S$1766="","",IF($R$1767="언어와 매체",SUMPRODUCT((자동계산!$A$4:$A$48&gt;=INDEX(회차설정!$C$13:$C$27,$S$1766))*(자동계산!$A$4:$A$48&lt;=INDEX(회차설정!$D$13:$D$27,$S$1766))*자동계산!$E$4:$E$48),SUMPRODUCT((자동계산!$A$4:$A$48&gt;=INDEX(회차설정!$C$13:$C$27,$S$1766))*(자동계산!$A$4:$A$48&lt;=INDEX(회차설정!$D$13:$D$27,$S$1766))*자동계산!$C$4:$C$48)))</f>
        <v/>
      </c>
      <c r="E1776" s="14">
        <f>IF(OR($S$1766="",$R$1766=""),"",SUM(OFFSET(전체채점!$AW$2,$R$1766,INDEX(회차설정!$C$13:$C$27,$S$1766),1,INDEX(회차설정!$D$13:$D$27,$S$1766)-INDEX(회차설정!$C$13:$C$27,$S$1766)+1)))</f>
        <v/>
      </c>
      <c r="F1776" s="46">
        <f>IF(OR($S$1766="",$D1776=0,$D1776="",$E1776=""),"",$E1776/$D1776*100)</f>
        <v/>
      </c>
      <c r="G1776" s="8" t="n"/>
      <c r="H1776" s="47">
        <f>IF($F1776="","",REPT("■",ROUND($F1776/5,0)))</f>
        <v/>
      </c>
      <c r="I1776" s="7" t="n"/>
      <c r="J1776" s="7" t="n"/>
      <c r="K1776" s="7" t="n"/>
      <c r="L1776" s="7" t="n"/>
      <c r="M1776" s="7" t="n"/>
      <c r="N1776" s="7" t="n"/>
      <c r="O1776" s="7" t="n"/>
      <c r="P1776" s="8" t="n"/>
      <c r="S1776" s="37">
        <f>IF($R$1767="","",IFERROR(IF($R$1767="언어와 매체",MATCH(11,회차설정!$G$13:$G$27,0),MATCH(11,회차설정!$F$13:$F$27,0)),""))</f>
        <v/>
      </c>
    </row>
    <row r="1777">
      <c r="A1777" s="14">
        <f>IF($S$1767="","",INDEX(회차설정!$A$13:$A$27,$S$1767))</f>
        <v/>
      </c>
      <c r="B1777" s="14">
        <f>IF($S$1767="","",INDEX(회차설정!$B$13:$B$27,$S$1767))</f>
        <v/>
      </c>
      <c r="C1777" s="8" t="n"/>
      <c r="D1777" s="14">
        <f>IF($S$1767="","",IF($R$1767="언어와 매체",SUMPRODUCT((자동계산!$A$4:$A$48&gt;=INDEX(회차설정!$C$13:$C$27,$S$1767))*(자동계산!$A$4:$A$48&lt;=INDEX(회차설정!$D$13:$D$27,$S$1767))*자동계산!$E$4:$E$48),SUMPRODUCT((자동계산!$A$4:$A$48&gt;=INDEX(회차설정!$C$13:$C$27,$S$1767))*(자동계산!$A$4:$A$48&lt;=INDEX(회차설정!$D$13:$D$27,$S$1767))*자동계산!$C$4:$C$48)))</f>
        <v/>
      </c>
      <c r="E1777" s="14">
        <f>IF(OR($S$1767="",$R$1766=""),"",SUM(OFFSET(전체채점!$AW$2,$R$1766,INDEX(회차설정!$C$13:$C$27,$S$1767),1,INDEX(회차설정!$D$13:$D$27,$S$1767)-INDEX(회차설정!$C$13:$C$27,$S$1767)+1)))</f>
        <v/>
      </c>
      <c r="F1777" s="46">
        <f>IF(OR($S$1767="",$D1777=0,$D1777="",$E1777=""),"",$E1777/$D1777*100)</f>
        <v/>
      </c>
      <c r="G1777" s="8" t="n"/>
      <c r="H1777" s="47">
        <f>IF($F1777="","",REPT("■",ROUND($F1777/5,0)))</f>
        <v/>
      </c>
      <c r="I1777" s="7" t="n"/>
      <c r="J1777" s="7" t="n"/>
      <c r="K1777" s="7" t="n"/>
      <c r="L1777" s="7" t="n"/>
      <c r="M1777" s="7" t="n"/>
      <c r="N1777" s="7" t="n"/>
      <c r="O1777" s="7" t="n"/>
      <c r="P1777" s="8" t="n"/>
      <c r="S1777" s="37">
        <f>IF($R$1767="","",IFERROR(IF($R$1767="언어와 매체",MATCH(12,회차설정!$G$13:$G$27,0),MATCH(12,회차설정!$F$13:$F$27,0)),""))</f>
        <v/>
      </c>
    </row>
    <row r="1778">
      <c r="A1778" s="14">
        <f>IF($S$1768="","",INDEX(회차설정!$A$13:$A$27,$S$1768))</f>
        <v/>
      </c>
      <c r="B1778" s="14">
        <f>IF($S$1768="","",INDEX(회차설정!$B$13:$B$27,$S$1768))</f>
        <v/>
      </c>
      <c r="C1778" s="8" t="n"/>
      <c r="D1778" s="14">
        <f>IF($S$1768="","",IF($R$1767="언어와 매체",SUMPRODUCT((자동계산!$A$4:$A$48&gt;=INDEX(회차설정!$C$13:$C$27,$S$1768))*(자동계산!$A$4:$A$48&lt;=INDEX(회차설정!$D$13:$D$27,$S$1768))*자동계산!$E$4:$E$48),SUMPRODUCT((자동계산!$A$4:$A$48&gt;=INDEX(회차설정!$C$13:$C$27,$S$1768))*(자동계산!$A$4:$A$48&lt;=INDEX(회차설정!$D$13:$D$27,$S$1768))*자동계산!$C$4:$C$48)))</f>
        <v/>
      </c>
      <c r="E1778" s="14">
        <f>IF(OR($S$1768="",$R$1766=""),"",SUM(OFFSET(전체채점!$AW$2,$R$1766,INDEX(회차설정!$C$13:$C$27,$S$1768),1,INDEX(회차설정!$D$13:$D$27,$S$1768)-INDEX(회차설정!$C$13:$C$27,$S$1768)+1)))</f>
        <v/>
      </c>
      <c r="F1778" s="46">
        <f>IF(OR($S$1768="",$D1778=0,$D1778="",$E1778=""),"",$E1778/$D1778*100)</f>
        <v/>
      </c>
      <c r="G1778" s="8" t="n"/>
      <c r="H1778" s="47">
        <f>IF($F1778="","",REPT("■",ROUND($F1778/5,0)))</f>
        <v/>
      </c>
      <c r="I1778" s="7" t="n"/>
      <c r="J1778" s="7" t="n"/>
      <c r="K1778" s="7" t="n"/>
      <c r="L1778" s="7" t="n"/>
      <c r="M1778" s="7" t="n"/>
      <c r="N1778" s="7" t="n"/>
      <c r="O1778" s="7" t="n"/>
      <c r="P1778" s="8" t="n"/>
    </row>
    <row r="1779">
      <c r="A1779" s="14">
        <f>IF($S$1769="","",INDEX(회차설정!$A$13:$A$27,$S$1769))</f>
        <v/>
      </c>
      <c r="B1779" s="14">
        <f>IF($S$1769="","",INDEX(회차설정!$B$13:$B$27,$S$1769))</f>
        <v/>
      </c>
      <c r="C1779" s="8" t="n"/>
      <c r="D1779" s="14">
        <f>IF($S$1769="","",IF($R$1767="언어와 매체",SUMPRODUCT((자동계산!$A$4:$A$48&gt;=INDEX(회차설정!$C$13:$C$27,$S$1769))*(자동계산!$A$4:$A$48&lt;=INDEX(회차설정!$D$13:$D$27,$S$1769))*자동계산!$E$4:$E$48),SUMPRODUCT((자동계산!$A$4:$A$48&gt;=INDEX(회차설정!$C$13:$C$27,$S$1769))*(자동계산!$A$4:$A$48&lt;=INDEX(회차설정!$D$13:$D$27,$S$1769))*자동계산!$C$4:$C$48)))</f>
        <v/>
      </c>
      <c r="E1779" s="14">
        <f>IF(OR($S$1769="",$R$1766=""),"",SUM(OFFSET(전체채점!$AW$2,$R$1766,INDEX(회차설정!$C$13:$C$27,$S$1769),1,INDEX(회차설정!$D$13:$D$27,$S$1769)-INDEX(회차설정!$C$13:$C$27,$S$1769)+1)))</f>
        <v/>
      </c>
      <c r="F1779" s="46">
        <f>IF(OR($S$1769="",$D1779=0,$D1779="",$E1779=""),"",$E1779/$D1779*100)</f>
        <v/>
      </c>
      <c r="G1779" s="8" t="n"/>
      <c r="H1779" s="47">
        <f>IF($F1779="","",REPT("■",ROUND($F1779/5,0)))</f>
        <v/>
      </c>
      <c r="I1779" s="7" t="n"/>
      <c r="J1779" s="7" t="n"/>
      <c r="K1779" s="7" t="n"/>
      <c r="L1779" s="7" t="n"/>
      <c r="M1779" s="7" t="n"/>
      <c r="N1779" s="7" t="n"/>
      <c r="O1779" s="7" t="n"/>
      <c r="P1779" s="8" t="n"/>
    </row>
    <row r="1780">
      <c r="A1780" s="14">
        <f>IF($S$1770="","",INDEX(회차설정!$A$13:$A$27,$S$1770))</f>
        <v/>
      </c>
      <c r="B1780" s="14">
        <f>IF($S$1770="","",INDEX(회차설정!$B$13:$B$27,$S$1770))</f>
        <v/>
      </c>
      <c r="C1780" s="8" t="n"/>
      <c r="D1780" s="14">
        <f>IF($S$1770="","",IF($R$1767="언어와 매체",SUMPRODUCT((자동계산!$A$4:$A$48&gt;=INDEX(회차설정!$C$13:$C$27,$S$1770))*(자동계산!$A$4:$A$48&lt;=INDEX(회차설정!$D$13:$D$27,$S$1770))*자동계산!$E$4:$E$48),SUMPRODUCT((자동계산!$A$4:$A$48&gt;=INDEX(회차설정!$C$13:$C$27,$S$1770))*(자동계산!$A$4:$A$48&lt;=INDEX(회차설정!$D$13:$D$27,$S$1770))*자동계산!$C$4:$C$48)))</f>
        <v/>
      </c>
      <c r="E1780" s="14">
        <f>IF(OR($S$1770="",$R$1766=""),"",SUM(OFFSET(전체채점!$AW$2,$R$1766,INDEX(회차설정!$C$13:$C$27,$S$1770),1,INDEX(회차설정!$D$13:$D$27,$S$1770)-INDEX(회차설정!$C$13:$C$27,$S$1770)+1)))</f>
        <v/>
      </c>
      <c r="F1780" s="46">
        <f>IF(OR($S$1770="",$D1780=0,$D1780="",$E1780=""),"",$E1780/$D1780*100)</f>
        <v/>
      </c>
      <c r="G1780" s="8" t="n"/>
      <c r="H1780" s="47">
        <f>IF($F1780="","",REPT("■",ROUND($F1780/5,0)))</f>
        <v/>
      </c>
      <c r="I1780" s="7" t="n"/>
      <c r="J1780" s="7" t="n"/>
      <c r="K1780" s="7" t="n"/>
      <c r="L1780" s="7" t="n"/>
      <c r="M1780" s="7" t="n"/>
      <c r="N1780" s="7" t="n"/>
      <c r="O1780" s="7" t="n"/>
      <c r="P1780" s="8" t="n"/>
    </row>
    <row r="1781">
      <c r="A1781" s="14">
        <f>IF($S$1771="","",INDEX(회차설정!$A$13:$A$27,$S$1771))</f>
        <v/>
      </c>
      <c r="B1781" s="14">
        <f>IF($S$1771="","",INDEX(회차설정!$B$13:$B$27,$S$1771))</f>
        <v/>
      </c>
      <c r="C1781" s="8" t="n"/>
      <c r="D1781" s="14">
        <f>IF($S$1771="","",IF($R$1767="언어와 매체",SUMPRODUCT((자동계산!$A$4:$A$48&gt;=INDEX(회차설정!$C$13:$C$27,$S$1771))*(자동계산!$A$4:$A$48&lt;=INDEX(회차설정!$D$13:$D$27,$S$1771))*자동계산!$E$4:$E$48),SUMPRODUCT((자동계산!$A$4:$A$48&gt;=INDEX(회차설정!$C$13:$C$27,$S$1771))*(자동계산!$A$4:$A$48&lt;=INDEX(회차설정!$D$13:$D$27,$S$1771))*자동계산!$C$4:$C$48)))</f>
        <v/>
      </c>
      <c r="E1781" s="14">
        <f>IF(OR($S$1771="",$R$1766=""),"",SUM(OFFSET(전체채점!$AW$2,$R$1766,INDEX(회차설정!$C$13:$C$27,$S$1771),1,INDEX(회차설정!$D$13:$D$27,$S$1771)-INDEX(회차설정!$C$13:$C$27,$S$1771)+1)))</f>
        <v/>
      </c>
      <c r="F1781" s="46">
        <f>IF(OR($S$1771="",$D1781=0,$D1781="",$E1781=""),"",$E1781/$D1781*100)</f>
        <v/>
      </c>
      <c r="G1781" s="8" t="n"/>
      <c r="H1781" s="47">
        <f>IF($F1781="","",REPT("■",ROUND($F1781/5,0)))</f>
        <v/>
      </c>
      <c r="I1781" s="7" t="n"/>
      <c r="J1781" s="7" t="n"/>
      <c r="K1781" s="7" t="n"/>
      <c r="L1781" s="7" t="n"/>
      <c r="M1781" s="7" t="n"/>
      <c r="N1781" s="7" t="n"/>
      <c r="O1781" s="7" t="n"/>
      <c r="P1781" s="8" t="n"/>
    </row>
    <row r="1782">
      <c r="A1782" s="14">
        <f>IF($S$1772="","",INDEX(회차설정!$A$13:$A$27,$S$1772))</f>
        <v/>
      </c>
      <c r="B1782" s="14">
        <f>IF($S$1772="","",INDEX(회차설정!$B$13:$B$27,$S$1772))</f>
        <v/>
      </c>
      <c r="C1782" s="8" t="n"/>
      <c r="D1782" s="14">
        <f>IF($S$1772="","",IF($R$1767="언어와 매체",SUMPRODUCT((자동계산!$A$4:$A$48&gt;=INDEX(회차설정!$C$13:$C$27,$S$1772))*(자동계산!$A$4:$A$48&lt;=INDEX(회차설정!$D$13:$D$27,$S$1772))*자동계산!$E$4:$E$48),SUMPRODUCT((자동계산!$A$4:$A$48&gt;=INDEX(회차설정!$C$13:$C$27,$S$1772))*(자동계산!$A$4:$A$48&lt;=INDEX(회차설정!$D$13:$D$27,$S$1772))*자동계산!$C$4:$C$48)))</f>
        <v/>
      </c>
      <c r="E1782" s="14">
        <f>IF(OR($S$1772="",$R$1766=""),"",SUM(OFFSET(전체채점!$AW$2,$R$1766,INDEX(회차설정!$C$13:$C$27,$S$1772),1,INDEX(회차설정!$D$13:$D$27,$S$1772)-INDEX(회차설정!$C$13:$C$27,$S$1772)+1)))</f>
        <v/>
      </c>
      <c r="F1782" s="46">
        <f>IF(OR($S$1772="",$D1782=0,$D1782="",$E1782=""),"",$E1782/$D1782*100)</f>
        <v/>
      </c>
      <c r="G1782" s="8" t="n"/>
      <c r="H1782" s="47">
        <f>IF($F1782="","",REPT("■",ROUND($F1782/5,0)))</f>
        <v/>
      </c>
      <c r="I1782" s="7" t="n"/>
      <c r="J1782" s="7" t="n"/>
      <c r="K1782" s="7" t="n"/>
      <c r="L1782" s="7" t="n"/>
      <c r="M1782" s="7" t="n"/>
      <c r="N1782" s="7" t="n"/>
      <c r="O1782" s="7" t="n"/>
      <c r="P1782" s="8" t="n"/>
    </row>
    <row r="1783">
      <c r="A1783" s="14">
        <f>IF($S$1773="","",INDEX(회차설정!$A$13:$A$27,$S$1773))</f>
        <v/>
      </c>
      <c r="B1783" s="14">
        <f>IF($S$1773="","",INDEX(회차설정!$B$13:$B$27,$S$1773))</f>
        <v/>
      </c>
      <c r="C1783" s="8" t="n"/>
      <c r="D1783" s="14">
        <f>IF($S$1773="","",IF($R$1767="언어와 매체",SUMPRODUCT((자동계산!$A$4:$A$48&gt;=INDEX(회차설정!$C$13:$C$27,$S$1773))*(자동계산!$A$4:$A$48&lt;=INDEX(회차설정!$D$13:$D$27,$S$1773))*자동계산!$E$4:$E$48),SUMPRODUCT((자동계산!$A$4:$A$48&gt;=INDEX(회차설정!$C$13:$C$27,$S$1773))*(자동계산!$A$4:$A$48&lt;=INDEX(회차설정!$D$13:$D$27,$S$1773))*자동계산!$C$4:$C$48)))</f>
        <v/>
      </c>
      <c r="E1783" s="14">
        <f>IF(OR($S$1773="",$R$1766=""),"",SUM(OFFSET(전체채점!$AW$2,$R$1766,INDEX(회차설정!$C$13:$C$27,$S$1773),1,INDEX(회차설정!$D$13:$D$27,$S$1773)-INDEX(회차설정!$C$13:$C$27,$S$1773)+1)))</f>
        <v/>
      </c>
      <c r="F1783" s="46">
        <f>IF(OR($S$1773="",$D1783=0,$D1783="",$E1783=""),"",$E1783/$D1783*100)</f>
        <v/>
      </c>
      <c r="G1783" s="8" t="n"/>
      <c r="H1783" s="47">
        <f>IF($F1783="","",REPT("■",ROUND($F1783/5,0)))</f>
        <v/>
      </c>
      <c r="I1783" s="7" t="n"/>
      <c r="J1783" s="7" t="n"/>
      <c r="K1783" s="7" t="n"/>
      <c r="L1783" s="7" t="n"/>
      <c r="M1783" s="7" t="n"/>
      <c r="N1783" s="7" t="n"/>
      <c r="O1783" s="7" t="n"/>
      <c r="P1783" s="8" t="n"/>
    </row>
    <row r="1784">
      <c r="A1784" s="14">
        <f>IF($S$1774="","",INDEX(회차설정!$A$13:$A$27,$S$1774))</f>
        <v/>
      </c>
      <c r="B1784" s="14">
        <f>IF($S$1774="","",INDEX(회차설정!$B$13:$B$27,$S$1774))</f>
        <v/>
      </c>
      <c r="C1784" s="8" t="n"/>
      <c r="D1784" s="14">
        <f>IF($S$1774="","",IF($R$1767="언어와 매체",SUMPRODUCT((자동계산!$A$4:$A$48&gt;=INDEX(회차설정!$C$13:$C$27,$S$1774))*(자동계산!$A$4:$A$48&lt;=INDEX(회차설정!$D$13:$D$27,$S$1774))*자동계산!$E$4:$E$48),SUMPRODUCT((자동계산!$A$4:$A$48&gt;=INDEX(회차설정!$C$13:$C$27,$S$1774))*(자동계산!$A$4:$A$48&lt;=INDEX(회차설정!$D$13:$D$27,$S$1774))*자동계산!$C$4:$C$48)))</f>
        <v/>
      </c>
      <c r="E1784" s="14">
        <f>IF(OR($S$1774="",$R$1766=""),"",SUM(OFFSET(전체채점!$AW$2,$R$1766,INDEX(회차설정!$C$13:$C$27,$S$1774),1,INDEX(회차설정!$D$13:$D$27,$S$1774)-INDEX(회차설정!$C$13:$C$27,$S$1774)+1)))</f>
        <v/>
      </c>
      <c r="F1784" s="46">
        <f>IF(OR($S$1774="",$D1784=0,$D1784="",$E1784=""),"",$E1784/$D1784*100)</f>
        <v/>
      </c>
      <c r="G1784" s="8" t="n"/>
      <c r="H1784" s="47">
        <f>IF($F1784="","",REPT("■",ROUND($F1784/5,0)))</f>
        <v/>
      </c>
      <c r="I1784" s="7" t="n"/>
      <c r="J1784" s="7" t="n"/>
      <c r="K1784" s="7" t="n"/>
      <c r="L1784" s="7" t="n"/>
      <c r="M1784" s="7" t="n"/>
      <c r="N1784" s="7" t="n"/>
      <c r="O1784" s="7" t="n"/>
      <c r="P1784" s="8" t="n"/>
    </row>
    <row r="1785">
      <c r="A1785" s="14">
        <f>IF($S$1775="","",INDEX(회차설정!$A$13:$A$27,$S$1775))</f>
        <v/>
      </c>
      <c r="B1785" s="14">
        <f>IF($S$1775="","",INDEX(회차설정!$B$13:$B$27,$S$1775))</f>
        <v/>
      </c>
      <c r="C1785" s="8" t="n"/>
      <c r="D1785" s="14">
        <f>IF($S$1775="","",IF($R$1767="언어와 매체",SUMPRODUCT((자동계산!$A$4:$A$48&gt;=INDEX(회차설정!$C$13:$C$27,$S$1775))*(자동계산!$A$4:$A$48&lt;=INDEX(회차설정!$D$13:$D$27,$S$1775))*자동계산!$E$4:$E$48),SUMPRODUCT((자동계산!$A$4:$A$48&gt;=INDEX(회차설정!$C$13:$C$27,$S$1775))*(자동계산!$A$4:$A$48&lt;=INDEX(회차설정!$D$13:$D$27,$S$1775))*자동계산!$C$4:$C$48)))</f>
        <v/>
      </c>
      <c r="E1785" s="14">
        <f>IF(OR($S$1775="",$R$1766=""),"",SUM(OFFSET(전체채점!$AW$2,$R$1766,INDEX(회차설정!$C$13:$C$27,$S$1775),1,INDEX(회차설정!$D$13:$D$27,$S$1775)-INDEX(회차설정!$C$13:$C$27,$S$1775)+1)))</f>
        <v/>
      </c>
      <c r="F1785" s="46">
        <f>IF(OR($S$1775="",$D1785=0,$D1785="",$E1785=""),"",$E1785/$D1785*100)</f>
        <v/>
      </c>
      <c r="G1785" s="8" t="n"/>
      <c r="H1785" s="47">
        <f>IF($F1785="","",REPT("■",ROUND($F1785/5,0)))</f>
        <v/>
      </c>
      <c r="I1785" s="7" t="n"/>
      <c r="J1785" s="7" t="n"/>
      <c r="K1785" s="7" t="n"/>
      <c r="L1785" s="7" t="n"/>
      <c r="M1785" s="7" t="n"/>
      <c r="N1785" s="7" t="n"/>
      <c r="O1785" s="7" t="n"/>
      <c r="P1785" s="8" t="n"/>
    </row>
    <row r="1786">
      <c r="A1786" s="14">
        <f>IF($S$1776="","",INDEX(회차설정!$A$13:$A$27,$S$1776))</f>
        <v/>
      </c>
      <c r="B1786" s="14">
        <f>IF($S$1776="","",INDEX(회차설정!$B$13:$B$27,$S$1776))</f>
        <v/>
      </c>
      <c r="C1786" s="8" t="n"/>
      <c r="D1786" s="14">
        <f>IF($S$1776="","",IF($R$1767="언어와 매체",SUMPRODUCT((자동계산!$A$4:$A$48&gt;=INDEX(회차설정!$C$13:$C$27,$S$1776))*(자동계산!$A$4:$A$48&lt;=INDEX(회차설정!$D$13:$D$27,$S$1776))*자동계산!$E$4:$E$48),SUMPRODUCT((자동계산!$A$4:$A$48&gt;=INDEX(회차설정!$C$13:$C$27,$S$1776))*(자동계산!$A$4:$A$48&lt;=INDEX(회차설정!$D$13:$D$27,$S$1776))*자동계산!$C$4:$C$48)))</f>
        <v/>
      </c>
      <c r="E1786" s="14">
        <f>IF(OR($S$1776="",$R$1766=""),"",SUM(OFFSET(전체채점!$AW$2,$R$1766,INDEX(회차설정!$C$13:$C$27,$S$1776),1,INDEX(회차설정!$D$13:$D$27,$S$1776)-INDEX(회차설정!$C$13:$C$27,$S$1776)+1)))</f>
        <v/>
      </c>
      <c r="F1786" s="46">
        <f>IF(OR($S$1776="",$D1786=0,$D1786="",$E1786=""),"",$E1786/$D1786*100)</f>
        <v/>
      </c>
      <c r="G1786" s="8" t="n"/>
      <c r="H1786" s="47">
        <f>IF($F1786="","",REPT("■",ROUND($F1786/5,0)))</f>
        <v/>
      </c>
      <c r="I1786" s="7" t="n"/>
      <c r="J1786" s="7" t="n"/>
      <c r="K1786" s="7" t="n"/>
      <c r="L1786" s="7" t="n"/>
      <c r="M1786" s="7" t="n"/>
      <c r="N1786" s="7" t="n"/>
      <c r="O1786" s="7" t="n"/>
      <c r="P1786" s="8" t="n"/>
    </row>
    <row r="1787">
      <c r="A1787" s="14">
        <f>IF($S$1777="","",INDEX(회차설정!$A$13:$A$27,$S$1777))</f>
        <v/>
      </c>
      <c r="B1787" s="14">
        <f>IF($S$1777="","",INDEX(회차설정!$B$13:$B$27,$S$1777))</f>
        <v/>
      </c>
      <c r="C1787" s="8" t="n"/>
      <c r="D1787" s="14">
        <f>IF($S$1777="","",IF($R$1767="언어와 매체",SUMPRODUCT((자동계산!$A$4:$A$48&gt;=INDEX(회차설정!$C$13:$C$27,$S$1777))*(자동계산!$A$4:$A$48&lt;=INDEX(회차설정!$D$13:$D$27,$S$1777))*자동계산!$E$4:$E$48),SUMPRODUCT((자동계산!$A$4:$A$48&gt;=INDEX(회차설정!$C$13:$C$27,$S$1777))*(자동계산!$A$4:$A$48&lt;=INDEX(회차설정!$D$13:$D$27,$S$1777))*자동계산!$C$4:$C$48)))</f>
        <v/>
      </c>
      <c r="E1787" s="14">
        <f>IF(OR($S$1777="",$R$1766=""),"",SUM(OFFSET(전체채점!$AW$2,$R$1766,INDEX(회차설정!$C$13:$C$27,$S$1777),1,INDEX(회차설정!$D$13:$D$27,$S$1777)-INDEX(회차설정!$C$13:$C$27,$S$1777)+1)))</f>
        <v/>
      </c>
      <c r="F1787" s="46">
        <f>IF(OR($S$1777="",$D1787=0,$D1787="",$E1787=""),"",$E1787/$D1787*100)</f>
        <v/>
      </c>
      <c r="G1787" s="8" t="n"/>
      <c r="H1787" s="47">
        <f>IF($F1787="","",REPT("■",ROUND($F1787/5,0)))</f>
        <v/>
      </c>
      <c r="I1787" s="7" t="n"/>
      <c r="J1787" s="7" t="n"/>
      <c r="K1787" s="7" t="n"/>
      <c r="L1787" s="7" t="n"/>
      <c r="M1787" s="7" t="n"/>
      <c r="N1787" s="7" t="n"/>
      <c r="O1787" s="7" t="n"/>
      <c r="P1787" s="8" t="n"/>
    </row>
    <row r="1788">
      <c r="A1788" s="5">
        <f>IF($R$1766="","","합계")</f>
        <v/>
      </c>
      <c r="B1788" s="7" t="n"/>
      <c r="C1788" s="8" t="n"/>
      <c r="D1788" s="5">
        <f>IF($R$1766="","",SUM(D1776:D1787))</f>
        <v/>
      </c>
      <c r="E1788" s="5">
        <f>IF($R$1766="","",SUM(E1776:E1787))</f>
        <v/>
      </c>
      <c r="F1788" s="48">
        <f>IF(OR($D1788=0,$D1788=""),"",$E1788/$D1788*100)</f>
        <v/>
      </c>
      <c r="G1788" s="8" t="n"/>
      <c r="H1788" s="49">
        <f>IF($F1788="","",REPT("■",ROUND($F1788/5,0)))</f>
        <v/>
      </c>
      <c r="I1788" s="7" t="n"/>
      <c r="J1788" s="7" t="n"/>
      <c r="K1788" s="7" t="n"/>
      <c r="L1788" s="7" t="n"/>
      <c r="M1788" s="7" t="n"/>
      <c r="N1788" s="7" t="n"/>
      <c r="O1788" s="7" t="n"/>
      <c r="P1788" s="8" t="n"/>
    </row>
    <row r="1790">
      <c r="A1790" s="12" t="inlineStr">
        <is>
          <t>4. 문항 채점표</t>
        </is>
      </c>
    </row>
    <row r="1791">
      <c r="A1791" s="50" t="inlineStr">
        <is>
          <t>문항 번호</t>
        </is>
      </c>
      <c r="B1791" s="51" t="n">
        <v>1</v>
      </c>
      <c r="C1791" s="51" t="n">
        <v>2</v>
      </c>
      <c r="D1791" s="51" t="n">
        <v>3</v>
      </c>
      <c r="E1791" s="51" t="n">
        <v>4</v>
      </c>
      <c r="F1791" s="51" t="n">
        <v>5</v>
      </c>
      <c r="G1791" s="51" t="n">
        <v>6</v>
      </c>
      <c r="H1791" s="51" t="n">
        <v>7</v>
      </c>
      <c r="I1791" s="51" t="n">
        <v>8</v>
      </c>
      <c r="J1791" s="51" t="n">
        <v>9</v>
      </c>
      <c r="K1791" s="51" t="n">
        <v>10</v>
      </c>
      <c r="L1791" s="51" t="n">
        <v>11</v>
      </c>
      <c r="M1791" s="51" t="n">
        <v>12</v>
      </c>
      <c r="N1791" s="51" t="n">
        <v>13</v>
      </c>
      <c r="O1791" s="51" t="n">
        <v>14</v>
      </c>
      <c r="P1791" s="51" t="n">
        <v>15</v>
      </c>
    </row>
    <row r="1792">
      <c r="A1792" s="52" t="inlineStr">
        <is>
          <t>정답</t>
        </is>
      </c>
      <c r="B1792" s="33">
        <f>IF($R$1767="","",IF($R$1767="언어와 매체",자동계산!$D$4,자동계산!$B$4))</f>
        <v/>
      </c>
      <c r="C1792" s="33">
        <f>IF($R$1767="","",IF($R$1767="언어와 매체",자동계산!$D$5,자동계산!$B$5))</f>
        <v/>
      </c>
      <c r="D1792" s="33">
        <f>IF($R$1767="","",IF($R$1767="언어와 매체",자동계산!$D$6,자동계산!$B$6))</f>
        <v/>
      </c>
      <c r="E1792" s="33">
        <f>IF($R$1767="","",IF($R$1767="언어와 매체",자동계산!$D$7,자동계산!$B$7))</f>
        <v/>
      </c>
      <c r="F1792" s="33">
        <f>IF($R$1767="","",IF($R$1767="언어와 매체",자동계산!$D$8,자동계산!$B$8))</f>
        <v/>
      </c>
      <c r="G1792" s="33">
        <f>IF($R$1767="","",IF($R$1767="언어와 매체",자동계산!$D$9,자동계산!$B$9))</f>
        <v/>
      </c>
      <c r="H1792" s="33">
        <f>IF($R$1767="","",IF($R$1767="언어와 매체",자동계산!$D$10,자동계산!$B$10))</f>
        <v/>
      </c>
      <c r="I1792" s="33">
        <f>IF($R$1767="","",IF($R$1767="언어와 매체",자동계산!$D$11,자동계산!$B$11))</f>
        <v/>
      </c>
      <c r="J1792" s="33">
        <f>IF($R$1767="","",IF($R$1767="언어와 매체",자동계산!$D$12,자동계산!$B$12))</f>
        <v/>
      </c>
      <c r="K1792" s="33">
        <f>IF($R$1767="","",IF($R$1767="언어와 매체",자동계산!$D$13,자동계산!$B$13))</f>
        <v/>
      </c>
      <c r="L1792" s="33">
        <f>IF($R$1767="","",IF($R$1767="언어와 매체",자동계산!$D$14,자동계산!$B$14))</f>
        <v/>
      </c>
      <c r="M1792" s="33">
        <f>IF($R$1767="","",IF($R$1767="언어와 매체",자동계산!$D$15,자동계산!$B$15))</f>
        <v/>
      </c>
      <c r="N1792" s="33">
        <f>IF($R$1767="","",IF($R$1767="언어와 매체",자동계산!$D$16,자동계산!$B$16))</f>
        <v/>
      </c>
      <c r="O1792" s="33">
        <f>IF($R$1767="","",IF($R$1767="언어와 매체",자동계산!$D$17,자동계산!$B$17))</f>
        <v/>
      </c>
      <c r="P1792" s="33">
        <f>IF($R$1767="","",IF($R$1767="언어와 매체",자동계산!$D$18,자동계산!$B$18))</f>
        <v/>
      </c>
    </row>
    <row r="1793">
      <c r="A1793" s="52" t="inlineStr">
        <is>
          <t>학생답안</t>
        </is>
      </c>
      <c r="B1793" s="33">
        <f>IF($R$1766="","",INDEX(전체채점!E$3:E$62,$R$1766))</f>
        <v/>
      </c>
      <c r="C1793" s="33">
        <f>IF($R$1766="","",INDEX(전체채점!F$3:F$62,$R$1766))</f>
        <v/>
      </c>
      <c r="D1793" s="33">
        <f>IF($R$1766="","",INDEX(전체채점!G$3:G$62,$R$1766))</f>
        <v/>
      </c>
      <c r="E1793" s="33">
        <f>IF($R$1766="","",INDEX(전체채점!H$3:H$62,$R$1766))</f>
        <v/>
      </c>
      <c r="F1793" s="33">
        <f>IF($R$1766="","",INDEX(전체채점!I$3:I$62,$R$1766))</f>
        <v/>
      </c>
      <c r="G1793" s="33">
        <f>IF($R$1766="","",INDEX(전체채점!J$3:J$62,$R$1766))</f>
        <v/>
      </c>
      <c r="H1793" s="33">
        <f>IF($R$1766="","",INDEX(전체채점!K$3:K$62,$R$1766))</f>
        <v/>
      </c>
      <c r="I1793" s="33">
        <f>IF($R$1766="","",INDEX(전체채점!L$3:L$62,$R$1766))</f>
        <v/>
      </c>
      <c r="J1793" s="33">
        <f>IF($R$1766="","",INDEX(전체채점!M$3:M$62,$R$1766))</f>
        <v/>
      </c>
      <c r="K1793" s="33">
        <f>IF($R$1766="","",INDEX(전체채점!N$3:N$62,$R$1766))</f>
        <v/>
      </c>
      <c r="L1793" s="33">
        <f>IF($R$1766="","",INDEX(전체채점!O$3:O$62,$R$1766))</f>
        <v/>
      </c>
      <c r="M1793" s="33">
        <f>IF($R$1766="","",INDEX(전체채점!P$3:P$62,$R$1766))</f>
        <v/>
      </c>
      <c r="N1793" s="33">
        <f>IF($R$1766="","",INDEX(전체채점!Q$3:Q$62,$R$1766))</f>
        <v/>
      </c>
      <c r="O1793" s="33">
        <f>IF($R$1766="","",INDEX(전체채점!R$3:R$62,$R$1766))</f>
        <v/>
      </c>
      <c r="P1793" s="33">
        <f>IF($R$1766="","",INDEX(전체채점!S$3:S$62,$R$1766))</f>
        <v/>
      </c>
    </row>
    <row r="1794">
      <c r="A1794" s="52" t="inlineStr">
        <is>
          <t>정오</t>
        </is>
      </c>
      <c r="B1794" s="33">
        <f>IF($R$1766="","",INDEX(전체채점!AX$3:AX$62,$R$1766))</f>
        <v/>
      </c>
      <c r="C1794" s="33">
        <f>IF($R$1766="","",INDEX(전체채점!AY$3:AY$62,$R$1766))</f>
        <v/>
      </c>
      <c r="D1794" s="33">
        <f>IF($R$1766="","",INDEX(전체채점!AZ$3:AZ$62,$R$1766))</f>
        <v/>
      </c>
      <c r="E1794" s="33">
        <f>IF($R$1766="","",INDEX(전체채점!BA$3:BA$62,$R$1766))</f>
        <v/>
      </c>
      <c r="F1794" s="33">
        <f>IF($R$1766="","",INDEX(전체채점!BB$3:BB$62,$R$1766))</f>
        <v/>
      </c>
      <c r="G1794" s="33">
        <f>IF($R$1766="","",INDEX(전체채점!BC$3:BC$62,$R$1766))</f>
        <v/>
      </c>
      <c r="H1794" s="33">
        <f>IF($R$1766="","",INDEX(전체채점!BD$3:BD$62,$R$1766))</f>
        <v/>
      </c>
      <c r="I1794" s="33">
        <f>IF($R$1766="","",INDEX(전체채점!BE$3:BE$62,$R$1766))</f>
        <v/>
      </c>
      <c r="J1794" s="33">
        <f>IF($R$1766="","",INDEX(전체채점!BF$3:BF$62,$R$1766))</f>
        <v/>
      </c>
      <c r="K1794" s="33">
        <f>IF($R$1766="","",INDEX(전체채점!BG$3:BG$62,$R$1766))</f>
        <v/>
      </c>
      <c r="L1794" s="33">
        <f>IF($R$1766="","",INDEX(전체채점!BH$3:BH$62,$R$1766))</f>
        <v/>
      </c>
      <c r="M1794" s="33">
        <f>IF($R$1766="","",INDEX(전체채점!BI$3:BI$62,$R$1766))</f>
        <v/>
      </c>
      <c r="N1794" s="33">
        <f>IF($R$1766="","",INDEX(전체채점!BJ$3:BJ$62,$R$1766))</f>
        <v/>
      </c>
      <c r="O1794" s="33">
        <f>IF($R$1766="","",INDEX(전체채점!BK$3:BK$62,$R$1766))</f>
        <v/>
      </c>
      <c r="P1794" s="33">
        <f>IF($R$1766="","",INDEX(전체채점!BL$3:BL$62,$R$1766))</f>
        <v/>
      </c>
    </row>
    <row r="1795">
      <c r="A1795" s="50" t="inlineStr">
        <is>
          <t>문항 번호</t>
        </is>
      </c>
      <c r="B1795" s="51" t="n">
        <v>16</v>
      </c>
      <c r="C1795" s="51" t="n">
        <v>17</v>
      </c>
      <c r="D1795" s="51" t="n">
        <v>18</v>
      </c>
      <c r="E1795" s="51" t="n">
        <v>19</v>
      </c>
      <c r="F1795" s="51" t="n">
        <v>20</v>
      </c>
      <c r="G1795" s="51" t="n">
        <v>21</v>
      </c>
      <c r="H1795" s="51" t="n">
        <v>22</v>
      </c>
      <c r="I1795" s="51" t="n">
        <v>23</v>
      </c>
      <c r="J1795" s="51" t="n">
        <v>24</v>
      </c>
      <c r="K1795" s="51" t="n">
        <v>25</v>
      </c>
      <c r="L1795" s="51" t="n">
        <v>26</v>
      </c>
      <c r="M1795" s="51" t="n">
        <v>27</v>
      </c>
      <c r="N1795" s="51" t="n">
        <v>28</v>
      </c>
      <c r="O1795" s="51" t="n">
        <v>29</v>
      </c>
      <c r="P1795" s="51" t="n">
        <v>30</v>
      </c>
    </row>
    <row r="1796">
      <c r="A1796" s="52" t="inlineStr">
        <is>
          <t>정답</t>
        </is>
      </c>
      <c r="B1796" s="33">
        <f>IF($R$1767="","",IF($R$1767="언어와 매체",자동계산!$D$19,자동계산!$B$19))</f>
        <v/>
      </c>
      <c r="C1796" s="33">
        <f>IF($R$1767="","",IF($R$1767="언어와 매체",자동계산!$D$20,자동계산!$B$20))</f>
        <v/>
      </c>
      <c r="D1796" s="33">
        <f>IF($R$1767="","",IF($R$1767="언어와 매체",자동계산!$D$21,자동계산!$B$21))</f>
        <v/>
      </c>
      <c r="E1796" s="33">
        <f>IF($R$1767="","",IF($R$1767="언어와 매체",자동계산!$D$22,자동계산!$B$22))</f>
        <v/>
      </c>
      <c r="F1796" s="33">
        <f>IF($R$1767="","",IF($R$1767="언어와 매체",자동계산!$D$23,자동계산!$B$23))</f>
        <v/>
      </c>
      <c r="G1796" s="33">
        <f>IF($R$1767="","",IF($R$1767="언어와 매체",자동계산!$D$24,자동계산!$B$24))</f>
        <v/>
      </c>
      <c r="H1796" s="33">
        <f>IF($R$1767="","",IF($R$1767="언어와 매체",자동계산!$D$25,자동계산!$B$25))</f>
        <v/>
      </c>
      <c r="I1796" s="33">
        <f>IF($R$1767="","",IF($R$1767="언어와 매체",자동계산!$D$26,자동계산!$B$26))</f>
        <v/>
      </c>
      <c r="J1796" s="33">
        <f>IF($R$1767="","",IF($R$1767="언어와 매체",자동계산!$D$27,자동계산!$B$27))</f>
        <v/>
      </c>
      <c r="K1796" s="33">
        <f>IF($R$1767="","",IF($R$1767="언어와 매체",자동계산!$D$28,자동계산!$B$28))</f>
        <v/>
      </c>
      <c r="L1796" s="33">
        <f>IF($R$1767="","",IF($R$1767="언어와 매체",자동계산!$D$29,자동계산!$B$29))</f>
        <v/>
      </c>
      <c r="M1796" s="33">
        <f>IF($R$1767="","",IF($R$1767="언어와 매체",자동계산!$D$30,자동계산!$B$30))</f>
        <v/>
      </c>
      <c r="N1796" s="33">
        <f>IF($R$1767="","",IF($R$1767="언어와 매체",자동계산!$D$31,자동계산!$B$31))</f>
        <v/>
      </c>
      <c r="O1796" s="33">
        <f>IF($R$1767="","",IF($R$1767="언어와 매체",자동계산!$D$32,자동계산!$B$32))</f>
        <v/>
      </c>
      <c r="P1796" s="33">
        <f>IF($R$1767="","",IF($R$1767="언어와 매체",자동계산!$D$33,자동계산!$B$33))</f>
        <v/>
      </c>
    </row>
    <row r="1797">
      <c r="A1797" s="52" t="inlineStr">
        <is>
          <t>학생답안</t>
        </is>
      </c>
      <c r="B1797" s="33">
        <f>IF($R$1766="","",INDEX(전체채점!T$3:T$62,$R$1766))</f>
        <v/>
      </c>
      <c r="C1797" s="33">
        <f>IF($R$1766="","",INDEX(전체채점!U$3:U$62,$R$1766))</f>
        <v/>
      </c>
      <c r="D1797" s="33">
        <f>IF($R$1766="","",INDEX(전체채점!V$3:V$62,$R$1766))</f>
        <v/>
      </c>
      <c r="E1797" s="33">
        <f>IF($R$1766="","",INDEX(전체채점!W$3:W$62,$R$1766))</f>
        <v/>
      </c>
      <c r="F1797" s="33">
        <f>IF($R$1766="","",INDEX(전체채점!X$3:X$62,$R$1766))</f>
        <v/>
      </c>
      <c r="G1797" s="33">
        <f>IF($R$1766="","",INDEX(전체채점!Y$3:Y$62,$R$1766))</f>
        <v/>
      </c>
      <c r="H1797" s="33">
        <f>IF($R$1766="","",INDEX(전체채점!Z$3:Z$62,$R$1766))</f>
        <v/>
      </c>
      <c r="I1797" s="33">
        <f>IF($R$1766="","",INDEX(전체채점!AA$3:AA$62,$R$1766))</f>
        <v/>
      </c>
      <c r="J1797" s="33">
        <f>IF($R$1766="","",INDEX(전체채점!AB$3:AB$62,$R$1766))</f>
        <v/>
      </c>
      <c r="K1797" s="33">
        <f>IF($R$1766="","",INDEX(전체채점!AC$3:AC$62,$R$1766))</f>
        <v/>
      </c>
      <c r="L1797" s="33">
        <f>IF($R$1766="","",INDEX(전체채점!AD$3:AD$62,$R$1766))</f>
        <v/>
      </c>
      <c r="M1797" s="33">
        <f>IF($R$1766="","",INDEX(전체채점!AE$3:AE$62,$R$1766))</f>
        <v/>
      </c>
      <c r="N1797" s="33">
        <f>IF($R$1766="","",INDEX(전체채점!AF$3:AF$62,$R$1766))</f>
        <v/>
      </c>
      <c r="O1797" s="33">
        <f>IF($R$1766="","",INDEX(전체채점!AG$3:AG$62,$R$1766))</f>
        <v/>
      </c>
      <c r="P1797" s="33">
        <f>IF($R$1766="","",INDEX(전체채점!AH$3:AH$62,$R$1766))</f>
        <v/>
      </c>
    </row>
    <row r="1798">
      <c r="A1798" s="52" t="inlineStr">
        <is>
          <t>정오</t>
        </is>
      </c>
      <c r="B1798" s="33">
        <f>IF($R$1766="","",INDEX(전체채점!BM$3:BM$62,$R$1766))</f>
        <v/>
      </c>
      <c r="C1798" s="33">
        <f>IF($R$1766="","",INDEX(전체채점!BN$3:BN$62,$R$1766))</f>
        <v/>
      </c>
      <c r="D1798" s="33">
        <f>IF($R$1766="","",INDEX(전체채점!BO$3:BO$62,$R$1766))</f>
        <v/>
      </c>
      <c r="E1798" s="33">
        <f>IF($R$1766="","",INDEX(전체채점!BP$3:BP$62,$R$1766))</f>
        <v/>
      </c>
      <c r="F1798" s="33">
        <f>IF($R$1766="","",INDEX(전체채점!BQ$3:BQ$62,$R$1766))</f>
        <v/>
      </c>
      <c r="G1798" s="33">
        <f>IF($R$1766="","",INDEX(전체채점!BR$3:BR$62,$R$1766))</f>
        <v/>
      </c>
      <c r="H1798" s="33">
        <f>IF($R$1766="","",INDEX(전체채점!BS$3:BS$62,$R$1766))</f>
        <v/>
      </c>
      <c r="I1798" s="33">
        <f>IF($R$1766="","",INDEX(전체채점!BT$3:BT$62,$R$1766))</f>
        <v/>
      </c>
      <c r="J1798" s="33">
        <f>IF($R$1766="","",INDEX(전체채점!BU$3:BU$62,$R$1766))</f>
        <v/>
      </c>
      <c r="K1798" s="33">
        <f>IF($R$1766="","",INDEX(전체채점!BV$3:BV$62,$R$1766))</f>
        <v/>
      </c>
      <c r="L1798" s="33">
        <f>IF($R$1766="","",INDEX(전체채점!BW$3:BW$62,$R$1766))</f>
        <v/>
      </c>
      <c r="M1798" s="33">
        <f>IF($R$1766="","",INDEX(전체채점!BX$3:BX$62,$R$1766))</f>
        <v/>
      </c>
      <c r="N1798" s="33">
        <f>IF($R$1766="","",INDEX(전체채점!BY$3:BY$62,$R$1766))</f>
        <v/>
      </c>
      <c r="O1798" s="33">
        <f>IF($R$1766="","",INDEX(전체채점!BZ$3:BZ$62,$R$1766))</f>
        <v/>
      </c>
      <c r="P1798" s="33">
        <f>IF($R$1766="","",INDEX(전체채점!CA$3:CA$62,$R$1766))</f>
        <v/>
      </c>
    </row>
    <row r="1799">
      <c r="A1799" s="50" t="inlineStr">
        <is>
          <t>문항 번호</t>
        </is>
      </c>
      <c r="B1799" s="51" t="n">
        <v>31</v>
      </c>
      <c r="C1799" s="51" t="n">
        <v>32</v>
      </c>
      <c r="D1799" s="51" t="n">
        <v>33</v>
      </c>
      <c r="E1799" s="51" t="n">
        <v>34</v>
      </c>
      <c r="F1799" s="51" t="n">
        <v>35</v>
      </c>
      <c r="G1799" s="51" t="n">
        <v>36</v>
      </c>
      <c r="H1799" s="51" t="n">
        <v>37</v>
      </c>
      <c r="I1799" s="51" t="n">
        <v>38</v>
      </c>
      <c r="J1799" s="51" t="n">
        <v>39</v>
      </c>
      <c r="K1799" s="51" t="n">
        <v>40</v>
      </c>
      <c r="L1799" s="51" t="n">
        <v>41</v>
      </c>
      <c r="M1799" s="51" t="n">
        <v>42</v>
      </c>
      <c r="N1799" s="51" t="n">
        <v>43</v>
      </c>
      <c r="O1799" s="51" t="n">
        <v>44</v>
      </c>
      <c r="P1799" s="51" t="n">
        <v>45</v>
      </c>
    </row>
    <row r="1800">
      <c r="A1800" s="52" t="inlineStr">
        <is>
          <t>정답</t>
        </is>
      </c>
      <c r="B1800" s="33">
        <f>IF($R$1767="","",IF($R$1767="언어와 매체",자동계산!$D$34,자동계산!$B$34))</f>
        <v/>
      </c>
      <c r="C1800" s="33">
        <f>IF($R$1767="","",IF($R$1767="언어와 매체",자동계산!$D$35,자동계산!$B$35))</f>
        <v/>
      </c>
      <c r="D1800" s="33">
        <f>IF($R$1767="","",IF($R$1767="언어와 매체",자동계산!$D$36,자동계산!$B$36))</f>
        <v/>
      </c>
      <c r="E1800" s="33">
        <f>IF($R$1767="","",IF($R$1767="언어와 매체",자동계산!$D$37,자동계산!$B$37))</f>
        <v/>
      </c>
      <c r="F1800" s="33">
        <f>IF($R$1767="","",IF($R$1767="언어와 매체",자동계산!$D$38,자동계산!$B$38))</f>
        <v/>
      </c>
      <c r="G1800" s="33">
        <f>IF($R$1767="","",IF($R$1767="언어와 매체",자동계산!$D$39,자동계산!$B$39))</f>
        <v/>
      </c>
      <c r="H1800" s="33">
        <f>IF($R$1767="","",IF($R$1767="언어와 매체",자동계산!$D$40,자동계산!$B$40))</f>
        <v/>
      </c>
      <c r="I1800" s="33">
        <f>IF($R$1767="","",IF($R$1767="언어와 매체",자동계산!$D$41,자동계산!$B$41))</f>
        <v/>
      </c>
      <c r="J1800" s="33">
        <f>IF($R$1767="","",IF($R$1767="언어와 매체",자동계산!$D$42,자동계산!$B$42))</f>
        <v/>
      </c>
      <c r="K1800" s="33">
        <f>IF($R$1767="","",IF($R$1767="언어와 매체",자동계산!$D$43,자동계산!$B$43))</f>
        <v/>
      </c>
      <c r="L1800" s="33">
        <f>IF($R$1767="","",IF($R$1767="언어와 매체",자동계산!$D$44,자동계산!$B$44))</f>
        <v/>
      </c>
      <c r="M1800" s="33">
        <f>IF($R$1767="","",IF($R$1767="언어와 매체",자동계산!$D$45,자동계산!$B$45))</f>
        <v/>
      </c>
      <c r="N1800" s="33">
        <f>IF($R$1767="","",IF($R$1767="언어와 매체",자동계산!$D$46,자동계산!$B$46))</f>
        <v/>
      </c>
      <c r="O1800" s="33">
        <f>IF($R$1767="","",IF($R$1767="언어와 매체",자동계산!$D$47,자동계산!$B$47))</f>
        <v/>
      </c>
      <c r="P1800" s="33">
        <f>IF($R$1767="","",IF($R$1767="언어와 매체",자동계산!$D$48,자동계산!$B$48))</f>
        <v/>
      </c>
    </row>
    <row r="1801">
      <c r="A1801" s="52" t="inlineStr">
        <is>
          <t>학생답안</t>
        </is>
      </c>
      <c r="B1801" s="33">
        <f>IF($R$1766="","",INDEX(전체채점!AI$3:AI$62,$R$1766))</f>
        <v/>
      </c>
      <c r="C1801" s="33">
        <f>IF($R$1766="","",INDEX(전체채점!AJ$3:AJ$62,$R$1766))</f>
        <v/>
      </c>
      <c r="D1801" s="33">
        <f>IF($R$1766="","",INDEX(전체채점!AK$3:AK$62,$R$1766))</f>
        <v/>
      </c>
      <c r="E1801" s="33">
        <f>IF($R$1766="","",INDEX(전체채점!AL$3:AL$62,$R$1766))</f>
        <v/>
      </c>
      <c r="F1801" s="33">
        <f>IF($R$1766="","",INDEX(전체채점!AM$3:AM$62,$R$1766))</f>
        <v/>
      </c>
      <c r="G1801" s="33">
        <f>IF($R$1766="","",INDEX(전체채점!AN$3:AN$62,$R$1766))</f>
        <v/>
      </c>
      <c r="H1801" s="33">
        <f>IF($R$1766="","",INDEX(전체채점!AO$3:AO$62,$R$1766))</f>
        <v/>
      </c>
      <c r="I1801" s="33">
        <f>IF($R$1766="","",INDEX(전체채점!AP$3:AP$62,$R$1766))</f>
        <v/>
      </c>
      <c r="J1801" s="33">
        <f>IF($R$1766="","",INDEX(전체채점!AQ$3:AQ$62,$R$1766))</f>
        <v/>
      </c>
      <c r="K1801" s="33">
        <f>IF($R$1766="","",INDEX(전체채점!AR$3:AR$62,$R$1766))</f>
        <v/>
      </c>
      <c r="L1801" s="33">
        <f>IF($R$1766="","",INDEX(전체채점!AS$3:AS$62,$R$1766))</f>
        <v/>
      </c>
      <c r="M1801" s="33">
        <f>IF($R$1766="","",INDEX(전체채점!AT$3:AT$62,$R$1766))</f>
        <v/>
      </c>
      <c r="N1801" s="33">
        <f>IF($R$1766="","",INDEX(전체채점!AU$3:AU$62,$R$1766))</f>
        <v/>
      </c>
      <c r="O1801" s="33">
        <f>IF($R$1766="","",INDEX(전체채점!AV$3:AV$62,$R$1766))</f>
        <v/>
      </c>
      <c r="P1801" s="33">
        <f>IF($R$1766="","",INDEX(전체채점!AW$3:AW$62,$R$1766))</f>
        <v/>
      </c>
    </row>
    <row r="1802">
      <c r="A1802" s="52" t="inlineStr">
        <is>
          <t>정오</t>
        </is>
      </c>
      <c r="B1802" s="33">
        <f>IF($R$1766="","",INDEX(전체채점!CB$3:CB$62,$R$1766))</f>
        <v/>
      </c>
      <c r="C1802" s="33">
        <f>IF($R$1766="","",INDEX(전체채점!CC$3:CC$62,$R$1766))</f>
        <v/>
      </c>
      <c r="D1802" s="33">
        <f>IF($R$1766="","",INDEX(전체채점!CD$3:CD$62,$R$1766))</f>
        <v/>
      </c>
      <c r="E1802" s="33">
        <f>IF($R$1766="","",INDEX(전체채점!CE$3:CE$62,$R$1766))</f>
        <v/>
      </c>
      <c r="F1802" s="33">
        <f>IF($R$1766="","",INDEX(전체채점!CF$3:CF$62,$R$1766))</f>
        <v/>
      </c>
      <c r="G1802" s="33">
        <f>IF($R$1766="","",INDEX(전체채점!CG$3:CG$62,$R$1766))</f>
        <v/>
      </c>
      <c r="H1802" s="33">
        <f>IF($R$1766="","",INDEX(전체채점!CH$3:CH$62,$R$1766))</f>
        <v/>
      </c>
      <c r="I1802" s="33">
        <f>IF($R$1766="","",INDEX(전체채점!CI$3:CI$62,$R$1766))</f>
        <v/>
      </c>
      <c r="J1802" s="33">
        <f>IF($R$1766="","",INDEX(전체채점!CJ$3:CJ$62,$R$1766))</f>
        <v/>
      </c>
      <c r="K1802" s="33">
        <f>IF($R$1766="","",INDEX(전체채점!CK$3:CK$62,$R$1766))</f>
        <v/>
      </c>
      <c r="L1802" s="33">
        <f>IF($R$1766="","",INDEX(전체채점!CL$3:CL$62,$R$1766))</f>
        <v/>
      </c>
      <c r="M1802" s="33">
        <f>IF($R$1766="","",INDEX(전체채점!CM$3:CM$62,$R$1766))</f>
        <v/>
      </c>
      <c r="N1802" s="33">
        <f>IF($R$1766="","",INDEX(전체채점!CN$3:CN$62,$R$1766))</f>
        <v/>
      </c>
      <c r="O1802" s="33">
        <f>IF($R$1766="","",INDEX(전체채점!CO$3:CO$62,$R$1766))</f>
        <v/>
      </c>
      <c r="P1802" s="33">
        <f>IF($R$1766="","",INDEX(전체채점!CP$3:CP$62,$R$1766))</f>
        <v/>
      </c>
    </row>
    <row r="1805" ht="34" customHeight="1">
      <c r="A1805" s="36">
        <f>IF($R$1807="","",회차설정!$B$2&amp;" 성적표")</f>
        <v/>
      </c>
    </row>
    <row r="1807">
      <c r="A1807" s="12" t="inlineStr">
        <is>
          <t>1. 학생정보</t>
        </is>
      </c>
      <c r="R1807" s="37">
        <f>IF(답안입력!$A$47="","",45)</f>
        <v/>
      </c>
      <c r="S1807" s="37">
        <f>IF($R$1808="","",IFERROR(IF($R$1808="언어와 매체",MATCH(1,회차설정!$G$13:$G$27,0),MATCH(1,회차설정!$F$13:$F$27,0)),""))</f>
        <v/>
      </c>
    </row>
    <row r="1808">
      <c r="A1808" s="13" t="inlineStr">
        <is>
          <t>성명</t>
        </is>
      </c>
      <c r="B1808" s="7" t="n"/>
      <c r="C1808" s="8" t="n"/>
      <c r="D1808" s="13" t="inlineStr">
        <is>
          <t>선택과목</t>
        </is>
      </c>
      <c r="E1808" s="7" t="n"/>
      <c r="F1808" s="7" t="n"/>
      <c r="G1808" s="8" t="n"/>
      <c r="H1808" s="13" t="inlineStr">
        <is>
          <t>학년</t>
        </is>
      </c>
      <c r="I1808" s="7" t="n"/>
      <c r="J1808" s="7" t="n"/>
      <c r="K1808" s="8" t="n"/>
      <c r="L1808" s="13" t="inlineStr">
        <is>
          <t>시행일</t>
        </is>
      </c>
      <c r="M1808" s="7" t="n"/>
      <c r="N1808" s="7" t="n"/>
      <c r="O1808" s="7" t="n"/>
      <c r="P1808" s="8" t="n"/>
      <c r="R1808" s="37">
        <f>IF($R$1807="","",INDEX(전체채점!$B$3:$B$62,$R$1807))</f>
        <v/>
      </c>
      <c r="S1808" s="37">
        <f>IF($R$1808="","",IFERROR(IF($R$1808="언어와 매체",MATCH(2,회차설정!$G$13:$G$27,0),MATCH(2,회차설정!$F$13:$F$27,0)),""))</f>
        <v/>
      </c>
    </row>
    <row r="1809" ht="26" customHeight="1">
      <c r="A1809" s="39">
        <f>IF($R$1807="","",INDEX(답안입력!$A$3:$A$62,$R$1807))</f>
        <v/>
      </c>
      <c r="B1809" s="7" t="n"/>
      <c r="C1809" s="8" t="n"/>
      <c r="D1809" s="39">
        <f>IF($R$1807="","",INDEX(답안입력!$C$3:$C$62,$R$1807))</f>
        <v/>
      </c>
      <c r="E1809" s="7" t="n"/>
      <c r="F1809" s="7" t="n"/>
      <c r="G1809" s="8" t="n"/>
      <c r="H1809" s="39">
        <f>IF($R$1807="","",INDEX(답안입력!$B$3:$B$62,$R$1807))</f>
        <v/>
      </c>
      <c r="I1809" s="7" t="n"/>
      <c r="J1809" s="7" t="n"/>
      <c r="K1809" s="8" t="n"/>
      <c r="L1809" s="40">
        <f>회차설정!$B$3</f>
        <v/>
      </c>
      <c r="M1809" s="7" t="n"/>
      <c r="N1809" s="7" t="n"/>
      <c r="O1809" s="7" t="n"/>
      <c r="P1809" s="8" t="n"/>
      <c r="R1809" s="37">
        <f>IF($R$1808="언어와 매체",회차설정!$B$9,회차설정!$B$8)</f>
        <v/>
      </c>
      <c r="S1809" s="37">
        <f>IF($R$1808="","",IFERROR(IF($R$1808="언어와 매체",MATCH(3,회차설정!$G$13:$G$27,0),MATCH(3,회차설정!$F$13:$F$27,0)),""))</f>
        <v/>
      </c>
    </row>
    <row r="1810">
      <c r="R1810" s="37">
        <f>IF($R$1808="언어와 매체",회차설정!$C$9,회차설정!$C$8)</f>
        <v/>
      </c>
      <c r="S1810" s="37">
        <f>IF($R$1808="","",IFERROR(IF($R$1808="언어와 매체",MATCH(4,회차설정!$G$13:$G$27,0),MATCH(4,회차설정!$F$13:$F$27,0)),""))</f>
        <v/>
      </c>
    </row>
    <row r="1811">
      <c r="A1811" s="12" t="inlineStr">
        <is>
          <t>2. 성적</t>
        </is>
      </c>
      <c r="R1811" s="37">
        <f>IF($R$1808="언어와 매체",회차설정!$D$9,회차설정!$D$8)</f>
        <v/>
      </c>
      <c r="S1811" s="37">
        <f>IF($R$1808="","",IFERROR(IF($R$1808="언어와 매체",MATCH(5,회차설정!$G$13:$G$27,0),MATCH(5,회차설정!$F$13:$F$27,0)),""))</f>
        <v/>
      </c>
    </row>
    <row r="1812">
      <c r="A1812" s="13" t="inlineStr">
        <is>
          <t>점수 (100점 만점)</t>
        </is>
      </c>
      <c r="B1812" s="7" t="n"/>
      <c r="C1812" s="7" t="n"/>
      <c r="D1812" s="7" t="n"/>
      <c r="E1812" s="8" t="n"/>
      <c r="F1812" s="13" t="inlineStr">
        <is>
          <t>등급</t>
        </is>
      </c>
      <c r="G1812" s="7" t="n"/>
      <c r="H1812" s="8" t="n"/>
      <c r="I1812" s="13" t="inlineStr">
        <is>
          <t>등급컷</t>
        </is>
      </c>
      <c r="J1812" s="7" t="n"/>
      <c r="K1812" s="7" t="n"/>
      <c r="L1812" s="8" t="n"/>
      <c r="M1812" s="13" t="inlineStr">
        <is>
          <t>같은 선택과목 평균</t>
        </is>
      </c>
      <c r="N1812" s="7" t="n"/>
      <c r="O1812" s="7" t="n"/>
      <c r="P1812" s="8" t="n"/>
      <c r="R1812" s="37">
        <f>IF($R$1808="언어와 매체",회차설정!$E$9,회차설정!$E$8)</f>
        <v/>
      </c>
      <c r="S1812" s="37">
        <f>IF($R$1808="","",IFERROR(IF($R$1808="언어와 매체",MATCH(6,회차설정!$G$13:$G$27,0),MATCH(6,회차설정!$F$13:$F$27,0)),""))</f>
        <v/>
      </c>
    </row>
    <row r="1813" ht="34" customHeight="1">
      <c r="A1813" s="41">
        <f>IF($R$1807="","",INDEX(전체채점!$C$3:$C$62,$R$1807))</f>
        <v/>
      </c>
      <c r="B1813" s="7" t="n"/>
      <c r="C1813" s="7" t="n"/>
      <c r="D1813" s="7" t="n"/>
      <c r="E1813" s="8" t="n"/>
      <c r="F1813" s="42">
        <f>IF($R$1807="","",INDEX(전체채점!$D$3:$D$62,$R$1807))</f>
        <v/>
      </c>
      <c r="G1813" s="7" t="n"/>
      <c r="H1813" s="8" t="n"/>
      <c r="I1813" s="43">
        <f>IF($R$1807="","",$R$1809&amp;"-"&amp;$R$1810&amp;"-"&amp;$R$1811&amp;"-"&amp;$R$1812)</f>
        <v/>
      </c>
      <c r="J1813" s="7" t="n"/>
      <c r="K1813" s="7" t="n"/>
      <c r="L1813" s="8" t="n"/>
      <c r="M1813" s="44">
        <f>IFERROR(AVERAGEIF(전체채점!$B$3:$B$62,$R$1808,전체채점!$C$3:$C$62),"")</f>
        <v/>
      </c>
      <c r="N1813" s="7" t="n"/>
      <c r="O1813" s="7" t="n"/>
      <c r="P1813" s="8" t="n"/>
      <c r="S1813" s="37">
        <f>IF($R$1808="","",IFERROR(IF($R$1808="언어와 매체",MATCH(7,회차설정!$G$13:$G$27,0),MATCH(7,회차설정!$F$13:$F$27,0)),""))</f>
        <v/>
      </c>
    </row>
    <row r="1814">
      <c r="S1814" s="37">
        <f>IF($R$1808="","",IFERROR(IF($R$1808="언어와 매체",MATCH(8,회차설정!$G$13:$G$27,0),MATCH(8,회차설정!$F$13:$F$27,0)),""))</f>
        <v/>
      </c>
    </row>
    <row r="1815">
      <c r="A1815" s="12" t="inlineStr">
        <is>
          <t>3. 영역분류별 성취도 분석</t>
        </is>
      </c>
      <c r="F1815" s="45">
        <f>IF(OR($R$1807="",$E1829=""),"",IF($E1829=INDEX(전체채점!$C$3:$C$62,$R$1807),"","※ 회차설정의 영역 표를 확인하세요 — 영역 합계와 점수가 다릅니다"))</f>
        <v/>
      </c>
      <c r="S1815" s="37">
        <f>IF($R$1808="","",IFERROR(IF($R$1808="언어와 매체",MATCH(9,회차설정!$G$13:$G$27,0),MATCH(9,회차설정!$F$13:$F$27,0)),""))</f>
        <v/>
      </c>
    </row>
    <row r="1816">
      <c r="A1816" s="13" t="inlineStr">
        <is>
          <t>분류</t>
        </is>
      </c>
      <c r="B1816" s="13" t="inlineStr">
        <is>
          <t>영역</t>
        </is>
      </c>
      <c r="C1816" s="8" t="n"/>
      <c r="D1816" s="13" t="inlineStr">
        <is>
          <t>배점</t>
        </is>
      </c>
      <c r="E1816" s="13" t="inlineStr">
        <is>
          <t>득점</t>
        </is>
      </c>
      <c r="F1816" s="13" t="inlineStr">
        <is>
          <t>성취도(%)</t>
        </is>
      </c>
      <c r="G1816" s="8" t="n"/>
      <c r="H1816" s="13" t="inlineStr"/>
      <c r="I1816" s="7" t="n"/>
      <c r="J1816" s="7" t="n"/>
      <c r="K1816" s="7" t="n"/>
      <c r="L1816" s="7" t="n"/>
      <c r="M1816" s="7" t="n"/>
      <c r="N1816" s="7" t="n"/>
      <c r="O1816" s="7" t="n"/>
      <c r="P1816" s="8" t="n"/>
      <c r="S1816" s="37">
        <f>IF($R$1808="","",IFERROR(IF($R$1808="언어와 매체",MATCH(10,회차설정!$G$13:$G$27,0),MATCH(10,회차설정!$F$13:$F$27,0)),""))</f>
        <v/>
      </c>
    </row>
    <row r="1817">
      <c r="A1817" s="14">
        <f>IF($S$1807="","",INDEX(회차설정!$A$13:$A$27,$S$1807))</f>
        <v/>
      </c>
      <c r="B1817" s="14">
        <f>IF($S$1807="","",INDEX(회차설정!$B$13:$B$27,$S$1807))</f>
        <v/>
      </c>
      <c r="C1817" s="8" t="n"/>
      <c r="D1817" s="14">
        <f>IF($S$1807="","",IF($R$1808="언어와 매체",SUMPRODUCT((자동계산!$A$4:$A$48&gt;=INDEX(회차설정!$C$13:$C$27,$S$1807))*(자동계산!$A$4:$A$48&lt;=INDEX(회차설정!$D$13:$D$27,$S$1807))*자동계산!$E$4:$E$48),SUMPRODUCT((자동계산!$A$4:$A$48&gt;=INDEX(회차설정!$C$13:$C$27,$S$1807))*(자동계산!$A$4:$A$48&lt;=INDEX(회차설정!$D$13:$D$27,$S$1807))*자동계산!$C$4:$C$48)))</f>
        <v/>
      </c>
      <c r="E1817" s="14">
        <f>IF(OR($S$1807="",$R$1807=""),"",SUM(OFFSET(전체채점!$AW$2,$R$1807,INDEX(회차설정!$C$13:$C$27,$S$1807),1,INDEX(회차설정!$D$13:$D$27,$S$1807)-INDEX(회차설정!$C$13:$C$27,$S$1807)+1)))</f>
        <v/>
      </c>
      <c r="F1817" s="46">
        <f>IF(OR($S$1807="",$D1817=0,$D1817="",$E1817=""),"",$E1817/$D1817*100)</f>
        <v/>
      </c>
      <c r="G1817" s="8" t="n"/>
      <c r="H1817" s="47">
        <f>IF($F1817="","",REPT("■",ROUND($F1817/5,0)))</f>
        <v/>
      </c>
      <c r="I1817" s="7" t="n"/>
      <c r="J1817" s="7" t="n"/>
      <c r="K1817" s="7" t="n"/>
      <c r="L1817" s="7" t="n"/>
      <c r="M1817" s="7" t="n"/>
      <c r="N1817" s="7" t="n"/>
      <c r="O1817" s="7" t="n"/>
      <c r="P1817" s="8" t="n"/>
      <c r="S1817" s="37">
        <f>IF($R$1808="","",IFERROR(IF($R$1808="언어와 매체",MATCH(11,회차설정!$G$13:$G$27,0),MATCH(11,회차설정!$F$13:$F$27,0)),""))</f>
        <v/>
      </c>
    </row>
    <row r="1818">
      <c r="A1818" s="14">
        <f>IF($S$1808="","",INDEX(회차설정!$A$13:$A$27,$S$1808))</f>
        <v/>
      </c>
      <c r="B1818" s="14">
        <f>IF($S$1808="","",INDEX(회차설정!$B$13:$B$27,$S$1808))</f>
        <v/>
      </c>
      <c r="C1818" s="8" t="n"/>
      <c r="D1818" s="14">
        <f>IF($S$1808="","",IF($R$1808="언어와 매체",SUMPRODUCT((자동계산!$A$4:$A$48&gt;=INDEX(회차설정!$C$13:$C$27,$S$1808))*(자동계산!$A$4:$A$48&lt;=INDEX(회차설정!$D$13:$D$27,$S$1808))*자동계산!$E$4:$E$48),SUMPRODUCT((자동계산!$A$4:$A$48&gt;=INDEX(회차설정!$C$13:$C$27,$S$1808))*(자동계산!$A$4:$A$48&lt;=INDEX(회차설정!$D$13:$D$27,$S$1808))*자동계산!$C$4:$C$48)))</f>
        <v/>
      </c>
      <c r="E1818" s="14">
        <f>IF(OR($S$1808="",$R$1807=""),"",SUM(OFFSET(전체채점!$AW$2,$R$1807,INDEX(회차설정!$C$13:$C$27,$S$1808),1,INDEX(회차설정!$D$13:$D$27,$S$1808)-INDEX(회차설정!$C$13:$C$27,$S$1808)+1)))</f>
        <v/>
      </c>
      <c r="F1818" s="46">
        <f>IF(OR($S$1808="",$D1818=0,$D1818="",$E1818=""),"",$E1818/$D1818*100)</f>
        <v/>
      </c>
      <c r="G1818" s="8" t="n"/>
      <c r="H1818" s="47">
        <f>IF($F1818="","",REPT("■",ROUND($F1818/5,0)))</f>
        <v/>
      </c>
      <c r="I1818" s="7" t="n"/>
      <c r="J1818" s="7" t="n"/>
      <c r="K1818" s="7" t="n"/>
      <c r="L1818" s="7" t="n"/>
      <c r="M1818" s="7" t="n"/>
      <c r="N1818" s="7" t="n"/>
      <c r="O1818" s="7" t="n"/>
      <c r="P1818" s="8" t="n"/>
      <c r="S1818" s="37">
        <f>IF($R$1808="","",IFERROR(IF($R$1808="언어와 매체",MATCH(12,회차설정!$G$13:$G$27,0),MATCH(12,회차설정!$F$13:$F$27,0)),""))</f>
        <v/>
      </c>
    </row>
    <row r="1819">
      <c r="A1819" s="14">
        <f>IF($S$1809="","",INDEX(회차설정!$A$13:$A$27,$S$1809))</f>
        <v/>
      </c>
      <c r="B1819" s="14">
        <f>IF($S$1809="","",INDEX(회차설정!$B$13:$B$27,$S$1809))</f>
        <v/>
      </c>
      <c r="C1819" s="8" t="n"/>
      <c r="D1819" s="14">
        <f>IF($S$1809="","",IF($R$1808="언어와 매체",SUMPRODUCT((자동계산!$A$4:$A$48&gt;=INDEX(회차설정!$C$13:$C$27,$S$1809))*(자동계산!$A$4:$A$48&lt;=INDEX(회차설정!$D$13:$D$27,$S$1809))*자동계산!$E$4:$E$48),SUMPRODUCT((자동계산!$A$4:$A$48&gt;=INDEX(회차설정!$C$13:$C$27,$S$1809))*(자동계산!$A$4:$A$48&lt;=INDEX(회차설정!$D$13:$D$27,$S$1809))*자동계산!$C$4:$C$48)))</f>
        <v/>
      </c>
      <c r="E1819" s="14">
        <f>IF(OR($S$1809="",$R$1807=""),"",SUM(OFFSET(전체채점!$AW$2,$R$1807,INDEX(회차설정!$C$13:$C$27,$S$1809),1,INDEX(회차설정!$D$13:$D$27,$S$1809)-INDEX(회차설정!$C$13:$C$27,$S$1809)+1)))</f>
        <v/>
      </c>
      <c r="F1819" s="46">
        <f>IF(OR($S$1809="",$D1819=0,$D1819="",$E1819=""),"",$E1819/$D1819*100)</f>
        <v/>
      </c>
      <c r="G1819" s="8" t="n"/>
      <c r="H1819" s="47">
        <f>IF($F1819="","",REPT("■",ROUND($F1819/5,0)))</f>
        <v/>
      </c>
      <c r="I1819" s="7" t="n"/>
      <c r="J1819" s="7" t="n"/>
      <c r="K1819" s="7" t="n"/>
      <c r="L1819" s="7" t="n"/>
      <c r="M1819" s="7" t="n"/>
      <c r="N1819" s="7" t="n"/>
      <c r="O1819" s="7" t="n"/>
      <c r="P1819" s="8" t="n"/>
    </row>
    <row r="1820">
      <c r="A1820" s="14">
        <f>IF($S$1810="","",INDEX(회차설정!$A$13:$A$27,$S$1810))</f>
        <v/>
      </c>
      <c r="B1820" s="14">
        <f>IF($S$1810="","",INDEX(회차설정!$B$13:$B$27,$S$1810))</f>
        <v/>
      </c>
      <c r="C1820" s="8" t="n"/>
      <c r="D1820" s="14">
        <f>IF($S$1810="","",IF($R$1808="언어와 매체",SUMPRODUCT((자동계산!$A$4:$A$48&gt;=INDEX(회차설정!$C$13:$C$27,$S$1810))*(자동계산!$A$4:$A$48&lt;=INDEX(회차설정!$D$13:$D$27,$S$1810))*자동계산!$E$4:$E$48),SUMPRODUCT((자동계산!$A$4:$A$48&gt;=INDEX(회차설정!$C$13:$C$27,$S$1810))*(자동계산!$A$4:$A$48&lt;=INDEX(회차설정!$D$13:$D$27,$S$1810))*자동계산!$C$4:$C$48)))</f>
        <v/>
      </c>
      <c r="E1820" s="14">
        <f>IF(OR($S$1810="",$R$1807=""),"",SUM(OFFSET(전체채점!$AW$2,$R$1807,INDEX(회차설정!$C$13:$C$27,$S$1810),1,INDEX(회차설정!$D$13:$D$27,$S$1810)-INDEX(회차설정!$C$13:$C$27,$S$1810)+1)))</f>
        <v/>
      </c>
      <c r="F1820" s="46">
        <f>IF(OR($S$1810="",$D1820=0,$D1820="",$E1820=""),"",$E1820/$D1820*100)</f>
        <v/>
      </c>
      <c r="G1820" s="8" t="n"/>
      <c r="H1820" s="47">
        <f>IF($F1820="","",REPT("■",ROUND($F1820/5,0)))</f>
        <v/>
      </c>
      <c r="I1820" s="7" t="n"/>
      <c r="J1820" s="7" t="n"/>
      <c r="K1820" s="7" t="n"/>
      <c r="L1820" s="7" t="n"/>
      <c r="M1820" s="7" t="n"/>
      <c r="N1820" s="7" t="n"/>
      <c r="O1820" s="7" t="n"/>
      <c r="P1820" s="8" t="n"/>
    </row>
    <row r="1821">
      <c r="A1821" s="14">
        <f>IF($S$1811="","",INDEX(회차설정!$A$13:$A$27,$S$1811))</f>
        <v/>
      </c>
      <c r="B1821" s="14">
        <f>IF($S$1811="","",INDEX(회차설정!$B$13:$B$27,$S$1811))</f>
        <v/>
      </c>
      <c r="C1821" s="8" t="n"/>
      <c r="D1821" s="14">
        <f>IF($S$1811="","",IF($R$1808="언어와 매체",SUMPRODUCT((자동계산!$A$4:$A$48&gt;=INDEX(회차설정!$C$13:$C$27,$S$1811))*(자동계산!$A$4:$A$48&lt;=INDEX(회차설정!$D$13:$D$27,$S$1811))*자동계산!$E$4:$E$48),SUMPRODUCT((자동계산!$A$4:$A$48&gt;=INDEX(회차설정!$C$13:$C$27,$S$1811))*(자동계산!$A$4:$A$48&lt;=INDEX(회차설정!$D$13:$D$27,$S$1811))*자동계산!$C$4:$C$48)))</f>
        <v/>
      </c>
      <c r="E1821" s="14">
        <f>IF(OR($S$1811="",$R$1807=""),"",SUM(OFFSET(전체채점!$AW$2,$R$1807,INDEX(회차설정!$C$13:$C$27,$S$1811),1,INDEX(회차설정!$D$13:$D$27,$S$1811)-INDEX(회차설정!$C$13:$C$27,$S$1811)+1)))</f>
        <v/>
      </c>
      <c r="F1821" s="46">
        <f>IF(OR($S$1811="",$D1821=0,$D1821="",$E1821=""),"",$E1821/$D1821*100)</f>
        <v/>
      </c>
      <c r="G1821" s="8" t="n"/>
      <c r="H1821" s="47">
        <f>IF($F1821="","",REPT("■",ROUND($F1821/5,0)))</f>
        <v/>
      </c>
      <c r="I1821" s="7" t="n"/>
      <c r="J1821" s="7" t="n"/>
      <c r="K1821" s="7" t="n"/>
      <c r="L1821" s="7" t="n"/>
      <c r="M1821" s="7" t="n"/>
      <c r="N1821" s="7" t="n"/>
      <c r="O1821" s="7" t="n"/>
      <c r="P1821" s="8" t="n"/>
    </row>
    <row r="1822">
      <c r="A1822" s="14">
        <f>IF($S$1812="","",INDEX(회차설정!$A$13:$A$27,$S$1812))</f>
        <v/>
      </c>
      <c r="B1822" s="14">
        <f>IF($S$1812="","",INDEX(회차설정!$B$13:$B$27,$S$1812))</f>
        <v/>
      </c>
      <c r="C1822" s="8" t="n"/>
      <c r="D1822" s="14">
        <f>IF($S$1812="","",IF($R$1808="언어와 매체",SUMPRODUCT((자동계산!$A$4:$A$48&gt;=INDEX(회차설정!$C$13:$C$27,$S$1812))*(자동계산!$A$4:$A$48&lt;=INDEX(회차설정!$D$13:$D$27,$S$1812))*자동계산!$E$4:$E$48),SUMPRODUCT((자동계산!$A$4:$A$48&gt;=INDEX(회차설정!$C$13:$C$27,$S$1812))*(자동계산!$A$4:$A$48&lt;=INDEX(회차설정!$D$13:$D$27,$S$1812))*자동계산!$C$4:$C$48)))</f>
        <v/>
      </c>
      <c r="E1822" s="14">
        <f>IF(OR($S$1812="",$R$1807=""),"",SUM(OFFSET(전체채점!$AW$2,$R$1807,INDEX(회차설정!$C$13:$C$27,$S$1812),1,INDEX(회차설정!$D$13:$D$27,$S$1812)-INDEX(회차설정!$C$13:$C$27,$S$1812)+1)))</f>
        <v/>
      </c>
      <c r="F1822" s="46">
        <f>IF(OR($S$1812="",$D1822=0,$D1822="",$E1822=""),"",$E1822/$D1822*100)</f>
        <v/>
      </c>
      <c r="G1822" s="8" t="n"/>
      <c r="H1822" s="47">
        <f>IF($F1822="","",REPT("■",ROUND($F1822/5,0)))</f>
        <v/>
      </c>
      <c r="I1822" s="7" t="n"/>
      <c r="J1822" s="7" t="n"/>
      <c r="K1822" s="7" t="n"/>
      <c r="L1822" s="7" t="n"/>
      <c r="M1822" s="7" t="n"/>
      <c r="N1822" s="7" t="n"/>
      <c r="O1822" s="7" t="n"/>
      <c r="P1822" s="8" t="n"/>
    </row>
    <row r="1823">
      <c r="A1823" s="14">
        <f>IF($S$1813="","",INDEX(회차설정!$A$13:$A$27,$S$1813))</f>
        <v/>
      </c>
      <c r="B1823" s="14">
        <f>IF($S$1813="","",INDEX(회차설정!$B$13:$B$27,$S$1813))</f>
        <v/>
      </c>
      <c r="C1823" s="8" t="n"/>
      <c r="D1823" s="14">
        <f>IF($S$1813="","",IF($R$1808="언어와 매체",SUMPRODUCT((자동계산!$A$4:$A$48&gt;=INDEX(회차설정!$C$13:$C$27,$S$1813))*(자동계산!$A$4:$A$48&lt;=INDEX(회차설정!$D$13:$D$27,$S$1813))*자동계산!$E$4:$E$48),SUMPRODUCT((자동계산!$A$4:$A$48&gt;=INDEX(회차설정!$C$13:$C$27,$S$1813))*(자동계산!$A$4:$A$48&lt;=INDEX(회차설정!$D$13:$D$27,$S$1813))*자동계산!$C$4:$C$48)))</f>
        <v/>
      </c>
      <c r="E1823" s="14">
        <f>IF(OR($S$1813="",$R$1807=""),"",SUM(OFFSET(전체채점!$AW$2,$R$1807,INDEX(회차설정!$C$13:$C$27,$S$1813),1,INDEX(회차설정!$D$13:$D$27,$S$1813)-INDEX(회차설정!$C$13:$C$27,$S$1813)+1)))</f>
        <v/>
      </c>
      <c r="F1823" s="46">
        <f>IF(OR($S$1813="",$D1823=0,$D1823="",$E1823=""),"",$E1823/$D1823*100)</f>
        <v/>
      </c>
      <c r="G1823" s="8" t="n"/>
      <c r="H1823" s="47">
        <f>IF($F1823="","",REPT("■",ROUND($F1823/5,0)))</f>
        <v/>
      </c>
      <c r="I1823" s="7" t="n"/>
      <c r="J1823" s="7" t="n"/>
      <c r="K1823" s="7" t="n"/>
      <c r="L1823" s="7" t="n"/>
      <c r="M1823" s="7" t="n"/>
      <c r="N1823" s="7" t="n"/>
      <c r="O1823" s="7" t="n"/>
      <c r="P1823" s="8" t="n"/>
    </row>
    <row r="1824">
      <c r="A1824" s="14">
        <f>IF($S$1814="","",INDEX(회차설정!$A$13:$A$27,$S$1814))</f>
        <v/>
      </c>
      <c r="B1824" s="14">
        <f>IF($S$1814="","",INDEX(회차설정!$B$13:$B$27,$S$1814))</f>
        <v/>
      </c>
      <c r="C1824" s="8" t="n"/>
      <c r="D1824" s="14">
        <f>IF($S$1814="","",IF($R$1808="언어와 매체",SUMPRODUCT((자동계산!$A$4:$A$48&gt;=INDEX(회차설정!$C$13:$C$27,$S$1814))*(자동계산!$A$4:$A$48&lt;=INDEX(회차설정!$D$13:$D$27,$S$1814))*자동계산!$E$4:$E$48),SUMPRODUCT((자동계산!$A$4:$A$48&gt;=INDEX(회차설정!$C$13:$C$27,$S$1814))*(자동계산!$A$4:$A$48&lt;=INDEX(회차설정!$D$13:$D$27,$S$1814))*자동계산!$C$4:$C$48)))</f>
        <v/>
      </c>
      <c r="E1824" s="14">
        <f>IF(OR($S$1814="",$R$1807=""),"",SUM(OFFSET(전체채점!$AW$2,$R$1807,INDEX(회차설정!$C$13:$C$27,$S$1814),1,INDEX(회차설정!$D$13:$D$27,$S$1814)-INDEX(회차설정!$C$13:$C$27,$S$1814)+1)))</f>
        <v/>
      </c>
      <c r="F1824" s="46">
        <f>IF(OR($S$1814="",$D1824=0,$D1824="",$E1824=""),"",$E1824/$D1824*100)</f>
        <v/>
      </c>
      <c r="G1824" s="8" t="n"/>
      <c r="H1824" s="47">
        <f>IF($F1824="","",REPT("■",ROUND($F1824/5,0)))</f>
        <v/>
      </c>
      <c r="I1824" s="7" t="n"/>
      <c r="J1824" s="7" t="n"/>
      <c r="K1824" s="7" t="n"/>
      <c r="L1824" s="7" t="n"/>
      <c r="M1824" s="7" t="n"/>
      <c r="N1824" s="7" t="n"/>
      <c r="O1824" s="7" t="n"/>
      <c r="P1824" s="8" t="n"/>
    </row>
    <row r="1825">
      <c r="A1825" s="14">
        <f>IF($S$1815="","",INDEX(회차설정!$A$13:$A$27,$S$1815))</f>
        <v/>
      </c>
      <c r="B1825" s="14">
        <f>IF($S$1815="","",INDEX(회차설정!$B$13:$B$27,$S$1815))</f>
        <v/>
      </c>
      <c r="C1825" s="8" t="n"/>
      <c r="D1825" s="14">
        <f>IF($S$1815="","",IF($R$1808="언어와 매체",SUMPRODUCT((자동계산!$A$4:$A$48&gt;=INDEX(회차설정!$C$13:$C$27,$S$1815))*(자동계산!$A$4:$A$48&lt;=INDEX(회차설정!$D$13:$D$27,$S$1815))*자동계산!$E$4:$E$48),SUMPRODUCT((자동계산!$A$4:$A$48&gt;=INDEX(회차설정!$C$13:$C$27,$S$1815))*(자동계산!$A$4:$A$48&lt;=INDEX(회차설정!$D$13:$D$27,$S$1815))*자동계산!$C$4:$C$48)))</f>
        <v/>
      </c>
      <c r="E1825" s="14">
        <f>IF(OR($S$1815="",$R$1807=""),"",SUM(OFFSET(전체채점!$AW$2,$R$1807,INDEX(회차설정!$C$13:$C$27,$S$1815),1,INDEX(회차설정!$D$13:$D$27,$S$1815)-INDEX(회차설정!$C$13:$C$27,$S$1815)+1)))</f>
        <v/>
      </c>
      <c r="F1825" s="46">
        <f>IF(OR($S$1815="",$D1825=0,$D1825="",$E1825=""),"",$E1825/$D1825*100)</f>
        <v/>
      </c>
      <c r="G1825" s="8" t="n"/>
      <c r="H1825" s="47">
        <f>IF($F1825="","",REPT("■",ROUND($F1825/5,0)))</f>
        <v/>
      </c>
      <c r="I1825" s="7" t="n"/>
      <c r="J1825" s="7" t="n"/>
      <c r="K1825" s="7" t="n"/>
      <c r="L1825" s="7" t="n"/>
      <c r="M1825" s="7" t="n"/>
      <c r="N1825" s="7" t="n"/>
      <c r="O1825" s="7" t="n"/>
      <c r="P1825" s="8" t="n"/>
    </row>
    <row r="1826">
      <c r="A1826" s="14">
        <f>IF($S$1816="","",INDEX(회차설정!$A$13:$A$27,$S$1816))</f>
        <v/>
      </c>
      <c r="B1826" s="14">
        <f>IF($S$1816="","",INDEX(회차설정!$B$13:$B$27,$S$1816))</f>
        <v/>
      </c>
      <c r="C1826" s="8" t="n"/>
      <c r="D1826" s="14">
        <f>IF($S$1816="","",IF($R$1808="언어와 매체",SUMPRODUCT((자동계산!$A$4:$A$48&gt;=INDEX(회차설정!$C$13:$C$27,$S$1816))*(자동계산!$A$4:$A$48&lt;=INDEX(회차설정!$D$13:$D$27,$S$1816))*자동계산!$E$4:$E$48),SUMPRODUCT((자동계산!$A$4:$A$48&gt;=INDEX(회차설정!$C$13:$C$27,$S$1816))*(자동계산!$A$4:$A$48&lt;=INDEX(회차설정!$D$13:$D$27,$S$1816))*자동계산!$C$4:$C$48)))</f>
        <v/>
      </c>
      <c r="E1826" s="14">
        <f>IF(OR($S$1816="",$R$1807=""),"",SUM(OFFSET(전체채점!$AW$2,$R$1807,INDEX(회차설정!$C$13:$C$27,$S$1816),1,INDEX(회차설정!$D$13:$D$27,$S$1816)-INDEX(회차설정!$C$13:$C$27,$S$1816)+1)))</f>
        <v/>
      </c>
      <c r="F1826" s="46">
        <f>IF(OR($S$1816="",$D1826=0,$D1826="",$E1826=""),"",$E1826/$D1826*100)</f>
        <v/>
      </c>
      <c r="G1826" s="8" t="n"/>
      <c r="H1826" s="47">
        <f>IF($F1826="","",REPT("■",ROUND($F1826/5,0)))</f>
        <v/>
      </c>
      <c r="I1826" s="7" t="n"/>
      <c r="J1826" s="7" t="n"/>
      <c r="K1826" s="7" t="n"/>
      <c r="L1826" s="7" t="n"/>
      <c r="M1826" s="7" t="n"/>
      <c r="N1826" s="7" t="n"/>
      <c r="O1826" s="7" t="n"/>
      <c r="P1826" s="8" t="n"/>
    </row>
    <row r="1827">
      <c r="A1827" s="14">
        <f>IF($S$1817="","",INDEX(회차설정!$A$13:$A$27,$S$1817))</f>
        <v/>
      </c>
      <c r="B1827" s="14">
        <f>IF($S$1817="","",INDEX(회차설정!$B$13:$B$27,$S$1817))</f>
        <v/>
      </c>
      <c r="C1827" s="8" t="n"/>
      <c r="D1827" s="14">
        <f>IF($S$1817="","",IF($R$1808="언어와 매체",SUMPRODUCT((자동계산!$A$4:$A$48&gt;=INDEX(회차설정!$C$13:$C$27,$S$1817))*(자동계산!$A$4:$A$48&lt;=INDEX(회차설정!$D$13:$D$27,$S$1817))*자동계산!$E$4:$E$48),SUMPRODUCT((자동계산!$A$4:$A$48&gt;=INDEX(회차설정!$C$13:$C$27,$S$1817))*(자동계산!$A$4:$A$48&lt;=INDEX(회차설정!$D$13:$D$27,$S$1817))*자동계산!$C$4:$C$48)))</f>
        <v/>
      </c>
      <c r="E1827" s="14">
        <f>IF(OR($S$1817="",$R$1807=""),"",SUM(OFFSET(전체채점!$AW$2,$R$1807,INDEX(회차설정!$C$13:$C$27,$S$1817),1,INDEX(회차설정!$D$13:$D$27,$S$1817)-INDEX(회차설정!$C$13:$C$27,$S$1817)+1)))</f>
        <v/>
      </c>
      <c r="F1827" s="46">
        <f>IF(OR($S$1817="",$D1827=0,$D1827="",$E1827=""),"",$E1827/$D1827*100)</f>
        <v/>
      </c>
      <c r="G1827" s="8" t="n"/>
      <c r="H1827" s="47">
        <f>IF($F1827="","",REPT("■",ROUND($F1827/5,0)))</f>
        <v/>
      </c>
      <c r="I1827" s="7" t="n"/>
      <c r="J1827" s="7" t="n"/>
      <c r="K1827" s="7" t="n"/>
      <c r="L1827" s="7" t="n"/>
      <c r="M1827" s="7" t="n"/>
      <c r="N1827" s="7" t="n"/>
      <c r="O1827" s="7" t="n"/>
      <c r="P1827" s="8" t="n"/>
    </row>
    <row r="1828">
      <c r="A1828" s="14">
        <f>IF($S$1818="","",INDEX(회차설정!$A$13:$A$27,$S$1818))</f>
        <v/>
      </c>
      <c r="B1828" s="14">
        <f>IF($S$1818="","",INDEX(회차설정!$B$13:$B$27,$S$1818))</f>
        <v/>
      </c>
      <c r="C1828" s="8" t="n"/>
      <c r="D1828" s="14">
        <f>IF($S$1818="","",IF($R$1808="언어와 매체",SUMPRODUCT((자동계산!$A$4:$A$48&gt;=INDEX(회차설정!$C$13:$C$27,$S$1818))*(자동계산!$A$4:$A$48&lt;=INDEX(회차설정!$D$13:$D$27,$S$1818))*자동계산!$E$4:$E$48),SUMPRODUCT((자동계산!$A$4:$A$48&gt;=INDEX(회차설정!$C$13:$C$27,$S$1818))*(자동계산!$A$4:$A$48&lt;=INDEX(회차설정!$D$13:$D$27,$S$1818))*자동계산!$C$4:$C$48)))</f>
        <v/>
      </c>
      <c r="E1828" s="14">
        <f>IF(OR($S$1818="",$R$1807=""),"",SUM(OFFSET(전체채점!$AW$2,$R$1807,INDEX(회차설정!$C$13:$C$27,$S$1818),1,INDEX(회차설정!$D$13:$D$27,$S$1818)-INDEX(회차설정!$C$13:$C$27,$S$1818)+1)))</f>
        <v/>
      </c>
      <c r="F1828" s="46">
        <f>IF(OR($S$1818="",$D1828=0,$D1828="",$E1828=""),"",$E1828/$D1828*100)</f>
        <v/>
      </c>
      <c r="G1828" s="8" t="n"/>
      <c r="H1828" s="47">
        <f>IF($F1828="","",REPT("■",ROUND($F1828/5,0)))</f>
        <v/>
      </c>
      <c r="I1828" s="7" t="n"/>
      <c r="J1828" s="7" t="n"/>
      <c r="K1828" s="7" t="n"/>
      <c r="L1828" s="7" t="n"/>
      <c r="M1828" s="7" t="n"/>
      <c r="N1828" s="7" t="n"/>
      <c r="O1828" s="7" t="n"/>
      <c r="P1828" s="8" t="n"/>
    </row>
    <row r="1829">
      <c r="A1829" s="5">
        <f>IF($R$1807="","","합계")</f>
        <v/>
      </c>
      <c r="B1829" s="7" t="n"/>
      <c r="C1829" s="8" t="n"/>
      <c r="D1829" s="5">
        <f>IF($R$1807="","",SUM(D1817:D1828))</f>
        <v/>
      </c>
      <c r="E1829" s="5">
        <f>IF($R$1807="","",SUM(E1817:E1828))</f>
        <v/>
      </c>
      <c r="F1829" s="48">
        <f>IF(OR($D1829=0,$D1829=""),"",$E1829/$D1829*100)</f>
        <v/>
      </c>
      <c r="G1829" s="8" t="n"/>
      <c r="H1829" s="49">
        <f>IF($F1829="","",REPT("■",ROUND($F1829/5,0)))</f>
        <v/>
      </c>
      <c r="I1829" s="7" t="n"/>
      <c r="J1829" s="7" t="n"/>
      <c r="K1829" s="7" t="n"/>
      <c r="L1829" s="7" t="n"/>
      <c r="M1829" s="7" t="n"/>
      <c r="N1829" s="7" t="n"/>
      <c r="O1829" s="7" t="n"/>
      <c r="P1829" s="8" t="n"/>
    </row>
    <row r="1831">
      <c r="A1831" s="12" t="inlineStr">
        <is>
          <t>4. 문항 채점표</t>
        </is>
      </c>
    </row>
    <row r="1832">
      <c r="A1832" s="50" t="inlineStr">
        <is>
          <t>문항 번호</t>
        </is>
      </c>
      <c r="B1832" s="51" t="n">
        <v>1</v>
      </c>
      <c r="C1832" s="51" t="n">
        <v>2</v>
      </c>
      <c r="D1832" s="51" t="n">
        <v>3</v>
      </c>
      <c r="E1832" s="51" t="n">
        <v>4</v>
      </c>
      <c r="F1832" s="51" t="n">
        <v>5</v>
      </c>
      <c r="G1832" s="51" t="n">
        <v>6</v>
      </c>
      <c r="H1832" s="51" t="n">
        <v>7</v>
      </c>
      <c r="I1832" s="51" t="n">
        <v>8</v>
      </c>
      <c r="J1832" s="51" t="n">
        <v>9</v>
      </c>
      <c r="K1832" s="51" t="n">
        <v>10</v>
      </c>
      <c r="L1832" s="51" t="n">
        <v>11</v>
      </c>
      <c r="M1832" s="51" t="n">
        <v>12</v>
      </c>
      <c r="N1832" s="51" t="n">
        <v>13</v>
      </c>
      <c r="O1832" s="51" t="n">
        <v>14</v>
      </c>
      <c r="P1832" s="51" t="n">
        <v>15</v>
      </c>
    </row>
    <row r="1833">
      <c r="A1833" s="52" t="inlineStr">
        <is>
          <t>정답</t>
        </is>
      </c>
      <c r="B1833" s="33">
        <f>IF($R$1808="","",IF($R$1808="언어와 매체",자동계산!$D$4,자동계산!$B$4))</f>
        <v/>
      </c>
      <c r="C1833" s="33">
        <f>IF($R$1808="","",IF($R$1808="언어와 매체",자동계산!$D$5,자동계산!$B$5))</f>
        <v/>
      </c>
      <c r="D1833" s="33">
        <f>IF($R$1808="","",IF($R$1808="언어와 매체",자동계산!$D$6,자동계산!$B$6))</f>
        <v/>
      </c>
      <c r="E1833" s="33">
        <f>IF($R$1808="","",IF($R$1808="언어와 매체",자동계산!$D$7,자동계산!$B$7))</f>
        <v/>
      </c>
      <c r="F1833" s="33">
        <f>IF($R$1808="","",IF($R$1808="언어와 매체",자동계산!$D$8,자동계산!$B$8))</f>
        <v/>
      </c>
      <c r="G1833" s="33">
        <f>IF($R$1808="","",IF($R$1808="언어와 매체",자동계산!$D$9,자동계산!$B$9))</f>
        <v/>
      </c>
      <c r="H1833" s="33">
        <f>IF($R$1808="","",IF($R$1808="언어와 매체",자동계산!$D$10,자동계산!$B$10))</f>
        <v/>
      </c>
      <c r="I1833" s="33">
        <f>IF($R$1808="","",IF($R$1808="언어와 매체",자동계산!$D$11,자동계산!$B$11))</f>
        <v/>
      </c>
      <c r="J1833" s="33">
        <f>IF($R$1808="","",IF($R$1808="언어와 매체",자동계산!$D$12,자동계산!$B$12))</f>
        <v/>
      </c>
      <c r="K1833" s="33">
        <f>IF($R$1808="","",IF($R$1808="언어와 매체",자동계산!$D$13,자동계산!$B$13))</f>
        <v/>
      </c>
      <c r="L1833" s="33">
        <f>IF($R$1808="","",IF($R$1808="언어와 매체",자동계산!$D$14,자동계산!$B$14))</f>
        <v/>
      </c>
      <c r="M1833" s="33">
        <f>IF($R$1808="","",IF($R$1808="언어와 매체",자동계산!$D$15,자동계산!$B$15))</f>
        <v/>
      </c>
      <c r="N1833" s="33">
        <f>IF($R$1808="","",IF($R$1808="언어와 매체",자동계산!$D$16,자동계산!$B$16))</f>
        <v/>
      </c>
      <c r="O1833" s="33">
        <f>IF($R$1808="","",IF($R$1808="언어와 매체",자동계산!$D$17,자동계산!$B$17))</f>
        <v/>
      </c>
      <c r="P1833" s="33">
        <f>IF($R$1808="","",IF($R$1808="언어와 매체",자동계산!$D$18,자동계산!$B$18))</f>
        <v/>
      </c>
    </row>
    <row r="1834">
      <c r="A1834" s="52" t="inlineStr">
        <is>
          <t>학생답안</t>
        </is>
      </c>
      <c r="B1834" s="33">
        <f>IF($R$1807="","",INDEX(전체채점!E$3:E$62,$R$1807))</f>
        <v/>
      </c>
      <c r="C1834" s="33">
        <f>IF($R$1807="","",INDEX(전체채점!F$3:F$62,$R$1807))</f>
        <v/>
      </c>
      <c r="D1834" s="33">
        <f>IF($R$1807="","",INDEX(전체채점!G$3:G$62,$R$1807))</f>
        <v/>
      </c>
      <c r="E1834" s="33">
        <f>IF($R$1807="","",INDEX(전체채점!H$3:H$62,$R$1807))</f>
        <v/>
      </c>
      <c r="F1834" s="33">
        <f>IF($R$1807="","",INDEX(전체채점!I$3:I$62,$R$1807))</f>
        <v/>
      </c>
      <c r="G1834" s="33">
        <f>IF($R$1807="","",INDEX(전체채점!J$3:J$62,$R$1807))</f>
        <v/>
      </c>
      <c r="H1834" s="33">
        <f>IF($R$1807="","",INDEX(전체채점!K$3:K$62,$R$1807))</f>
        <v/>
      </c>
      <c r="I1834" s="33">
        <f>IF($R$1807="","",INDEX(전체채점!L$3:L$62,$R$1807))</f>
        <v/>
      </c>
      <c r="J1834" s="33">
        <f>IF($R$1807="","",INDEX(전체채점!M$3:M$62,$R$1807))</f>
        <v/>
      </c>
      <c r="K1834" s="33">
        <f>IF($R$1807="","",INDEX(전체채점!N$3:N$62,$R$1807))</f>
        <v/>
      </c>
      <c r="L1834" s="33">
        <f>IF($R$1807="","",INDEX(전체채점!O$3:O$62,$R$1807))</f>
        <v/>
      </c>
      <c r="M1834" s="33">
        <f>IF($R$1807="","",INDEX(전체채점!P$3:P$62,$R$1807))</f>
        <v/>
      </c>
      <c r="N1834" s="33">
        <f>IF($R$1807="","",INDEX(전체채점!Q$3:Q$62,$R$1807))</f>
        <v/>
      </c>
      <c r="O1834" s="33">
        <f>IF($R$1807="","",INDEX(전체채점!R$3:R$62,$R$1807))</f>
        <v/>
      </c>
      <c r="P1834" s="33">
        <f>IF($R$1807="","",INDEX(전체채점!S$3:S$62,$R$1807))</f>
        <v/>
      </c>
    </row>
    <row r="1835">
      <c r="A1835" s="52" t="inlineStr">
        <is>
          <t>정오</t>
        </is>
      </c>
      <c r="B1835" s="33">
        <f>IF($R$1807="","",INDEX(전체채점!AX$3:AX$62,$R$1807))</f>
        <v/>
      </c>
      <c r="C1835" s="33">
        <f>IF($R$1807="","",INDEX(전체채점!AY$3:AY$62,$R$1807))</f>
        <v/>
      </c>
      <c r="D1835" s="33">
        <f>IF($R$1807="","",INDEX(전체채점!AZ$3:AZ$62,$R$1807))</f>
        <v/>
      </c>
      <c r="E1835" s="33">
        <f>IF($R$1807="","",INDEX(전체채점!BA$3:BA$62,$R$1807))</f>
        <v/>
      </c>
      <c r="F1835" s="33">
        <f>IF($R$1807="","",INDEX(전체채점!BB$3:BB$62,$R$1807))</f>
        <v/>
      </c>
      <c r="G1835" s="33">
        <f>IF($R$1807="","",INDEX(전체채점!BC$3:BC$62,$R$1807))</f>
        <v/>
      </c>
      <c r="H1835" s="33">
        <f>IF($R$1807="","",INDEX(전체채점!BD$3:BD$62,$R$1807))</f>
        <v/>
      </c>
      <c r="I1835" s="33">
        <f>IF($R$1807="","",INDEX(전체채점!BE$3:BE$62,$R$1807))</f>
        <v/>
      </c>
      <c r="J1835" s="33">
        <f>IF($R$1807="","",INDEX(전체채점!BF$3:BF$62,$R$1807))</f>
        <v/>
      </c>
      <c r="K1835" s="33">
        <f>IF($R$1807="","",INDEX(전체채점!BG$3:BG$62,$R$1807))</f>
        <v/>
      </c>
      <c r="L1835" s="33">
        <f>IF($R$1807="","",INDEX(전체채점!BH$3:BH$62,$R$1807))</f>
        <v/>
      </c>
      <c r="M1835" s="33">
        <f>IF($R$1807="","",INDEX(전체채점!BI$3:BI$62,$R$1807))</f>
        <v/>
      </c>
      <c r="N1835" s="33">
        <f>IF($R$1807="","",INDEX(전체채점!BJ$3:BJ$62,$R$1807))</f>
        <v/>
      </c>
      <c r="O1835" s="33">
        <f>IF($R$1807="","",INDEX(전체채점!BK$3:BK$62,$R$1807))</f>
        <v/>
      </c>
      <c r="P1835" s="33">
        <f>IF($R$1807="","",INDEX(전체채점!BL$3:BL$62,$R$1807))</f>
        <v/>
      </c>
    </row>
    <row r="1836">
      <c r="A1836" s="50" t="inlineStr">
        <is>
          <t>문항 번호</t>
        </is>
      </c>
      <c r="B1836" s="51" t="n">
        <v>16</v>
      </c>
      <c r="C1836" s="51" t="n">
        <v>17</v>
      </c>
      <c r="D1836" s="51" t="n">
        <v>18</v>
      </c>
      <c r="E1836" s="51" t="n">
        <v>19</v>
      </c>
      <c r="F1836" s="51" t="n">
        <v>20</v>
      </c>
      <c r="G1836" s="51" t="n">
        <v>21</v>
      </c>
      <c r="H1836" s="51" t="n">
        <v>22</v>
      </c>
      <c r="I1836" s="51" t="n">
        <v>23</v>
      </c>
      <c r="J1836" s="51" t="n">
        <v>24</v>
      </c>
      <c r="K1836" s="51" t="n">
        <v>25</v>
      </c>
      <c r="L1836" s="51" t="n">
        <v>26</v>
      </c>
      <c r="M1836" s="51" t="n">
        <v>27</v>
      </c>
      <c r="N1836" s="51" t="n">
        <v>28</v>
      </c>
      <c r="O1836" s="51" t="n">
        <v>29</v>
      </c>
      <c r="P1836" s="51" t="n">
        <v>30</v>
      </c>
    </row>
    <row r="1837">
      <c r="A1837" s="52" t="inlineStr">
        <is>
          <t>정답</t>
        </is>
      </c>
      <c r="B1837" s="33">
        <f>IF($R$1808="","",IF($R$1808="언어와 매체",자동계산!$D$19,자동계산!$B$19))</f>
        <v/>
      </c>
      <c r="C1837" s="33">
        <f>IF($R$1808="","",IF($R$1808="언어와 매체",자동계산!$D$20,자동계산!$B$20))</f>
        <v/>
      </c>
      <c r="D1837" s="33">
        <f>IF($R$1808="","",IF($R$1808="언어와 매체",자동계산!$D$21,자동계산!$B$21))</f>
        <v/>
      </c>
      <c r="E1837" s="33">
        <f>IF($R$1808="","",IF($R$1808="언어와 매체",자동계산!$D$22,자동계산!$B$22))</f>
        <v/>
      </c>
      <c r="F1837" s="33">
        <f>IF($R$1808="","",IF($R$1808="언어와 매체",자동계산!$D$23,자동계산!$B$23))</f>
        <v/>
      </c>
      <c r="G1837" s="33">
        <f>IF($R$1808="","",IF($R$1808="언어와 매체",자동계산!$D$24,자동계산!$B$24))</f>
        <v/>
      </c>
      <c r="H1837" s="33">
        <f>IF($R$1808="","",IF($R$1808="언어와 매체",자동계산!$D$25,자동계산!$B$25))</f>
        <v/>
      </c>
      <c r="I1837" s="33">
        <f>IF($R$1808="","",IF($R$1808="언어와 매체",자동계산!$D$26,자동계산!$B$26))</f>
        <v/>
      </c>
      <c r="J1837" s="33">
        <f>IF($R$1808="","",IF($R$1808="언어와 매체",자동계산!$D$27,자동계산!$B$27))</f>
        <v/>
      </c>
      <c r="K1837" s="33">
        <f>IF($R$1808="","",IF($R$1808="언어와 매체",자동계산!$D$28,자동계산!$B$28))</f>
        <v/>
      </c>
      <c r="L1837" s="33">
        <f>IF($R$1808="","",IF($R$1808="언어와 매체",자동계산!$D$29,자동계산!$B$29))</f>
        <v/>
      </c>
      <c r="M1837" s="33">
        <f>IF($R$1808="","",IF($R$1808="언어와 매체",자동계산!$D$30,자동계산!$B$30))</f>
        <v/>
      </c>
      <c r="N1837" s="33">
        <f>IF($R$1808="","",IF($R$1808="언어와 매체",자동계산!$D$31,자동계산!$B$31))</f>
        <v/>
      </c>
      <c r="O1837" s="33">
        <f>IF($R$1808="","",IF($R$1808="언어와 매체",자동계산!$D$32,자동계산!$B$32))</f>
        <v/>
      </c>
      <c r="P1837" s="33">
        <f>IF($R$1808="","",IF($R$1808="언어와 매체",자동계산!$D$33,자동계산!$B$33))</f>
        <v/>
      </c>
    </row>
    <row r="1838">
      <c r="A1838" s="52" t="inlineStr">
        <is>
          <t>학생답안</t>
        </is>
      </c>
      <c r="B1838" s="33">
        <f>IF($R$1807="","",INDEX(전체채점!T$3:T$62,$R$1807))</f>
        <v/>
      </c>
      <c r="C1838" s="33">
        <f>IF($R$1807="","",INDEX(전체채점!U$3:U$62,$R$1807))</f>
        <v/>
      </c>
      <c r="D1838" s="33">
        <f>IF($R$1807="","",INDEX(전체채점!V$3:V$62,$R$1807))</f>
        <v/>
      </c>
      <c r="E1838" s="33">
        <f>IF($R$1807="","",INDEX(전체채점!W$3:W$62,$R$1807))</f>
        <v/>
      </c>
      <c r="F1838" s="33">
        <f>IF($R$1807="","",INDEX(전체채점!X$3:X$62,$R$1807))</f>
        <v/>
      </c>
      <c r="G1838" s="33">
        <f>IF($R$1807="","",INDEX(전체채점!Y$3:Y$62,$R$1807))</f>
        <v/>
      </c>
      <c r="H1838" s="33">
        <f>IF($R$1807="","",INDEX(전체채점!Z$3:Z$62,$R$1807))</f>
        <v/>
      </c>
      <c r="I1838" s="33">
        <f>IF($R$1807="","",INDEX(전체채점!AA$3:AA$62,$R$1807))</f>
        <v/>
      </c>
      <c r="J1838" s="33">
        <f>IF($R$1807="","",INDEX(전체채점!AB$3:AB$62,$R$1807))</f>
        <v/>
      </c>
      <c r="K1838" s="33">
        <f>IF($R$1807="","",INDEX(전체채점!AC$3:AC$62,$R$1807))</f>
        <v/>
      </c>
      <c r="L1838" s="33">
        <f>IF($R$1807="","",INDEX(전체채점!AD$3:AD$62,$R$1807))</f>
        <v/>
      </c>
      <c r="M1838" s="33">
        <f>IF($R$1807="","",INDEX(전체채점!AE$3:AE$62,$R$1807))</f>
        <v/>
      </c>
      <c r="N1838" s="33">
        <f>IF($R$1807="","",INDEX(전체채점!AF$3:AF$62,$R$1807))</f>
        <v/>
      </c>
      <c r="O1838" s="33">
        <f>IF($R$1807="","",INDEX(전체채점!AG$3:AG$62,$R$1807))</f>
        <v/>
      </c>
      <c r="P1838" s="33">
        <f>IF($R$1807="","",INDEX(전체채점!AH$3:AH$62,$R$1807))</f>
        <v/>
      </c>
    </row>
    <row r="1839">
      <c r="A1839" s="52" t="inlineStr">
        <is>
          <t>정오</t>
        </is>
      </c>
      <c r="B1839" s="33">
        <f>IF($R$1807="","",INDEX(전체채점!BM$3:BM$62,$R$1807))</f>
        <v/>
      </c>
      <c r="C1839" s="33">
        <f>IF($R$1807="","",INDEX(전체채점!BN$3:BN$62,$R$1807))</f>
        <v/>
      </c>
      <c r="D1839" s="33">
        <f>IF($R$1807="","",INDEX(전체채점!BO$3:BO$62,$R$1807))</f>
        <v/>
      </c>
      <c r="E1839" s="33">
        <f>IF($R$1807="","",INDEX(전체채점!BP$3:BP$62,$R$1807))</f>
        <v/>
      </c>
      <c r="F1839" s="33">
        <f>IF($R$1807="","",INDEX(전체채점!BQ$3:BQ$62,$R$1807))</f>
        <v/>
      </c>
      <c r="G1839" s="33">
        <f>IF($R$1807="","",INDEX(전체채점!BR$3:BR$62,$R$1807))</f>
        <v/>
      </c>
      <c r="H1839" s="33">
        <f>IF($R$1807="","",INDEX(전체채점!BS$3:BS$62,$R$1807))</f>
        <v/>
      </c>
      <c r="I1839" s="33">
        <f>IF($R$1807="","",INDEX(전체채점!BT$3:BT$62,$R$1807))</f>
        <v/>
      </c>
      <c r="J1839" s="33">
        <f>IF($R$1807="","",INDEX(전체채점!BU$3:BU$62,$R$1807))</f>
        <v/>
      </c>
      <c r="K1839" s="33">
        <f>IF($R$1807="","",INDEX(전체채점!BV$3:BV$62,$R$1807))</f>
        <v/>
      </c>
      <c r="L1839" s="33">
        <f>IF($R$1807="","",INDEX(전체채점!BW$3:BW$62,$R$1807))</f>
        <v/>
      </c>
      <c r="M1839" s="33">
        <f>IF($R$1807="","",INDEX(전체채점!BX$3:BX$62,$R$1807))</f>
        <v/>
      </c>
      <c r="N1839" s="33">
        <f>IF($R$1807="","",INDEX(전체채점!BY$3:BY$62,$R$1807))</f>
        <v/>
      </c>
      <c r="O1839" s="33">
        <f>IF($R$1807="","",INDEX(전체채점!BZ$3:BZ$62,$R$1807))</f>
        <v/>
      </c>
      <c r="P1839" s="33">
        <f>IF($R$1807="","",INDEX(전체채점!CA$3:CA$62,$R$1807))</f>
        <v/>
      </c>
    </row>
    <row r="1840">
      <c r="A1840" s="50" t="inlineStr">
        <is>
          <t>문항 번호</t>
        </is>
      </c>
      <c r="B1840" s="51" t="n">
        <v>31</v>
      </c>
      <c r="C1840" s="51" t="n">
        <v>32</v>
      </c>
      <c r="D1840" s="51" t="n">
        <v>33</v>
      </c>
      <c r="E1840" s="51" t="n">
        <v>34</v>
      </c>
      <c r="F1840" s="51" t="n">
        <v>35</v>
      </c>
      <c r="G1840" s="51" t="n">
        <v>36</v>
      </c>
      <c r="H1840" s="51" t="n">
        <v>37</v>
      </c>
      <c r="I1840" s="51" t="n">
        <v>38</v>
      </c>
      <c r="J1840" s="51" t="n">
        <v>39</v>
      </c>
      <c r="K1840" s="51" t="n">
        <v>40</v>
      </c>
      <c r="L1840" s="51" t="n">
        <v>41</v>
      </c>
      <c r="M1840" s="51" t="n">
        <v>42</v>
      </c>
      <c r="N1840" s="51" t="n">
        <v>43</v>
      </c>
      <c r="O1840" s="51" t="n">
        <v>44</v>
      </c>
      <c r="P1840" s="51" t="n">
        <v>45</v>
      </c>
    </row>
    <row r="1841">
      <c r="A1841" s="52" t="inlineStr">
        <is>
          <t>정답</t>
        </is>
      </c>
      <c r="B1841" s="33">
        <f>IF($R$1808="","",IF($R$1808="언어와 매체",자동계산!$D$34,자동계산!$B$34))</f>
        <v/>
      </c>
      <c r="C1841" s="33">
        <f>IF($R$1808="","",IF($R$1808="언어와 매체",자동계산!$D$35,자동계산!$B$35))</f>
        <v/>
      </c>
      <c r="D1841" s="33">
        <f>IF($R$1808="","",IF($R$1808="언어와 매체",자동계산!$D$36,자동계산!$B$36))</f>
        <v/>
      </c>
      <c r="E1841" s="33">
        <f>IF($R$1808="","",IF($R$1808="언어와 매체",자동계산!$D$37,자동계산!$B$37))</f>
        <v/>
      </c>
      <c r="F1841" s="33">
        <f>IF($R$1808="","",IF($R$1808="언어와 매체",자동계산!$D$38,자동계산!$B$38))</f>
        <v/>
      </c>
      <c r="G1841" s="33">
        <f>IF($R$1808="","",IF($R$1808="언어와 매체",자동계산!$D$39,자동계산!$B$39))</f>
        <v/>
      </c>
      <c r="H1841" s="33">
        <f>IF($R$1808="","",IF($R$1808="언어와 매체",자동계산!$D$40,자동계산!$B$40))</f>
        <v/>
      </c>
      <c r="I1841" s="33">
        <f>IF($R$1808="","",IF($R$1808="언어와 매체",자동계산!$D$41,자동계산!$B$41))</f>
        <v/>
      </c>
      <c r="J1841" s="33">
        <f>IF($R$1808="","",IF($R$1808="언어와 매체",자동계산!$D$42,자동계산!$B$42))</f>
        <v/>
      </c>
      <c r="K1841" s="33">
        <f>IF($R$1808="","",IF($R$1808="언어와 매체",자동계산!$D$43,자동계산!$B$43))</f>
        <v/>
      </c>
      <c r="L1841" s="33">
        <f>IF($R$1808="","",IF($R$1808="언어와 매체",자동계산!$D$44,자동계산!$B$44))</f>
        <v/>
      </c>
      <c r="M1841" s="33">
        <f>IF($R$1808="","",IF($R$1808="언어와 매체",자동계산!$D$45,자동계산!$B$45))</f>
        <v/>
      </c>
      <c r="N1841" s="33">
        <f>IF($R$1808="","",IF($R$1808="언어와 매체",자동계산!$D$46,자동계산!$B$46))</f>
        <v/>
      </c>
      <c r="O1841" s="33">
        <f>IF($R$1808="","",IF($R$1808="언어와 매체",자동계산!$D$47,자동계산!$B$47))</f>
        <v/>
      </c>
      <c r="P1841" s="33">
        <f>IF($R$1808="","",IF($R$1808="언어와 매체",자동계산!$D$48,자동계산!$B$48))</f>
        <v/>
      </c>
    </row>
    <row r="1842">
      <c r="A1842" s="52" t="inlineStr">
        <is>
          <t>학생답안</t>
        </is>
      </c>
      <c r="B1842" s="33">
        <f>IF($R$1807="","",INDEX(전체채점!AI$3:AI$62,$R$1807))</f>
        <v/>
      </c>
      <c r="C1842" s="33">
        <f>IF($R$1807="","",INDEX(전체채점!AJ$3:AJ$62,$R$1807))</f>
        <v/>
      </c>
      <c r="D1842" s="33">
        <f>IF($R$1807="","",INDEX(전체채점!AK$3:AK$62,$R$1807))</f>
        <v/>
      </c>
      <c r="E1842" s="33">
        <f>IF($R$1807="","",INDEX(전체채점!AL$3:AL$62,$R$1807))</f>
        <v/>
      </c>
      <c r="F1842" s="33">
        <f>IF($R$1807="","",INDEX(전체채점!AM$3:AM$62,$R$1807))</f>
        <v/>
      </c>
      <c r="G1842" s="33">
        <f>IF($R$1807="","",INDEX(전체채점!AN$3:AN$62,$R$1807))</f>
        <v/>
      </c>
      <c r="H1842" s="33">
        <f>IF($R$1807="","",INDEX(전체채점!AO$3:AO$62,$R$1807))</f>
        <v/>
      </c>
      <c r="I1842" s="33">
        <f>IF($R$1807="","",INDEX(전체채점!AP$3:AP$62,$R$1807))</f>
        <v/>
      </c>
      <c r="J1842" s="33">
        <f>IF($R$1807="","",INDEX(전체채점!AQ$3:AQ$62,$R$1807))</f>
        <v/>
      </c>
      <c r="K1842" s="33">
        <f>IF($R$1807="","",INDEX(전체채점!AR$3:AR$62,$R$1807))</f>
        <v/>
      </c>
      <c r="L1842" s="33">
        <f>IF($R$1807="","",INDEX(전체채점!AS$3:AS$62,$R$1807))</f>
        <v/>
      </c>
      <c r="M1842" s="33">
        <f>IF($R$1807="","",INDEX(전체채점!AT$3:AT$62,$R$1807))</f>
        <v/>
      </c>
      <c r="N1842" s="33">
        <f>IF($R$1807="","",INDEX(전체채점!AU$3:AU$62,$R$1807))</f>
        <v/>
      </c>
      <c r="O1842" s="33">
        <f>IF($R$1807="","",INDEX(전체채점!AV$3:AV$62,$R$1807))</f>
        <v/>
      </c>
      <c r="P1842" s="33">
        <f>IF($R$1807="","",INDEX(전체채점!AW$3:AW$62,$R$1807))</f>
        <v/>
      </c>
    </row>
    <row r="1843">
      <c r="A1843" s="52" t="inlineStr">
        <is>
          <t>정오</t>
        </is>
      </c>
      <c r="B1843" s="33">
        <f>IF($R$1807="","",INDEX(전체채점!CB$3:CB$62,$R$1807))</f>
        <v/>
      </c>
      <c r="C1843" s="33">
        <f>IF($R$1807="","",INDEX(전체채점!CC$3:CC$62,$R$1807))</f>
        <v/>
      </c>
      <c r="D1843" s="33">
        <f>IF($R$1807="","",INDEX(전체채점!CD$3:CD$62,$R$1807))</f>
        <v/>
      </c>
      <c r="E1843" s="33">
        <f>IF($R$1807="","",INDEX(전체채점!CE$3:CE$62,$R$1807))</f>
        <v/>
      </c>
      <c r="F1843" s="33">
        <f>IF($R$1807="","",INDEX(전체채점!CF$3:CF$62,$R$1807))</f>
        <v/>
      </c>
      <c r="G1843" s="33">
        <f>IF($R$1807="","",INDEX(전체채점!CG$3:CG$62,$R$1807))</f>
        <v/>
      </c>
      <c r="H1843" s="33">
        <f>IF($R$1807="","",INDEX(전체채점!CH$3:CH$62,$R$1807))</f>
        <v/>
      </c>
      <c r="I1843" s="33">
        <f>IF($R$1807="","",INDEX(전체채점!CI$3:CI$62,$R$1807))</f>
        <v/>
      </c>
      <c r="J1843" s="33">
        <f>IF($R$1807="","",INDEX(전체채점!CJ$3:CJ$62,$R$1807))</f>
        <v/>
      </c>
      <c r="K1843" s="33">
        <f>IF($R$1807="","",INDEX(전체채점!CK$3:CK$62,$R$1807))</f>
        <v/>
      </c>
      <c r="L1843" s="33">
        <f>IF($R$1807="","",INDEX(전체채점!CL$3:CL$62,$R$1807))</f>
        <v/>
      </c>
      <c r="M1843" s="33">
        <f>IF($R$1807="","",INDEX(전체채점!CM$3:CM$62,$R$1807))</f>
        <v/>
      </c>
      <c r="N1843" s="33">
        <f>IF($R$1807="","",INDEX(전체채점!CN$3:CN$62,$R$1807))</f>
        <v/>
      </c>
      <c r="O1843" s="33">
        <f>IF($R$1807="","",INDEX(전체채점!CO$3:CO$62,$R$1807))</f>
        <v/>
      </c>
      <c r="P1843" s="33">
        <f>IF($R$1807="","",INDEX(전체채점!CP$3:CP$62,$R$1807))</f>
        <v/>
      </c>
    </row>
    <row r="1846" ht="34" customHeight="1">
      <c r="A1846" s="36">
        <f>IF($R$1848="","",회차설정!$B$2&amp;" 성적표")</f>
        <v/>
      </c>
    </row>
    <row r="1848">
      <c r="A1848" s="12" t="inlineStr">
        <is>
          <t>1. 학생정보</t>
        </is>
      </c>
      <c r="R1848" s="37">
        <f>IF(답안입력!$A$48="","",46)</f>
        <v/>
      </c>
      <c r="S1848" s="37">
        <f>IF($R$1849="","",IFERROR(IF($R$1849="언어와 매체",MATCH(1,회차설정!$G$13:$G$27,0),MATCH(1,회차설정!$F$13:$F$27,0)),""))</f>
        <v/>
      </c>
    </row>
    <row r="1849">
      <c r="A1849" s="13" t="inlineStr">
        <is>
          <t>성명</t>
        </is>
      </c>
      <c r="B1849" s="7" t="n"/>
      <c r="C1849" s="8" t="n"/>
      <c r="D1849" s="13" t="inlineStr">
        <is>
          <t>선택과목</t>
        </is>
      </c>
      <c r="E1849" s="7" t="n"/>
      <c r="F1849" s="7" t="n"/>
      <c r="G1849" s="8" t="n"/>
      <c r="H1849" s="13" t="inlineStr">
        <is>
          <t>학년</t>
        </is>
      </c>
      <c r="I1849" s="7" t="n"/>
      <c r="J1849" s="7" t="n"/>
      <c r="K1849" s="8" t="n"/>
      <c r="L1849" s="13" t="inlineStr">
        <is>
          <t>시행일</t>
        </is>
      </c>
      <c r="M1849" s="7" t="n"/>
      <c r="N1849" s="7" t="n"/>
      <c r="O1849" s="7" t="n"/>
      <c r="P1849" s="8" t="n"/>
      <c r="R1849" s="37">
        <f>IF($R$1848="","",INDEX(전체채점!$B$3:$B$62,$R$1848))</f>
        <v/>
      </c>
      <c r="S1849" s="37">
        <f>IF($R$1849="","",IFERROR(IF($R$1849="언어와 매체",MATCH(2,회차설정!$G$13:$G$27,0),MATCH(2,회차설정!$F$13:$F$27,0)),""))</f>
        <v/>
      </c>
    </row>
    <row r="1850" ht="26" customHeight="1">
      <c r="A1850" s="39">
        <f>IF($R$1848="","",INDEX(답안입력!$A$3:$A$62,$R$1848))</f>
        <v/>
      </c>
      <c r="B1850" s="7" t="n"/>
      <c r="C1850" s="8" t="n"/>
      <c r="D1850" s="39">
        <f>IF($R$1848="","",INDEX(답안입력!$C$3:$C$62,$R$1848))</f>
        <v/>
      </c>
      <c r="E1850" s="7" t="n"/>
      <c r="F1850" s="7" t="n"/>
      <c r="G1850" s="8" t="n"/>
      <c r="H1850" s="39">
        <f>IF($R$1848="","",INDEX(답안입력!$B$3:$B$62,$R$1848))</f>
        <v/>
      </c>
      <c r="I1850" s="7" t="n"/>
      <c r="J1850" s="7" t="n"/>
      <c r="K1850" s="8" t="n"/>
      <c r="L1850" s="40">
        <f>회차설정!$B$3</f>
        <v/>
      </c>
      <c r="M1850" s="7" t="n"/>
      <c r="N1850" s="7" t="n"/>
      <c r="O1850" s="7" t="n"/>
      <c r="P1850" s="8" t="n"/>
      <c r="R1850" s="37">
        <f>IF($R$1849="언어와 매체",회차설정!$B$9,회차설정!$B$8)</f>
        <v/>
      </c>
      <c r="S1850" s="37">
        <f>IF($R$1849="","",IFERROR(IF($R$1849="언어와 매체",MATCH(3,회차설정!$G$13:$G$27,0),MATCH(3,회차설정!$F$13:$F$27,0)),""))</f>
        <v/>
      </c>
    </row>
    <row r="1851">
      <c r="R1851" s="37">
        <f>IF($R$1849="언어와 매체",회차설정!$C$9,회차설정!$C$8)</f>
        <v/>
      </c>
      <c r="S1851" s="37">
        <f>IF($R$1849="","",IFERROR(IF($R$1849="언어와 매체",MATCH(4,회차설정!$G$13:$G$27,0),MATCH(4,회차설정!$F$13:$F$27,0)),""))</f>
        <v/>
      </c>
    </row>
    <row r="1852">
      <c r="A1852" s="12" t="inlineStr">
        <is>
          <t>2. 성적</t>
        </is>
      </c>
      <c r="R1852" s="37">
        <f>IF($R$1849="언어와 매체",회차설정!$D$9,회차설정!$D$8)</f>
        <v/>
      </c>
      <c r="S1852" s="37">
        <f>IF($R$1849="","",IFERROR(IF($R$1849="언어와 매체",MATCH(5,회차설정!$G$13:$G$27,0),MATCH(5,회차설정!$F$13:$F$27,0)),""))</f>
        <v/>
      </c>
    </row>
    <row r="1853">
      <c r="A1853" s="13" t="inlineStr">
        <is>
          <t>점수 (100점 만점)</t>
        </is>
      </c>
      <c r="B1853" s="7" t="n"/>
      <c r="C1853" s="7" t="n"/>
      <c r="D1853" s="7" t="n"/>
      <c r="E1853" s="8" t="n"/>
      <c r="F1853" s="13" t="inlineStr">
        <is>
          <t>등급</t>
        </is>
      </c>
      <c r="G1853" s="7" t="n"/>
      <c r="H1853" s="8" t="n"/>
      <c r="I1853" s="13" t="inlineStr">
        <is>
          <t>등급컷</t>
        </is>
      </c>
      <c r="J1853" s="7" t="n"/>
      <c r="K1853" s="7" t="n"/>
      <c r="L1853" s="8" t="n"/>
      <c r="M1853" s="13" t="inlineStr">
        <is>
          <t>같은 선택과목 평균</t>
        </is>
      </c>
      <c r="N1853" s="7" t="n"/>
      <c r="O1853" s="7" t="n"/>
      <c r="P1853" s="8" t="n"/>
      <c r="R1853" s="37">
        <f>IF($R$1849="언어와 매체",회차설정!$E$9,회차설정!$E$8)</f>
        <v/>
      </c>
      <c r="S1853" s="37">
        <f>IF($R$1849="","",IFERROR(IF($R$1849="언어와 매체",MATCH(6,회차설정!$G$13:$G$27,0),MATCH(6,회차설정!$F$13:$F$27,0)),""))</f>
        <v/>
      </c>
    </row>
    <row r="1854" ht="34" customHeight="1">
      <c r="A1854" s="41">
        <f>IF($R$1848="","",INDEX(전체채점!$C$3:$C$62,$R$1848))</f>
        <v/>
      </c>
      <c r="B1854" s="7" t="n"/>
      <c r="C1854" s="7" t="n"/>
      <c r="D1854" s="7" t="n"/>
      <c r="E1854" s="8" t="n"/>
      <c r="F1854" s="42">
        <f>IF($R$1848="","",INDEX(전체채점!$D$3:$D$62,$R$1848))</f>
        <v/>
      </c>
      <c r="G1854" s="7" t="n"/>
      <c r="H1854" s="8" t="n"/>
      <c r="I1854" s="43">
        <f>IF($R$1848="","",$R$1850&amp;"-"&amp;$R$1851&amp;"-"&amp;$R$1852&amp;"-"&amp;$R$1853)</f>
        <v/>
      </c>
      <c r="J1854" s="7" t="n"/>
      <c r="K1854" s="7" t="n"/>
      <c r="L1854" s="8" t="n"/>
      <c r="M1854" s="44">
        <f>IFERROR(AVERAGEIF(전체채점!$B$3:$B$62,$R$1849,전체채점!$C$3:$C$62),"")</f>
        <v/>
      </c>
      <c r="N1854" s="7" t="n"/>
      <c r="O1854" s="7" t="n"/>
      <c r="P1854" s="8" t="n"/>
      <c r="S1854" s="37">
        <f>IF($R$1849="","",IFERROR(IF($R$1849="언어와 매체",MATCH(7,회차설정!$G$13:$G$27,0),MATCH(7,회차설정!$F$13:$F$27,0)),""))</f>
        <v/>
      </c>
    </row>
    <row r="1855">
      <c r="S1855" s="37">
        <f>IF($R$1849="","",IFERROR(IF($R$1849="언어와 매체",MATCH(8,회차설정!$G$13:$G$27,0),MATCH(8,회차설정!$F$13:$F$27,0)),""))</f>
        <v/>
      </c>
    </row>
    <row r="1856">
      <c r="A1856" s="12" t="inlineStr">
        <is>
          <t>3. 영역분류별 성취도 분석</t>
        </is>
      </c>
      <c r="F1856" s="45">
        <f>IF(OR($R$1848="",$E1870=""),"",IF($E1870=INDEX(전체채점!$C$3:$C$62,$R$1848),"","※ 회차설정의 영역 표를 확인하세요 — 영역 합계와 점수가 다릅니다"))</f>
        <v/>
      </c>
      <c r="S1856" s="37">
        <f>IF($R$1849="","",IFERROR(IF($R$1849="언어와 매체",MATCH(9,회차설정!$G$13:$G$27,0),MATCH(9,회차설정!$F$13:$F$27,0)),""))</f>
        <v/>
      </c>
    </row>
    <row r="1857">
      <c r="A1857" s="13" t="inlineStr">
        <is>
          <t>분류</t>
        </is>
      </c>
      <c r="B1857" s="13" t="inlineStr">
        <is>
          <t>영역</t>
        </is>
      </c>
      <c r="C1857" s="8" t="n"/>
      <c r="D1857" s="13" t="inlineStr">
        <is>
          <t>배점</t>
        </is>
      </c>
      <c r="E1857" s="13" t="inlineStr">
        <is>
          <t>득점</t>
        </is>
      </c>
      <c r="F1857" s="13" t="inlineStr">
        <is>
          <t>성취도(%)</t>
        </is>
      </c>
      <c r="G1857" s="8" t="n"/>
      <c r="H1857" s="13" t="inlineStr"/>
      <c r="I1857" s="7" t="n"/>
      <c r="J1857" s="7" t="n"/>
      <c r="K1857" s="7" t="n"/>
      <c r="L1857" s="7" t="n"/>
      <c r="M1857" s="7" t="n"/>
      <c r="N1857" s="7" t="n"/>
      <c r="O1857" s="7" t="n"/>
      <c r="P1857" s="8" t="n"/>
      <c r="S1857" s="37">
        <f>IF($R$1849="","",IFERROR(IF($R$1849="언어와 매체",MATCH(10,회차설정!$G$13:$G$27,0),MATCH(10,회차설정!$F$13:$F$27,0)),""))</f>
        <v/>
      </c>
    </row>
    <row r="1858">
      <c r="A1858" s="14">
        <f>IF($S$1848="","",INDEX(회차설정!$A$13:$A$27,$S$1848))</f>
        <v/>
      </c>
      <c r="B1858" s="14">
        <f>IF($S$1848="","",INDEX(회차설정!$B$13:$B$27,$S$1848))</f>
        <v/>
      </c>
      <c r="C1858" s="8" t="n"/>
      <c r="D1858" s="14">
        <f>IF($S$1848="","",IF($R$1849="언어와 매체",SUMPRODUCT((자동계산!$A$4:$A$48&gt;=INDEX(회차설정!$C$13:$C$27,$S$1848))*(자동계산!$A$4:$A$48&lt;=INDEX(회차설정!$D$13:$D$27,$S$1848))*자동계산!$E$4:$E$48),SUMPRODUCT((자동계산!$A$4:$A$48&gt;=INDEX(회차설정!$C$13:$C$27,$S$1848))*(자동계산!$A$4:$A$48&lt;=INDEX(회차설정!$D$13:$D$27,$S$1848))*자동계산!$C$4:$C$48)))</f>
        <v/>
      </c>
      <c r="E1858" s="14">
        <f>IF(OR($S$1848="",$R$1848=""),"",SUM(OFFSET(전체채점!$AW$2,$R$1848,INDEX(회차설정!$C$13:$C$27,$S$1848),1,INDEX(회차설정!$D$13:$D$27,$S$1848)-INDEX(회차설정!$C$13:$C$27,$S$1848)+1)))</f>
        <v/>
      </c>
      <c r="F1858" s="46">
        <f>IF(OR($S$1848="",$D1858=0,$D1858="",$E1858=""),"",$E1858/$D1858*100)</f>
        <v/>
      </c>
      <c r="G1858" s="8" t="n"/>
      <c r="H1858" s="47">
        <f>IF($F1858="","",REPT("■",ROUND($F1858/5,0)))</f>
        <v/>
      </c>
      <c r="I1858" s="7" t="n"/>
      <c r="J1858" s="7" t="n"/>
      <c r="K1858" s="7" t="n"/>
      <c r="L1858" s="7" t="n"/>
      <c r="M1858" s="7" t="n"/>
      <c r="N1858" s="7" t="n"/>
      <c r="O1858" s="7" t="n"/>
      <c r="P1858" s="8" t="n"/>
      <c r="S1858" s="37">
        <f>IF($R$1849="","",IFERROR(IF($R$1849="언어와 매체",MATCH(11,회차설정!$G$13:$G$27,0),MATCH(11,회차설정!$F$13:$F$27,0)),""))</f>
        <v/>
      </c>
    </row>
    <row r="1859">
      <c r="A1859" s="14">
        <f>IF($S$1849="","",INDEX(회차설정!$A$13:$A$27,$S$1849))</f>
        <v/>
      </c>
      <c r="B1859" s="14">
        <f>IF($S$1849="","",INDEX(회차설정!$B$13:$B$27,$S$1849))</f>
        <v/>
      </c>
      <c r="C1859" s="8" t="n"/>
      <c r="D1859" s="14">
        <f>IF($S$1849="","",IF($R$1849="언어와 매체",SUMPRODUCT((자동계산!$A$4:$A$48&gt;=INDEX(회차설정!$C$13:$C$27,$S$1849))*(자동계산!$A$4:$A$48&lt;=INDEX(회차설정!$D$13:$D$27,$S$1849))*자동계산!$E$4:$E$48),SUMPRODUCT((자동계산!$A$4:$A$48&gt;=INDEX(회차설정!$C$13:$C$27,$S$1849))*(자동계산!$A$4:$A$48&lt;=INDEX(회차설정!$D$13:$D$27,$S$1849))*자동계산!$C$4:$C$48)))</f>
        <v/>
      </c>
      <c r="E1859" s="14">
        <f>IF(OR($S$1849="",$R$1848=""),"",SUM(OFFSET(전체채점!$AW$2,$R$1848,INDEX(회차설정!$C$13:$C$27,$S$1849),1,INDEX(회차설정!$D$13:$D$27,$S$1849)-INDEX(회차설정!$C$13:$C$27,$S$1849)+1)))</f>
        <v/>
      </c>
      <c r="F1859" s="46">
        <f>IF(OR($S$1849="",$D1859=0,$D1859="",$E1859=""),"",$E1859/$D1859*100)</f>
        <v/>
      </c>
      <c r="G1859" s="8" t="n"/>
      <c r="H1859" s="47">
        <f>IF($F1859="","",REPT("■",ROUND($F1859/5,0)))</f>
        <v/>
      </c>
      <c r="I1859" s="7" t="n"/>
      <c r="J1859" s="7" t="n"/>
      <c r="K1859" s="7" t="n"/>
      <c r="L1859" s="7" t="n"/>
      <c r="M1859" s="7" t="n"/>
      <c r="N1859" s="7" t="n"/>
      <c r="O1859" s="7" t="n"/>
      <c r="P1859" s="8" t="n"/>
      <c r="S1859" s="37">
        <f>IF($R$1849="","",IFERROR(IF($R$1849="언어와 매체",MATCH(12,회차설정!$G$13:$G$27,0),MATCH(12,회차설정!$F$13:$F$27,0)),""))</f>
        <v/>
      </c>
    </row>
    <row r="1860">
      <c r="A1860" s="14">
        <f>IF($S$1850="","",INDEX(회차설정!$A$13:$A$27,$S$1850))</f>
        <v/>
      </c>
      <c r="B1860" s="14">
        <f>IF($S$1850="","",INDEX(회차설정!$B$13:$B$27,$S$1850))</f>
        <v/>
      </c>
      <c r="C1860" s="8" t="n"/>
      <c r="D1860" s="14">
        <f>IF($S$1850="","",IF($R$1849="언어와 매체",SUMPRODUCT((자동계산!$A$4:$A$48&gt;=INDEX(회차설정!$C$13:$C$27,$S$1850))*(자동계산!$A$4:$A$48&lt;=INDEX(회차설정!$D$13:$D$27,$S$1850))*자동계산!$E$4:$E$48),SUMPRODUCT((자동계산!$A$4:$A$48&gt;=INDEX(회차설정!$C$13:$C$27,$S$1850))*(자동계산!$A$4:$A$48&lt;=INDEX(회차설정!$D$13:$D$27,$S$1850))*자동계산!$C$4:$C$48)))</f>
        <v/>
      </c>
      <c r="E1860" s="14">
        <f>IF(OR($S$1850="",$R$1848=""),"",SUM(OFFSET(전체채점!$AW$2,$R$1848,INDEX(회차설정!$C$13:$C$27,$S$1850),1,INDEX(회차설정!$D$13:$D$27,$S$1850)-INDEX(회차설정!$C$13:$C$27,$S$1850)+1)))</f>
        <v/>
      </c>
      <c r="F1860" s="46">
        <f>IF(OR($S$1850="",$D1860=0,$D1860="",$E1860=""),"",$E1860/$D1860*100)</f>
        <v/>
      </c>
      <c r="G1860" s="8" t="n"/>
      <c r="H1860" s="47">
        <f>IF($F1860="","",REPT("■",ROUND($F1860/5,0)))</f>
        <v/>
      </c>
      <c r="I1860" s="7" t="n"/>
      <c r="J1860" s="7" t="n"/>
      <c r="K1860" s="7" t="n"/>
      <c r="L1860" s="7" t="n"/>
      <c r="M1860" s="7" t="n"/>
      <c r="N1860" s="7" t="n"/>
      <c r="O1860" s="7" t="n"/>
      <c r="P1860" s="8" t="n"/>
    </row>
    <row r="1861">
      <c r="A1861" s="14">
        <f>IF($S$1851="","",INDEX(회차설정!$A$13:$A$27,$S$1851))</f>
        <v/>
      </c>
      <c r="B1861" s="14">
        <f>IF($S$1851="","",INDEX(회차설정!$B$13:$B$27,$S$1851))</f>
        <v/>
      </c>
      <c r="C1861" s="8" t="n"/>
      <c r="D1861" s="14">
        <f>IF($S$1851="","",IF($R$1849="언어와 매체",SUMPRODUCT((자동계산!$A$4:$A$48&gt;=INDEX(회차설정!$C$13:$C$27,$S$1851))*(자동계산!$A$4:$A$48&lt;=INDEX(회차설정!$D$13:$D$27,$S$1851))*자동계산!$E$4:$E$48),SUMPRODUCT((자동계산!$A$4:$A$48&gt;=INDEX(회차설정!$C$13:$C$27,$S$1851))*(자동계산!$A$4:$A$48&lt;=INDEX(회차설정!$D$13:$D$27,$S$1851))*자동계산!$C$4:$C$48)))</f>
        <v/>
      </c>
      <c r="E1861" s="14">
        <f>IF(OR($S$1851="",$R$1848=""),"",SUM(OFFSET(전체채점!$AW$2,$R$1848,INDEX(회차설정!$C$13:$C$27,$S$1851),1,INDEX(회차설정!$D$13:$D$27,$S$1851)-INDEX(회차설정!$C$13:$C$27,$S$1851)+1)))</f>
        <v/>
      </c>
      <c r="F1861" s="46">
        <f>IF(OR($S$1851="",$D1861=0,$D1861="",$E1861=""),"",$E1861/$D1861*100)</f>
        <v/>
      </c>
      <c r="G1861" s="8" t="n"/>
      <c r="H1861" s="47">
        <f>IF($F1861="","",REPT("■",ROUND($F1861/5,0)))</f>
        <v/>
      </c>
      <c r="I1861" s="7" t="n"/>
      <c r="J1861" s="7" t="n"/>
      <c r="K1861" s="7" t="n"/>
      <c r="L1861" s="7" t="n"/>
      <c r="M1861" s="7" t="n"/>
      <c r="N1861" s="7" t="n"/>
      <c r="O1861" s="7" t="n"/>
      <c r="P1861" s="8" t="n"/>
    </row>
    <row r="1862">
      <c r="A1862" s="14">
        <f>IF($S$1852="","",INDEX(회차설정!$A$13:$A$27,$S$1852))</f>
        <v/>
      </c>
      <c r="B1862" s="14">
        <f>IF($S$1852="","",INDEX(회차설정!$B$13:$B$27,$S$1852))</f>
        <v/>
      </c>
      <c r="C1862" s="8" t="n"/>
      <c r="D1862" s="14">
        <f>IF($S$1852="","",IF($R$1849="언어와 매체",SUMPRODUCT((자동계산!$A$4:$A$48&gt;=INDEX(회차설정!$C$13:$C$27,$S$1852))*(자동계산!$A$4:$A$48&lt;=INDEX(회차설정!$D$13:$D$27,$S$1852))*자동계산!$E$4:$E$48),SUMPRODUCT((자동계산!$A$4:$A$48&gt;=INDEX(회차설정!$C$13:$C$27,$S$1852))*(자동계산!$A$4:$A$48&lt;=INDEX(회차설정!$D$13:$D$27,$S$1852))*자동계산!$C$4:$C$48)))</f>
        <v/>
      </c>
      <c r="E1862" s="14">
        <f>IF(OR($S$1852="",$R$1848=""),"",SUM(OFFSET(전체채점!$AW$2,$R$1848,INDEX(회차설정!$C$13:$C$27,$S$1852),1,INDEX(회차설정!$D$13:$D$27,$S$1852)-INDEX(회차설정!$C$13:$C$27,$S$1852)+1)))</f>
        <v/>
      </c>
      <c r="F1862" s="46">
        <f>IF(OR($S$1852="",$D1862=0,$D1862="",$E1862=""),"",$E1862/$D1862*100)</f>
        <v/>
      </c>
      <c r="G1862" s="8" t="n"/>
      <c r="H1862" s="47">
        <f>IF($F1862="","",REPT("■",ROUND($F1862/5,0)))</f>
        <v/>
      </c>
      <c r="I1862" s="7" t="n"/>
      <c r="J1862" s="7" t="n"/>
      <c r="K1862" s="7" t="n"/>
      <c r="L1862" s="7" t="n"/>
      <c r="M1862" s="7" t="n"/>
      <c r="N1862" s="7" t="n"/>
      <c r="O1862" s="7" t="n"/>
      <c r="P1862" s="8" t="n"/>
    </row>
    <row r="1863">
      <c r="A1863" s="14">
        <f>IF($S$1853="","",INDEX(회차설정!$A$13:$A$27,$S$1853))</f>
        <v/>
      </c>
      <c r="B1863" s="14">
        <f>IF($S$1853="","",INDEX(회차설정!$B$13:$B$27,$S$1853))</f>
        <v/>
      </c>
      <c r="C1863" s="8" t="n"/>
      <c r="D1863" s="14">
        <f>IF($S$1853="","",IF($R$1849="언어와 매체",SUMPRODUCT((자동계산!$A$4:$A$48&gt;=INDEX(회차설정!$C$13:$C$27,$S$1853))*(자동계산!$A$4:$A$48&lt;=INDEX(회차설정!$D$13:$D$27,$S$1853))*자동계산!$E$4:$E$48),SUMPRODUCT((자동계산!$A$4:$A$48&gt;=INDEX(회차설정!$C$13:$C$27,$S$1853))*(자동계산!$A$4:$A$48&lt;=INDEX(회차설정!$D$13:$D$27,$S$1853))*자동계산!$C$4:$C$48)))</f>
        <v/>
      </c>
      <c r="E1863" s="14">
        <f>IF(OR($S$1853="",$R$1848=""),"",SUM(OFFSET(전체채점!$AW$2,$R$1848,INDEX(회차설정!$C$13:$C$27,$S$1853),1,INDEX(회차설정!$D$13:$D$27,$S$1853)-INDEX(회차설정!$C$13:$C$27,$S$1853)+1)))</f>
        <v/>
      </c>
      <c r="F1863" s="46">
        <f>IF(OR($S$1853="",$D1863=0,$D1863="",$E1863=""),"",$E1863/$D1863*100)</f>
        <v/>
      </c>
      <c r="G1863" s="8" t="n"/>
      <c r="H1863" s="47">
        <f>IF($F1863="","",REPT("■",ROUND($F1863/5,0)))</f>
        <v/>
      </c>
      <c r="I1863" s="7" t="n"/>
      <c r="J1863" s="7" t="n"/>
      <c r="K1863" s="7" t="n"/>
      <c r="L1863" s="7" t="n"/>
      <c r="M1863" s="7" t="n"/>
      <c r="N1863" s="7" t="n"/>
      <c r="O1863" s="7" t="n"/>
      <c r="P1863" s="8" t="n"/>
    </row>
    <row r="1864">
      <c r="A1864" s="14">
        <f>IF($S$1854="","",INDEX(회차설정!$A$13:$A$27,$S$1854))</f>
        <v/>
      </c>
      <c r="B1864" s="14">
        <f>IF($S$1854="","",INDEX(회차설정!$B$13:$B$27,$S$1854))</f>
        <v/>
      </c>
      <c r="C1864" s="8" t="n"/>
      <c r="D1864" s="14">
        <f>IF($S$1854="","",IF($R$1849="언어와 매체",SUMPRODUCT((자동계산!$A$4:$A$48&gt;=INDEX(회차설정!$C$13:$C$27,$S$1854))*(자동계산!$A$4:$A$48&lt;=INDEX(회차설정!$D$13:$D$27,$S$1854))*자동계산!$E$4:$E$48),SUMPRODUCT((자동계산!$A$4:$A$48&gt;=INDEX(회차설정!$C$13:$C$27,$S$1854))*(자동계산!$A$4:$A$48&lt;=INDEX(회차설정!$D$13:$D$27,$S$1854))*자동계산!$C$4:$C$48)))</f>
        <v/>
      </c>
      <c r="E1864" s="14">
        <f>IF(OR($S$1854="",$R$1848=""),"",SUM(OFFSET(전체채점!$AW$2,$R$1848,INDEX(회차설정!$C$13:$C$27,$S$1854),1,INDEX(회차설정!$D$13:$D$27,$S$1854)-INDEX(회차설정!$C$13:$C$27,$S$1854)+1)))</f>
        <v/>
      </c>
      <c r="F1864" s="46">
        <f>IF(OR($S$1854="",$D1864=0,$D1864="",$E1864=""),"",$E1864/$D1864*100)</f>
        <v/>
      </c>
      <c r="G1864" s="8" t="n"/>
      <c r="H1864" s="47">
        <f>IF($F1864="","",REPT("■",ROUND($F1864/5,0)))</f>
        <v/>
      </c>
      <c r="I1864" s="7" t="n"/>
      <c r="J1864" s="7" t="n"/>
      <c r="K1864" s="7" t="n"/>
      <c r="L1864" s="7" t="n"/>
      <c r="M1864" s="7" t="n"/>
      <c r="N1864" s="7" t="n"/>
      <c r="O1864" s="7" t="n"/>
      <c r="P1864" s="8" t="n"/>
    </row>
    <row r="1865">
      <c r="A1865" s="14">
        <f>IF($S$1855="","",INDEX(회차설정!$A$13:$A$27,$S$1855))</f>
        <v/>
      </c>
      <c r="B1865" s="14">
        <f>IF($S$1855="","",INDEX(회차설정!$B$13:$B$27,$S$1855))</f>
        <v/>
      </c>
      <c r="C1865" s="8" t="n"/>
      <c r="D1865" s="14">
        <f>IF($S$1855="","",IF($R$1849="언어와 매체",SUMPRODUCT((자동계산!$A$4:$A$48&gt;=INDEX(회차설정!$C$13:$C$27,$S$1855))*(자동계산!$A$4:$A$48&lt;=INDEX(회차설정!$D$13:$D$27,$S$1855))*자동계산!$E$4:$E$48),SUMPRODUCT((자동계산!$A$4:$A$48&gt;=INDEX(회차설정!$C$13:$C$27,$S$1855))*(자동계산!$A$4:$A$48&lt;=INDEX(회차설정!$D$13:$D$27,$S$1855))*자동계산!$C$4:$C$48)))</f>
        <v/>
      </c>
      <c r="E1865" s="14">
        <f>IF(OR($S$1855="",$R$1848=""),"",SUM(OFFSET(전체채점!$AW$2,$R$1848,INDEX(회차설정!$C$13:$C$27,$S$1855),1,INDEX(회차설정!$D$13:$D$27,$S$1855)-INDEX(회차설정!$C$13:$C$27,$S$1855)+1)))</f>
        <v/>
      </c>
      <c r="F1865" s="46">
        <f>IF(OR($S$1855="",$D1865=0,$D1865="",$E1865=""),"",$E1865/$D1865*100)</f>
        <v/>
      </c>
      <c r="G1865" s="8" t="n"/>
      <c r="H1865" s="47">
        <f>IF($F1865="","",REPT("■",ROUND($F1865/5,0)))</f>
        <v/>
      </c>
      <c r="I1865" s="7" t="n"/>
      <c r="J1865" s="7" t="n"/>
      <c r="K1865" s="7" t="n"/>
      <c r="L1865" s="7" t="n"/>
      <c r="M1865" s="7" t="n"/>
      <c r="N1865" s="7" t="n"/>
      <c r="O1865" s="7" t="n"/>
      <c r="P1865" s="8" t="n"/>
    </row>
    <row r="1866">
      <c r="A1866" s="14">
        <f>IF($S$1856="","",INDEX(회차설정!$A$13:$A$27,$S$1856))</f>
        <v/>
      </c>
      <c r="B1866" s="14">
        <f>IF($S$1856="","",INDEX(회차설정!$B$13:$B$27,$S$1856))</f>
        <v/>
      </c>
      <c r="C1866" s="8" t="n"/>
      <c r="D1866" s="14">
        <f>IF($S$1856="","",IF($R$1849="언어와 매체",SUMPRODUCT((자동계산!$A$4:$A$48&gt;=INDEX(회차설정!$C$13:$C$27,$S$1856))*(자동계산!$A$4:$A$48&lt;=INDEX(회차설정!$D$13:$D$27,$S$1856))*자동계산!$E$4:$E$48),SUMPRODUCT((자동계산!$A$4:$A$48&gt;=INDEX(회차설정!$C$13:$C$27,$S$1856))*(자동계산!$A$4:$A$48&lt;=INDEX(회차설정!$D$13:$D$27,$S$1856))*자동계산!$C$4:$C$48)))</f>
        <v/>
      </c>
      <c r="E1866" s="14">
        <f>IF(OR($S$1856="",$R$1848=""),"",SUM(OFFSET(전체채점!$AW$2,$R$1848,INDEX(회차설정!$C$13:$C$27,$S$1856),1,INDEX(회차설정!$D$13:$D$27,$S$1856)-INDEX(회차설정!$C$13:$C$27,$S$1856)+1)))</f>
        <v/>
      </c>
      <c r="F1866" s="46">
        <f>IF(OR($S$1856="",$D1866=0,$D1866="",$E1866=""),"",$E1866/$D1866*100)</f>
        <v/>
      </c>
      <c r="G1866" s="8" t="n"/>
      <c r="H1866" s="47">
        <f>IF($F1866="","",REPT("■",ROUND($F1866/5,0)))</f>
        <v/>
      </c>
      <c r="I1866" s="7" t="n"/>
      <c r="J1866" s="7" t="n"/>
      <c r="K1866" s="7" t="n"/>
      <c r="L1866" s="7" t="n"/>
      <c r="M1866" s="7" t="n"/>
      <c r="N1866" s="7" t="n"/>
      <c r="O1866" s="7" t="n"/>
      <c r="P1866" s="8" t="n"/>
    </row>
    <row r="1867">
      <c r="A1867" s="14">
        <f>IF($S$1857="","",INDEX(회차설정!$A$13:$A$27,$S$1857))</f>
        <v/>
      </c>
      <c r="B1867" s="14">
        <f>IF($S$1857="","",INDEX(회차설정!$B$13:$B$27,$S$1857))</f>
        <v/>
      </c>
      <c r="C1867" s="8" t="n"/>
      <c r="D1867" s="14">
        <f>IF($S$1857="","",IF($R$1849="언어와 매체",SUMPRODUCT((자동계산!$A$4:$A$48&gt;=INDEX(회차설정!$C$13:$C$27,$S$1857))*(자동계산!$A$4:$A$48&lt;=INDEX(회차설정!$D$13:$D$27,$S$1857))*자동계산!$E$4:$E$48),SUMPRODUCT((자동계산!$A$4:$A$48&gt;=INDEX(회차설정!$C$13:$C$27,$S$1857))*(자동계산!$A$4:$A$48&lt;=INDEX(회차설정!$D$13:$D$27,$S$1857))*자동계산!$C$4:$C$48)))</f>
        <v/>
      </c>
      <c r="E1867" s="14">
        <f>IF(OR($S$1857="",$R$1848=""),"",SUM(OFFSET(전체채점!$AW$2,$R$1848,INDEX(회차설정!$C$13:$C$27,$S$1857),1,INDEX(회차설정!$D$13:$D$27,$S$1857)-INDEX(회차설정!$C$13:$C$27,$S$1857)+1)))</f>
        <v/>
      </c>
      <c r="F1867" s="46">
        <f>IF(OR($S$1857="",$D1867=0,$D1867="",$E1867=""),"",$E1867/$D1867*100)</f>
        <v/>
      </c>
      <c r="G1867" s="8" t="n"/>
      <c r="H1867" s="47">
        <f>IF($F1867="","",REPT("■",ROUND($F1867/5,0)))</f>
        <v/>
      </c>
      <c r="I1867" s="7" t="n"/>
      <c r="J1867" s="7" t="n"/>
      <c r="K1867" s="7" t="n"/>
      <c r="L1867" s="7" t="n"/>
      <c r="M1867" s="7" t="n"/>
      <c r="N1867" s="7" t="n"/>
      <c r="O1867" s="7" t="n"/>
      <c r="P1867" s="8" t="n"/>
    </row>
    <row r="1868">
      <c r="A1868" s="14">
        <f>IF($S$1858="","",INDEX(회차설정!$A$13:$A$27,$S$1858))</f>
        <v/>
      </c>
      <c r="B1868" s="14">
        <f>IF($S$1858="","",INDEX(회차설정!$B$13:$B$27,$S$1858))</f>
        <v/>
      </c>
      <c r="C1868" s="8" t="n"/>
      <c r="D1868" s="14">
        <f>IF($S$1858="","",IF($R$1849="언어와 매체",SUMPRODUCT((자동계산!$A$4:$A$48&gt;=INDEX(회차설정!$C$13:$C$27,$S$1858))*(자동계산!$A$4:$A$48&lt;=INDEX(회차설정!$D$13:$D$27,$S$1858))*자동계산!$E$4:$E$48),SUMPRODUCT((자동계산!$A$4:$A$48&gt;=INDEX(회차설정!$C$13:$C$27,$S$1858))*(자동계산!$A$4:$A$48&lt;=INDEX(회차설정!$D$13:$D$27,$S$1858))*자동계산!$C$4:$C$48)))</f>
        <v/>
      </c>
      <c r="E1868" s="14">
        <f>IF(OR($S$1858="",$R$1848=""),"",SUM(OFFSET(전체채점!$AW$2,$R$1848,INDEX(회차설정!$C$13:$C$27,$S$1858),1,INDEX(회차설정!$D$13:$D$27,$S$1858)-INDEX(회차설정!$C$13:$C$27,$S$1858)+1)))</f>
        <v/>
      </c>
      <c r="F1868" s="46">
        <f>IF(OR($S$1858="",$D1868=0,$D1868="",$E1868=""),"",$E1868/$D1868*100)</f>
        <v/>
      </c>
      <c r="G1868" s="8" t="n"/>
      <c r="H1868" s="47">
        <f>IF($F1868="","",REPT("■",ROUND($F1868/5,0)))</f>
        <v/>
      </c>
      <c r="I1868" s="7" t="n"/>
      <c r="J1868" s="7" t="n"/>
      <c r="K1868" s="7" t="n"/>
      <c r="L1868" s="7" t="n"/>
      <c r="M1868" s="7" t="n"/>
      <c r="N1868" s="7" t="n"/>
      <c r="O1868" s="7" t="n"/>
      <c r="P1868" s="8" t="n"/>
    </row>
    <row r="1869">
      <c r="A1869" s="14">
        <f>IF($S$1859="","",INDEX(회차설정!$A$13:$A$27,$S$1859))</f>
        <v/>
      </c>
      <c r="B1869" s="14">
        <f>IF($S$1859="","",INDEX(회차설정!$B$13:$B$27,$S$1859))</f>
        <v/>
      </c>
      <c r="C1869" s="8" t="n"/>
      <c r="D1869" s="14">
        <f>IF($S$1859="","",IF($R$1849="언어와 매체",SUMPRODUCT((자동계산!$A$4:$A$48&gt;=INDEX(회차설정!$C$13:$C$27,$S$1859))*(자동계산!$A$4:$A$48&lt;=INDEX(회차설정!$D$13:$D$27,$S$1859))*자동계산!$E$4:$E$48),SUMPRODUCT((자동계산!$A$4:$A$48&gt;=INDEX(회차설정!$C$13:$C$27,$S$1859))*(자동계산!$A$4:$A$48&lt;=INDEX(회차설정!$D$13:$D$27,$S$1859))*자동계산!$C$4:$C$48)))</f>
        <v/>
      </c>
      <c r="E1869" s="14">
        <f>IF(OR($S$1859="",$R$1848=""),"",SUM(OFFSET(전체채점!$AW$2,$R$1848,INDEX(회차설정!$C$13:$C$27,$S$1859),1,INDEX(회차설정!$D$13:$D$27,$S$1859)-INDEX(회차설정!$C$13:$C$27,$S$1859)+1)))</f>
        <v/>
      </c>
      <c r="F1869" s="46">
        <f>IF(OR($S$1859="",$D1869=0,$D1869="",$E1869=""),"",$E1869/$D1869*100)</f>
        <v/>
      </c>
      <c r="G1869" s="8" t="n"/>
      <c r="H1869" s="47">
        <f>IF($F1869="","",REPT("■",ROUND($F1869/5,0)))</f>
        <v/>
      </c>
      <c r="I1869" s="7" t="n"/>
      <c r="J1869" s="7" t="n"/>
      <c r="K1869" s="7" t="n"/>
      <c r="L1869" s="7" t="n"/>
      <c r="M1869" s="7" t="n"/>
      <c r="N1869" s="7" t="n"/>
      <c r="O1869" s="7" t="n"/>
      <c r="P1869" s="8" t="n"/>
    </row>
    <row r="1870">
      <c r="A1870" s="5">
        <f>IF($R$1848="","","합계")</f>
        <v/>
      </c>
      <c r="B1870" s="7" t="n"/>
      <c r="C1870" s="8" t="n"/>
      <c r="D1870" s="5">
        <f>IF($R$1848="","",SUM(D1858:D1869))</f>
        <v/>
      </c>
      <c r="E1870" s="5">
        <f>IF($R$1848="","",SUM(E1858:E1869))</f>
        <v/>
      </c>
      <c r="F1870" s="48">
        <f>IF(OR($D1870=0,$D1870=""),"",$E1870/$D1870*100)</f>
        <v/>
      </c>
      <c r="G1870" s="8" t="n"/>
      <c r="H1870" s="49">
        <f>IF($F1870="","",REPT("■",ROUND($F1870/5,0)))</f>
        <v/>
      </c>
      <c r="I1870" s="7" t="n"/>
      <c r="J1870" s="7" t="n"/>
      <c r="K1870" s="7" t="n"/>
      <c r="L1870" s="7" t="n"/>
      <c r="M1870" s="7" t="n"/>
      <c r="N1870" s="7" t="n"/>
      <c r="O1870" s="7" t="n"/>
      <c r="P1870" s="8" t="n"/>
    </row>
    <row r="1872">
      <c r="A1872" s="12" t="inlineStr">
        <is>
          <t>4. 문항 채점표</t>
        </is>
      </c>
    </row>
    <row r="1873">
      <c r="A1873" s="50" t="inlineStr">
        <is>
          <t>문항 번호</t>
        </is>
      </c>
      <c r="B1873" s="51" t="n">
        <v>1</v>
      </c>
      <c r="C1873" s="51" t="n">
        <v>2</v>
      </c>
      <c r="D1873" s="51" t="n">
        <v>3</v>
      </c>
      <c r="E1873" s="51" t="n">
        <v>4</v>
      </c>
      <c r="F1873" s="51" t="n">
        <v>5</v>
      </c>
      <c r="G1873" s="51" t="n">
        <v>6</v>
      </c>
      <c r="H1873" s="51" t="n">
        <v>7</v>
      </c>
      <c r="I1873" s="51" t="n">
        <v>8</v>
      </c>
      <c r="J1873" s="51" t="n">
        <v>9</v>
      </c>
      <c r="K1873" s="51" t="n">
        <v>10</v>
      </c>
      <c r="L1873" s="51" t="n">
        <v>11</v>
      </c>
      <c r="M1873" s="51" t="n">
        <v>12</v>
      </c>
      <c r="N1873" s="51" t="n">
        <v>13</v>
      </c>
      <c r="O1873" s="51" t="n">
        <v>14</v>
      </c>
      <c r="P1873" s="51" t="n">
        <v>15</v>
      </c>
    </row>
    <row r="1874">
      <c r="A1874" s="52" t="inlineStr">
        <is>
          <t>정답</t>
        </is>
      </c>
      <c r="B1874" s="33">
        <f>IF($R$1849="","",IF($R$1849="언어와 매체",자동계산!$D$4,자동계산!$B$4))</f>
        <v/>
      </c>
      <c r="C1874" s="33">
        <f>IF($R$1849="","",IF($R$1849="언어와 매체",자동계산!$D$5,자동계산!$B$5))</f>
        <v/>
      </c>
      <c r="D1874" s="33">
        <f>IF($R$1849="","",IF($R$1849="언어와 매체",자동계산!$D$6,자동계산!$B$6))</f>
        <v/>
      </c>
      <c r="E1874" s="33">
        <f>IF($R$1849="","",IF($R$1849="언어와 매체",자동계산!$D$7,자동계산!$B$7))</f>
        <v/>
      </c>
      <c r="F1874" s="33">
        <f>IF($R$1849="","",IF($R$1849="언어와 매체",자동계산!$D$8,자동계산!$B$8))</f>
        <v/>
      </c>
      <c r="G1874" s="33">
        <f>IF($R$1849="","",IF($R$1849="언어와 매체",자동계산!$D$9,자동계산!$B$9))</f>
        <v/>
      </c>
      <c r="H1874" s="33">
        <f>IF($R$1849="","",IF($R$1849="언어와 매체",자동계산!$D$10,자동계산!$B$10))</f>
        <v/>
      </c>
      <c r="I1874" s="33">
        <f>IF($R$1849="","",IF($R$1849="언어와 매체",자동계산!$D$11,자동계산!$B$11))</f>
        <v/>
      </c>
      <c r="J1874" s="33">
        <f>IF($R$1849="","",IF($R$1849="언어와 매체",자동계산!$D$12,자동계산!$B$12))</f>
        <v/>
      </c>
      <c r="K1874" s="33">
        <f>IF($R$1849="","",IF($R$1849="언어와 매체",자동계산!$D$13,자동계산!$B$13))</f>
        <v/>
      </c>
      <c r="L1874" s="33">
        <f>IF($R$1849="","",IF($R$1849="언어와 매체",자동계산!$D$14,자동계산!$B$14))</f>
        <v/>
      </c>
      <c r="M1874" s="33">
        <f>IF($R$1849="","",IF($R$1849="언어와 매체",자동계산!$D$15,자동계산!$B$15))</f>
        <v/>
      </c>
      <c r="N1874" s="33">
        <f>IF($R$1849="","",IF($R$1849="언어와 매체",자동계산!$D$16,자동계산!$B$16))</f>
        <v/>
      </c>
      <c r="O1874" s="33">
        <f>IF($R$1849="","",IF($R$1849="언어와 매체",자동계산!$D$17,자동계산!$B$17))</f>
        <v/>
      </c>
      <c r="P1874" s="33">
        <f>IF($R$1849="","",IF($R$1849="언어와 매체",자동계산!$D$18,자동계산!$B$18))</f>
        <v/>
      </c>
    </row>
    <row r="1875">
      <c r="A1875" s="52" t="inlineStr">
        <is>
          <t>학생답안</t>
        </is>
      </c>
      <c r="B1875" s="33">
        <f>IF($R$1848="","",INDEX(전체채점!E$3:E$62,$R$1848))</f>
        <v/>
      </c>
      <c r="C1875" s="33">
        <f>IF($R$1848="","",INDEX(전체채점!F$3:F$62,$R$1848))</f>
        <v/>
      </c>
      <c r="D1875" s="33">
        <f>IF($R$1848="","",INDEX(전체채점!G$3:G$62,$R$1848))</f>
        <v/>
      </c>
      <c r="E1875" s="33">
        <f>IF($R$1848="","",INDEX(전체채점!H$3:H$62,$R$1848))</f>
        <v/>
      </c>
      <c r="F1875" s="33">
        <f>IF($R$1848="","",INDEX(전체채점!I$3:I$62,$R$1848))</f>
        <v/>
      </c>
      <c r="G1875" s="33">
        <f>IF($R$1848="","",INDEX(전체채점!J$3:J$62,$R$1848))</f>
        <v/>
      </c>
      <c r="H1875" s="33">
        <f>IF($R$1848="","",INDEX(전체채점!K$3:K$62,$R$1848))</f>
        <v/>
      </c>
      <c r="I1875" s="33">
        <f>IF($R$1848="","",INDEX(전체채점!L$3:L$62,$R$1848))</f>
        <v/>
      </c>
      <c r="J1875" s="33">
        <f>IF($R$1848="","",INDEX(전체채점!M$3:M$62,$R$1848))</f>
        <v/>
      </c>
      <c r="K1875" s="33">
        <f>IF($R$1848="","",INDEX(전체채점!N$3:N$62,$R$1848))</f>
        <v/>
      </c>
      <c r="L1875" s="33">
        <f>IF($R$1848="","",INDEX(전체채점!O$3:O$62,$R$1848))</f>
        <v/>
      </c>
      <c r="M1875" s="33">
        <f>IF($R$1848="","",INDEX(전체채점!P$3:P$62,$R$1848))</f>
        <v/>
      </c>
      <c r="N1875" s="33">
        <f>IF($R$1848="","",INDEX(전체채점!Q$3:Q$62,$R$1848))</f>
        <v/>
      </c>
      <c r="O1875" s="33">
        <f>IF($R$1848="","",INDEX(전체채점!R$3:R$62,$R$1848))</f>
        <v/>
      </c>
      <c r="P1875" s="33">
        <f>IF($R$1848="","",INDEX(전체채점!S$3:S$62,$R$1848))</f>
        <v/>
      </c>
    </row>
    <row r="1876">
      <c r="A1876" s="52" t="inlineStr">
        <is>
          <t>정오</t>
        </is>
      </c>
      <c r="B1876" s="33">
        <f>IF($R$1848="","",INDEX(전체채점!AX$3:AX$62,$R$1848))</f>
        <v/>
      </c>
      <c r="C1876" s="33">
        <f>IF($R$1848="","",INDEX(전체채점!AY$3:AY$62,$R$1848))</f>
        <v/>
      </c>
      <c r="D1876" s="33">
        <f>IF($R$1848="","",INDEX(전체채점!AZ$3:AZ$62,$R$1848))</f>
        <v/>
      </c>
      <c r="E1876" s="33">
        <f>IF($R$1848="","",INDEX(전체채점!BA$3:BA$62,$R$1848))</f>
        <v/>
      </c>
      <c r="F1876" s="33">
        <f>IF($R$1848="","",INDEX(전체채점!BB$3:BB$62,$R$1848))</f>
        <v/>
      </c>
      <c r="G1876" s="33">
        <f>IF($R$1848="","",INDEX(전체채점!BC$3:BC$62,$R$1848))</f>
        <v/>
      </c>
      <c r="H1876" s="33">
        <f>IF($R$1848="","",INDEX(전체채점!BD$3:BD$62,$R$1848))</f>
        <v/>
      </c>
      <c r="I1876" s="33">
        <f>IF($R$1848="","",INDEX(전체채점!BE$3:BE$62,$R$1848))</f>
        <v/>
      </c>
      <c r="J1876" s="33">
        <f>IF($R$1848="","",INDEX(전체채점!BF$3:BF$62,$R$1848))</f>
        <v/>
      </c>
      <c r="K1876" s="33">
        <f>IF($R$1848="","",INDEX(전체채점!BG$3:BG$62,$R$1848))</f>
        <v/>
      </c>
      <c r="L1876" s="33">
        <f>IF($R$1848="","",INDEX(전체채점!BH$3:BH$62,$R$1848))</f>
        <v/>
      </c>
      <c r="M1876" s="33">
        <f>IF($R$1848="","",INDEX(전체채점!BI$3:BI$62,$R$1848))</f>
        <v/>
      </c>
      <c r="N1876" s="33">
        <f>IF($R$1848="","",INDEX(전체채점!BJ$3:BJ$62,$R$1848))</f>
        <v/>
      </c>
      <c r="O1876" s="33">
        <f>IF($R$1848="","",INDEX(전체채점!BK$3:BK$62,$R$1848))</f>
        <v/>
      </c>
      <c r="P1876" s="33">
        <f>IF($R$1848="","",INDEX(전체채점!BL$3:BL$62,$R$1848))</f>
        <v/>
      </c>
    </row>
    <row r="1877">
      <c r="A1877" s="50" t="inlineStr">
        <is>
          <t>문항 번호</t>
        </is>
      </c>
      <c r="B1877" s="51" t="n">
        <v>16</v>
      </c>
      <c r="C1877" s="51" t="n">
        <v>17</v>
      </c>
      <c r="D1877" s="51" t="n">
        <v>18</v>
      </c>
      <c r="E1877" s="51" t="n">
        <v>19</v>
      </c>
      <c r="F1877" s="51" t="n">
        <v>20</v>
      </c>
      <c r="G1877" s="51" t="n">
        <v>21</v>
      </c>
      <c r="H1877" s="51" t="n">
        <v>22</v>
      </c>
      <c r="I1877" s="51" t="n">
        <v>23</v>
      </c>
      <c r="J1877" s="51" t="n">
        <v>24</v>
      </c>
      <c r="K1877" s="51" t="n">
        <v>25</v>
      </c>
      <c r="L1877" s="51" t="n">
        <v>26</v>
      </c>
      <c r="M1877" s="51" t="n">
        <v>27</v>
      </c>
      <c r="N1877" s="51" t="n">
        <v>28</v>
      </c>
      <c r="O1877" s="51" t="n">
        <v>29</v>
      </c>
      <c r="P1877" s="51" t="n">
        <v>30</v>
      </c>
    </row>
    <row r="1878">
      <c r="A1878" s="52" t="inlineStr">
        <is>
          <t>정답</t>
        </is>
      </c>
      <c r="B1878" s="33">
        <f>IF($R$1849="","",IF($R$1849="언어와 매체",자동계산!$D$19,자동계산!$B$19))</f>
        <v/>
      </c>
      <c r="C1878" s="33">
        <f>IF($R$1849="","",IF($R$1849="언어와 매체",자동계산!$D$20,자동계산!$B$20))</f>
        <v/>
      </c>
      <c r="D1878" s="33">
        <f>IF($R$1849="","",IF($R$1849="언어와 매체",자동계산!$D$21,자동계산!$B$21))</f>
        <v/>
      </c>
      <c r="E1878" s="33">
        <f>IF($R$1849="","",IF($R$1849="언어와 매체",자동계산!$D$22,자동계산!$B$22))</f>
        <v/>
      </c>
      <c r="F1878" s="33">
        <f>IF($R$1849="","",IF($R$1849="언어와 매체",자동계산!$D$23,자동계산!$B$23))</f>
        <v/>
      </c>
      <c r="G1878" s="33">
        <f>IF($R$1849="","",IF($R$1849="언어와 매체",자동계산!$D$24,자동계산!$B$24))</f>
        <v/>
      </c>
      <c r="H1878" s="33">
        <f>IF($R$1849="","",IF($R$1849="언어와 매체",자동계산!$D$25,자동계산!$B$25))</f>
        <v/>
      </c>
      <c r="I1878" s="33">
        <f>IF($R$1849="","",IF($R$1849="언어와 매체",자동계산!$D$26,자동계산!$B$26))</f>
        <v/>
      </c>
      <c r="J1878" s="33">
        <f>IF($R$1849="","",IF($R$1849="언어와 매체",자동계산!$D$27,자동계산!$B$27))</f>
        <v/>
      </c>
      <c r="K1878" s="33">
        <f>IF($R$1849="","",IF($R$1849="언어와 매체",자동계산!$D$28,자동계산!$B$28))</f>
        <v/>
      </c>
      <c r="L1878" s="33">
        <f>IF($R$1849="","",IF($R$1849="언어와 매체",자동계산!$D$29,자동계산!$B$29))</f>
        <v/>
      </c>
      <c r="M1878" s="33">
        <f>IF($R$1849="","",IF($R$1849="언어와 매체",자동계산!$D$30,자동계산!$B$30))</f>
        <v/>
      </c>
      <c r="N1878" s="33">
        <f>IF($R$1849="","",IF($R$1849="언어와 매체",자동계산!$D$31,자동계산!$B$31))</f>
        <v/>
      </c>
      <c r="O1878" s="33">
        <f>IF($R$1849="","",IF($R$1849="언어와 매체",자동계산!$D$32,자동계산!$B$32))</f>
        <v/>
      </c>
      <c r="P1878" s="33">
        <f>IF($R$1849="","",IF($R$1849="언어와 매체",자동계산!$D$33,자동계산!$B$33))</f>
        <v/>
      </c>
    </row>
    <row r="1879">
      <c r="A1879" s="52" t="inlineStr">
        <is>
          <t>학생답안</t>
        </is>
      </c>
      <c r="B1879" s="33">
        <f>IF($R$1848="","",INDEX(전체채점!T$3:T$62,$R$1848))</f>
        <v/>
      </c>
      <c r="C1879" s="33">
        <f>IF($R$1848="","",INDEX(전체채점!U$3:U$62,$R$1848))</f>
        <v/>
      </c>
      <c r="D1879" s="33">
        <f>IF($R$1848="","",INDEX(전체채점!V$3:V$62,$R$1848))</f>
        <v/>
      </c>
      <c r="E1879" s="33">
        <f>IF($R$1848="","",INDEX(전체채점!W$3:W$62,$R$1848))</f>
        <v/>
      </c>
      <c r="F1879" s="33">
        <f>IF($R$1848="","",INDEX(전체채점!X$3:X$62,$R$1848))</f>
        <v/>
      </c>
      <c r="G1879" s="33">
        <f>IF($R$1848="","",INDEX(전체채점!Y$3:Y$62,$R$1848))</f>
        <v/>
      </c>
      <c r="H1879" s="33">
        <f>IF($R$1848="","",INDEX(전체채점!Z$3:Z$62,$R$1848))</f>
        <v/>
      </c>
      <c r="I1879" s="33">
        <f>IF($R$1848="","",INDEX(전체채점!AA$3:AA$62,$R$1848))</f>
        <v/>
      </c>
      <c r="J1879" s="33">
        <f>IF($R$1848="","",INDEX(전체채점!AB$3:AB$62,$R$1848))</f>
        <v/>
      </c>
      <c r="K1879" s="33">
        <f>IF($R$1848="","",INDEX(전체채점!AC$3:AC$62,$R$1848))</f>
        <v/>
      </c>
      <c r="L1879" s="33">
        <f>IF($R$1848="","",INDEX(전체채점!AD$3:AD$62,$R$1848))</f>
        <v/>
      </c>
      <c r="M1879" s="33">
        <f>IF($R$1848="","",INDEX(전체채점!AE$3:AE$62,$R$1848))</f>
        <v/>
      </c>
      <c r="N1879" s="33">
        <f>IF($R$1848="","",INDEX(전체채점!AF$3:AF$62,$R$1848))</f>
        <v/>
      </c>
      <c r="O1879" s="33">
        <f>IF($R$1848="","",INDEX(전체채점!AG$3:AG$62,$R$1848))</f>
        <v/>
      </c>
      <c r="P1879" s="33">
        <f>IF($R$1848="","",INDEX(전체채점!AH$3:AH$62,$R$1848))</f>
        <v/>
      </c>
    </row>
    <row r="1880">
      <c r="A1880" s="52" t="inlineStr">
        <is>
          <t>정오</t>
        </is>
      </c>
      <c r="B1880" s="33">
        <f>IF($R$1848="","",INDEX(전체채점!BM$3:BM$62,$R$1848))</f>
        <v/>
      </c>
      <c r="C1880" s="33">
        <f>IF($R$1848="","",INDEX(전체채점!BN$3:BN$62,$R$1848))</f>
        <v/>
      </c>
      <c r="D1880" s="33">
        <f>IF($R$1848="","",INDEX(전체채점!BO$3:BO$62,$R$1848))</f>
        <v/>
      </c>
      <c r="E1880" s="33">
        <f>IF($R$1848="","",INDEX(전체채점!BP$3:BP$62,$R$1848))</f>
        <v/>
      </c>
      <c r="F1880" s="33">
        <f>IF($R$1848="","",INDEX(전체채점!BQ$3:BQ$62,$R$1848))</f>
        <v/>
      </c>
      <c r="G1880" s="33">
        <f>IF($R$1848="","",INDEX(전체채점!BR$3:BR$62,$R$1848))</f>
        <v/>
      </c>
      <c r="H1880" s="33">
        <f>IF($R$1848="","",INDEX(전체채점!BS$3:BS$62,$R$1848))</f>
        <v/>
      </c>
      <c r="I1880" s="33">
        <f>IF($R$1848="","",INDEX(전체채점!BT$3:BT$62,$R$1848))</f>
        <v/>
      </c>
      <c r="J1880" s="33">
        <f>IF($R$1848="","",INDEX(전체채점!BU$3:BU$62,$R$1848))</f>
        <v/>
      </c>
      <c r="K1880" s="33">
        <f>IF($R$1848="","",INDEX(전체채점!BV$3:BV$62,$R$1848))</f>
        <v/>
      </c>
      <c r="L1880" s="33">
        <f>IF($R$1848="","",INDEX(전체채점!BW$3:BW$62,$R$1848))</f>
        <v/>
      </c>
      <c r="M1880" s="33">
        <f>IF($R$1848="","",INDEX(전체채점!BX$3:BX$62,$R$1848))</f>
        <v/>
      </c>
      <c r="N1880" s="33">
        <f>IF($R$1848="","",INDEX(전체채점!BY$3:BY$62,$R$1848))</f>
        <v/>
      </c>
      <c r="O1880" s="33">
        <f>IF($R$1848="","",INDEX(전체채점!BZ$3:BZ$62,$R$1848))</f>
        <v/>
      </c>
      <c r="P1880" s="33">
        <f>IF($R$1848="","",INDEX(전체채점!CA$3:CA$62,$R$1848))</f>
        <v/>
      </c>
    </row>
    <row r="1881">
      <c r="A1881" s="50" t="inlineStr">
        <is>
          <t>문항 번호</t>
        </is>
      </c>
      <c r="B1881" s="51" t="n">
        <v>31</v>
      </c>
      <c r="C1881" s="51" t="n">
        <v>32</v>
      </c>
      <c r="D1881" s="51" t="n">
        <v>33</v>
      </c>
      <c r="E1881" s="51" t="n">
        <v>34</v>
      </c>
      <c r="F1881" s="51" t="n">
        <v>35</v>
      </c>
      <c r="G1881" s="51" t="n">
        <v>36</v>
      </c>
      <c r="H1881" s="51" t="n">
        <v>37</v>
      </c>
      <c r="I1881" s="51" t="n">
        <v>38</v>
      </c>
      <c r="J1881" s="51" t="n">
        <v>39</v>
      </c>
      <c r="K1881" s="51" t="n">
        <v>40</v>
      </c>
      <c r="L1881" s="51" t="n">
        <v>41</v>
      </c>
      <c r="M1881" s="51" t="n">
        <v>42</v>
      </c>
      <c r="N1881" s="51" t="n">
        <v>43</v>
      </c>
      <c r="O1881" s="51" t="n">
        <v>44</v>
      </c>
      <c r="P1881" s="51" t="n">
        <v>45</v>
      </c>
    </row>
    <row r="1882">
      <c r="A1882" s="52" t="inlineStr">
        <is>
          <t>정답</t>
        </is>
      </c>
      <c r="B1882" s="33">
        <f>IF($R$1849="","",IF($R$1849="언어와 매체",자동계산!$D$34,자동계산!$B$34))</f>
        <v/>
      </c>
      <c r="C1882" s="33">
        <f>IF($R$1849="","",IF($R$1849="언어와 매체",자동계산!$D$35,자동계산!$B$35))</f>
        <v/>
      </c>
      <c r="D1882" s="33">
        <f>IF($R$1849="","",IF($R$1849="언어와 매체",자동계산!$D$36,자동계산!$B$36))</f>
        <v/>
      </c>
      <c r="E1882" s="33">
        <f>IF($R$1849="","",IF($R$1849="언어와 매체",자동계산!$D$37,자동계산!$B$37))</f>
        <v/>
      </c>
      <c r="F1882" s="33">
        <f>IF($R$1849="","",IF($R$1849="언어와 매체",자동계산!$D$38,자동계산!$B$38))</f>
        <v/>
      </c>
      <c r="G1882" s="33">
        <f>IF($R$1849="","",IF($R$1849="언어와 매체",자동계산!$D$39,자동계산!$B$39))</f>
        <v/>
      </c>
      <c r="H1882" s="33">
        <f>IF($R$1849="","",IF($R$1849="언어와 매체",자동계산!$D$40,자동계산!$B$40))</f>
        <v/>
      </c>
      <c r="I1882" s="33">
        <f>IF($R$1849="","",IF($R$1849="언어와 매체",자동계산!$D$41,자동계산!$B$41))</f>
        <v/>
      </c>
      <c r="J1882" s="33">
        <f>IF($R$1849="","",IF($R$1849="언어와 매체",자동계산!$D$42,자동계산!$B$42))</f>
        <v/>
      </c>
      <c r="K1882" s="33">
        <f>IF($R$1849="","",IF($R$1849="언어와 매체",자동계산!$D$43,자동계산!$B$43))</f>
        <v/>
      </c>
      <c r="L1882" s="33">
        <f>IF($R$1849="","",IF($R$1849="언어와 매체",자동계산!$D$44,자동계산!$B$44))</f>
        <v/>
      </c>
      <c r="M1882" s="33">
        <f>IF($R$1849="","",IF($R$1849="언어와 매체",자동계산!$D$45,자동계산!$B$45))</f>
        <v/>
      </c>
      <c r="N1882" s="33">
        <f>IF($R$1849="","",IF($R$1849="언어와 매체",자동계산!$D$46,자동계산!$B$46))</f>
        <v/>
      </c>
      <c r="O1882" s="33">
        <f>IF($R$1849="","",IF($R$1849="언어와 매체",자동계산!$D$47,자동계산!$B$47))</f>
        <v/>
      </c>
      <c r="P1882" s="33">
        <f>IF($R$1849="","",IF($R$1849="언어와 매체",자동계산!$D$48,자동계산!$B$48))</f>
        <v/>
      </c>
    </row>
    <row r="1883">
      <c r="A1883" s="52" t="inlineStr">
        <is>
          <t>학생답안</t>
        </is>
      </c>
      <c r="B1883" s="33">
        <f>IF($R$1848="","",INDEX(전체채점!AI$3:AI$62,$R$1848))</f>
        <v/>
      </c>
      <c r="C1883" s="33">
        <f>IF($R$1848="","",INDEX(전체채점!AJ$3:AJ$62,$R$1848))</f>
        <v/>
      </c>
      <c r="D1883" s="33">
        <f>IF($R$1848="","",INDEX(전체채점!AK$3:AK$62,$R$1848))</f>
        <v/>
      </c>
      <c r="E1883" s="33">
        <f>IF($R$1848="","",INDEX(전체채점!AL$3:AL$62,$R$1848))</f>
        <v/>
      </c>
      <c r="F1883" s="33">
        <f>IF($R$1848="","",INDEX(전체채점!AM$3:AM$62,$R$1848))</f>
        <v/>
      </c>
      <c r="G1883" s="33">
        <f>IF($R$1848="","",INDEX(전체채점!AN$3:AN$62,$R$1848))</f>
        <v/>
      </c>
      <c r="H1883" s="33">
        <f>IF($R$1848="","",INDEX(전체채점!AO$3:AO$62,$R$1848))</f>
        <v/>
      </c>
      <c r="I1883" s="33">
        <f>IF($R$1848="","",INDEX(전체채점!AP$3:AP$62,$R$1848))</f>
        <v/>
      </c>
      <c r="J1883" s="33">
        <f>IF($R$1848="","",INDEX(전체채점!AQ$3:AQ$62,$R$1848))</f>
        <v/>
      </c>
      <c r="K1883" s="33">
        <f>IF($R$1848="","",INDEX(전체채점!AR$3:AR$62,$R$1848))</f>
        <v/>
      </c>
      <c r="L1883" s="33">
        <f>IF($R$1848="","",INDEX(전체채점!AS$3:AS$62,$R$1848))</f>
        <v/>
      </c>
      <c r="M1883" s="33">
        <f>IF($R$1848="","",INDEX(전체채점!AT$3:AT$62,$R$1848))</f>
        <v/>
      </c>
      <c r="N1883" s="33">
        <f>IF($R$1848="","",INDEX(전체채점!AU$3:AU$62,$R$1848))</f>
        <v/>
      </c>
      <c r="O1883" s="33">
        <f>IF($R$1848="","",INDEX(전체채점!AV$3:AV$62,$R$1848))</f>
        <v/>
      </c>
      <c r="P1883" s="33">
        <f>IF($R$1848="","",INDEX(전체채점!AW$3:AW$62,$R$1848))</f>
        <v/>
      </c>
    </row>
    <row r="1884">
      <c r="A1884" s="52" t="inlineStr">
        <is>
          <t>정오</t>
        </is>
      </c>
      <c r="B1884" s="33">
        <f>IF($R$1848="","",INDEX(전체채점!CB$3:CB$62,$R$1848))</f>
        <v/>
      </c>
      <c r="C1884" s="33">
        <f>IF($R$1848="","",INDEX(전체채점!CC$3:CC$62,$R$1848))</f>
        <v/>
      </c>
      <c r="D1884" s="33">
        <f>IF($R$1848="","",INDEX(전체채점!CD$3:CD$62,$R$1848))</f>
        <v/>
      </c>
      <c r="E1884" s="33">
        <f>IF($R$1848="","",INDEX(전체채점!CE$3:CE$62,$R$1848))</f>
        <v/>
      </c>
      <c r="F1884" s="33">
        <f>IF($R$1848="","",INDEX(전체채점!CF$3:CF$62,$R$1848))</f>
        <v/>
      </c>
      <c r="G1884" s="33">
        <f>IF($R$1848="","",INDEX(전체채점!CG$3:CG$62,$R$1848))</f>
        <v/>
      </c>
      <c r="H1884" s="33">
        <f>IF($R$1848="","",INDEX(전체채점!CH$3:CH$62,$R$1848))</f>
        <v/>
      </c>
      <c r="I1884" s="33">
        <f>IF($R$1848="","",INDEX(전체채점!CI$3:CI$62,$R$1848))</f>
        <v/>
      </c>
      <c r="J1884" s="33">
        <f>IF($R$1848="","",INDEX(전체채점!CJ$3:CJ$62,$R$1848))</f>
        <v/>
      </c>
      <c r="K1884" s="33">
        <f>IF($R$1848="","",INDEX(전체채점!CK$3:CK$62,$R$1848))</f>
        <v/>
      </c>
      <c r="L1884" s="33">
        <f>IF($R$1848="","",INDEX(전체채점!CL$3:CL$62,$R$1848))</f>
        <v/>
      </c>
      <c r="M1884" s="33">
        <f>IF($R$1848="","",INDEX(전체채점!CM$3:CM$62,$R$1848))</f>
        <v/>
      </c>
      <c r="N1884" s="33">
        <f>IF($R$1848="","",INDEX(전체채점!CN$3:CN$62,$R$1848))</f>
        <v/>
      </c>
      <c r="O1884" s="33">
        <f>IF($R$1848="","",INDEX(전체채점!CO$3:CO$62,$R$1848))</f>
        <v/>
      </c>
      <c r="P1884" s="33">
        <f>IF($R$1848="","",INDEX(전체채점!CP$3:CP$62,$R$1848))</f>
        <v/>
      </c>
    </row>
    <row r="1887" ht="34" customHeight="1">
      <c r="A1887" s="36">
        <f>IF($R$1889="","",회차설정!$B$2&amp;" 성적표")</f>
        <v/>
      </c>
    </row>
    <row r="1889">
      <c r="A1889" s="12" t="inlineStr">
        <is>
          <t>1. 학생정보</t>
        </is>
      </c>
      <c r="R1889" s="37">
        <f>IF(답안입력!$A$49="","",47)</f>
        <v/>
      </c>
      <c r="S1889" s="37">
        <f>IF($R$1890="","",IFERROR(IF($R$1890="언어와 매체",MATCH(1,회차설정!$G$13:$G$27,0),MATCH(1,회차설정!$F$13:$F$27,0)),""))</f>
        <v/>
      </c>
    </row>
    <row r="1890">
      <c r="A1890" s="13" t="inlineStr">
        <is>
          <t>성명</t>
        </is>
      </c>
      <c r="B1890" s="7" t="n"/>
      <c r="C1890" s="8" t="n"/>
      <c r="D1890" s="13" t="inlineStr">
        <is>
          <t>선택과목</t>
        </is>
      </c>
      <c r="E1890" s="7" t="n"/>
      <c r="F1890" s="7" t="n"/>
      <c r="G1890" s="8" t="n"/>
      <c r="H1890" s="13" t="inlineStr">
        <is>
          <t>학년</t>
        </is>
      </c>
      <c r="I1890" s="7" t="n"/>
      <c r="J1890" s="7" t="n"/>
      <c r="K1890" s="8" t="n"/>
      <c r="L1890" s="13" t="inlineStr">
        <is>
          <t>시행일</t>
        </is>
      </c>
      <c r="M1890" s="7" t="n"/>
      <c r="N1890" s="7" t="n"/>
      <c r="O1890" s="7" t="n"/>
      <c r="P1890" s="8" t="n"/>
      <c r="R1890" s="37">
        <f>IF($R$1889="","",INDEX(전체채점!$B$3:$B$62,$R$1889))</f>
        <v/>
      </c>
      <c r="S1890" s="37">
        <f>IF($R$1890="","",IFERROR(IF($R$1890="언어와 매체",MATCH(2,회차설정!$G$13:$G$27,0),MATCH(2,회차설정!$F$13:$F$27,0)),""))</f>
        <v/>
      </c>
    </row>
    <row r="1891" ht="26" customHeight="1">
      <c r="A1891" s="39">
        <f>IF($R$1889="","",INDEX(답안입력!$A$3:$A$62,$R$1889))</f>
        <v/>
      </c>
      <c r="B1891" s="7" t="n"/>
      <c r="C1891" s="8" t="n"/>
      <c r="D1891" s="39">
        <f>IF($R$1889="","",INDEX(답안입력!$C$3:$C$62,$R$1889))</f>
        <v/>
      </c>
      <c r="E1891" s="7" t="n"/>
      <c r="F1891" s="7" t="n"/>
      <c r="G1891" s="8" t="n"/>
      <c r="H1891" s="39">
        <f>IF($R$1889="","",INDEX(답안입력!$B$3:$B$62,$R$1889))</f>
        <v/>
      </c>
      <c r="I1891" s="7" t="n"/>
      <c r="J1891" s="7" t="n"/>
      <c r="K1891" s="8" t="n"/>
      <c r="L1891" s="40">
        <f>회차설정!$B$3</f>
        <v/>
      </c>
      <c r="M1891" s="7" t="n"/>
      <c r="N1891" s="7" t="n"/>
      <c r="O1891" s="7" t="n"/>
      <c r="P1891" s="8" t="n"/>
      <c r="R1891" s="37">
        <f>IF($R$1890="언어와 매체",회차설정!$B$9,회차설정!$B$8)</f>
        <v/>
      </c>
      <c r="S1891" s="37">
        <f>IF($R$1890="","",IFERROR(IF($R$1890="언어와 매체",MATCH(3,회차설정!$G$13:$G$27,0),MATCH(3,회차설정!$F$13:$F$27,0)),""))</f>
        <v/>
      </c>
    </row>
    <row r="1892">
      <c r="R1892" s="37">
        <f>IF($R$1890="언어와 매체",회차설정!$C$9,회차설정!$C$8)</f>
        <v/>
      </c>
      <c r="S1892" s="37">
        <f>IF($R$1890="","",IFERROR(IF($R$1890="언어와 매체",MATCH(4,회차설정!$G$13:$G$27,0),MATCH(4,회차설정!$F$13:$F$27,0)),""))</f>
        <v/>
      </c>
    </row>
    <row r="1893">
      <c r="A1893" s="12" t="inlineStr">
        <is>
          <t>2. 성적</t>
        </is>
      </c>
      <c r="R1893" s="37">
        <f>IF($R$1890="언어와 매체",회차설정!$D$9,회차설정!$D$8)</f>
        <v/>
      </c>
      <c r="S1893" s="37">
        <f>IF($R$1890="","",IFERROR(IF($R$1890="언어와 매체",MATCH(5,회차설정!$G$13:$G$27,0),MATCH(5,회차설정!$F$13:$F$27,0)),""))</f>
        <v/>
      </c>
    </row>
    <row r="1894">
      <c r="A1894" s="13" t="inlineStr">
        <is>
          <t>점수 (100점 만점)</t>
        </is>
      </c>
      <c r="B1894" s="7" t="n"/>
      <c r="C1894" s="7" t="n"/>
      <c r="D1894" s="7" t="n"/>
      <c r="E1894" s="8" t="n"/>
      <c r="F1894" s="13" t="inlineStr">
        <is>
          <t>등급</t>
        </is>
      </c>
      <c r="G1894" s="7" t="n"/>
      <c r="H1894" s="8" t="n"/>
      <c r="I1894" s="13" t="inlineStr">
        <is>
          <t>등급컷</t>
        </is>
      </c>
      <c r="J1894" s="7" t="n"/>
      <c r="K1894" s="7" t="n"/>
      <c r="L1894" s="8" t="n"/>
      <c r="M1894" s="13" t="inlineStr">
        <is>
          <t>같은 선택과목 평균</t>
        </is>
      </c>
      <c r="N1894" s="7" t="n"/>
      <c r="O1894" s="7" t="n"/>
      <c r="P1894" s="8" t="n"/>
      <c r="R1894" s="37">
        <f>IF($R$1890="언어와 매체",회차설정!$E$9,회차설정!$E$8)</f>
        <v/>
      </c>
      <c r="S1894" s="37">
        <f>IF($R$1890="","",IFERROR(IF($R$1890="언어와 매체",MATCH(6,회차설정!$G$13:$G$27,0),MATCH(6,회차설정!$F$13:$F$27,0)),""))</f>
        <v/>
      </c>
    </row>
    <row r="1895" ht="34" customHeight="1">
      <c r="A1895" s="41">
        <f>IF($R$1889="","",INDEX(전체채점!$C$3:$C$62,$R$1889))</f>
        <v/>
      </c>
      <c r="B1895" s="7" t="n"/>
      <c r="C1895" s="7" t="n"/>
      <c r="D1895" s="7" t="n"/>
      <c r="E1895" s="8" t="n"/>
      <c r="F1895" s="42">
        <f>IF($R$1889="","",INDEX(전체채점!$D$3:$D$62,$R$1889))</f>
        <v/>
      </c>
      <c r="G1895" s="7" t="n"/>
      <c r="H1895" s="8" t="n"/>
      <c r="I1895" s="43">
        <f>IF($R$1889="","",$R$1891&amp;"-"&amp;$R$1892&amp;"-"&amp;$R$1893&amp;"-"&amp;$R$1894)</f>
        <v/>
      </c>
      <c r="J1895" s="7" t="n"/>
      <c r="K1895" s="7" t="n"/>
      <c r="L1895" s="8" t="n"/>
      <c r="M1895" s="44">
        <f>IFERROR(AVERAGEIF(전체채점!$B$3:$B$62,$R$1890,전체채점!$C$3:$C$62),"")</f>
        <v/>
      </c>
      <c r="N1895" s="7" t="n"/>
      <c r="O1895" s="7" t="n"/>
      <c r="P1895" s="8" t="n"/>
      <c r="S1895" s="37">
        <f>IF($R$1890="","",IFERROR(IF($R$1890="언어와 매체",MATCH(7,회차설정!$G$13:$G$27,0),MATCH(7,회차설정!$F$13:$F$27,0)),""))</f>
        <v/>
      </c>
    </row>
    <row r="1896">
      <c r="S1896" s="37">
        <f>IF($R$1890="","",IFERROR(IF($R$1890="언어와 매체",MATCH(8,회차설정!$G$13:$G$27,0),MATCH(8,회차설정!$F$13:$F$27,0)),""))</f>
        <v/>
      </c>
    </row>
    <row r="1897">
      <c r="A1897" s="12" t="inlineStr">
        <is>
          <t>3. 영역분류별 성취도 분석</t>
        </is>
      </c>
      <c r="F1897" s="45">
        <f>IF(OR($R$1889="",$E1911=""),"",IF($E1911=INDEX(전체채점!$C$3:$C$62,$R$1889),"","※ 회차설정의 영역 표를 확인하세요 — 영역 합계와 점수가 다릅니다"))</f>
        <v/>
      </c>
      <c r="S1897" s="37">
        <f>IF($R$1890="","",IFERROR(IF($R$1890="언어와 매체",MATCH(9,회차설정!$G$13:$G$27,0),MATCH(9,회차설정!$F$13:$F$27,0)),""))</f>
        <v/>
      </c>
    </row>
    <row r="1898">
      <c r="A1898" s="13" t="inlineStr">
        <is>
          <t>분류</t>
        </is>
      </c>
      <c r="B1898" s="13" t="inlineStr">
        <is>
          <t>영역</t>
        </is>
      </c>
      <c r="C1898" s="8" t="n"/>
      <c r="D1898" s="13" t="inlineStr">
        <is>
          <t>배점</t>
        </is>
      </c>
      <c r="E1898" s="13" t="inlineStr">
        <is>
          <t>득점</t>
        </is>
      </c>
      <c r="F1898" s="13" t="inlineStr">
        <is>
          <t>성취도(%)</t>
        </is>
      </c>
      <c r="G1898" s="8" t="n"/>
      <c r="H1898" s="13" t="inlineStr"/>
      <c r="I1898" s="7" t="n"/>
      <c r="J1898" s="7" t="n"/>
      <c r="K1898" s="7" t="n"/>
      <c r="L1898" s="7" t="n"/>
      <c r="M1898" s="7" t="n"/>
      <c r="N1898" s="7" t="n"/>
      <c r="O1898" s="7" t="n"/>
      <c r="P1898" s="8" t="n"/>
      <c r="S1898" s="37">
        <f>IF($R$1890="","",IFERROR(IF($R$1890="언어와 매체",MATCH(10,회차설정!$G$13:$G$27,0),MATCH(10,회차설정!$F$13:$F$27,0)),""))</f>
        <v/>
      </c>
    </row>
    <row r="1899">
      <c r="A1899" s="14">
        <f>IF($S$1889="","",INDEX(회차설정!$A$13:$A$27,$S$1889))</f>
        <v/>
      </c>
      <c r="B1899" s="14">
        <f>IF($S$1889="","",INDEX(회차설정!$B$13:$B$27,$S$1889))</f>
        <v/>
      </c>
      <c r="C1899" s="8" t="n"/>
      <c r="D1899" s="14">
        <f>IF($S$1889="","",IF($R$1890="언어와 매체",SUMPRODUCT((자동계산!$A$4:$A$48&gt;=INDEX(회차설정!$C$13:$C$27,$S$1889))*(자동계산!$A$4:$A$48&lt;=INDEX(회차설정!$D$13:$D$27,$S$1889))*자동계산!$E$4:$E$48),SUMPRODUCT((자동계산!$A$4:$A$48&gt;=INDEX(회차설정!$C$13:$C$27,$S$1889))*(자동계산!$A$4:$A$48&lt;=INDEX(회차설정!$D$13:$D$27,$S$1889))*자동계산!$C$4:$C$48)))</f>
        <v/>
      </c>
      <c r="E1899" s="14">
        <f>IF(OR($S$1889="",$R$1889=""),"",SUM(OFFSET(전체채점!$AW$2,$R$1889,INDEX(회차설정!$C$13:$C$27,$S$1889),1,INDEX(회차설정!$D$13:$D$27,$S$1889)-INDEX(회차설정!$C$13:$C$27,$S$1889)+1)))</f>
        <v/>
      </c>
      <c r="F1899" s="46">
        <f>IF(OR($S$1889="",$D1899=0,$D1899="",$E1899=""),"",$E1899/$D1899*100)</f>
        <v/>
      </c>
      <c r="G1899" s="8" t="n"/>
      <c r="H1899" s="47">
        <f>IF($F1899="","",REPT("■",ROUND($F1899/5,0)))</f>
        <v/>
      </c>
      <c r="I1899" s="7" t="n"/>
      <c r="J1899" s="7" t="n"/>
      <c r="K1899" s="7" t="n"/>
      <c r="L1899" s="7" t="n"/>
      <c r="M1899" s="7" t="n"/>
      <c r="N1899" s="7" t="n"/>
      <c r="O1899" s="7" t="n"/>
      <c r="P1899" s="8" t="n"/>
      <c r="S1899" s="37">
        <f>IF($R$1890="","",IFERROR(IF($R$1890="언어와 매체",MATCH(11,회차설정!$G$13:$G$27,0),MATCH(11,회차설정!$F$13:$F$27,0)),""))</f>
        <v/>
      </c>
    </row>
    <row r="1900">
      <c r="A1900" s="14">
        <f>IF($S$1890="","",INDEX(회차설정!$A$13:$A$27,$S$1890))</f>
        <v/>
      </c>
      <c r="B1900" s="14">
        <f>IF($S$1890="","",INDEX(회차설정!$B$13:$B$27,$S$1890))</f>
        <v/>
      </c>
      <c r="C1900" s="8" t="n"/>
      <c r="D1900" s="14">
        <f>IF($S$1890="","",IF($R$1890="언어와 매체",SUMPRODUCT((자동계산!$A$4:$A$48&gt;=INDEX(회차설정!$C$13:$C$27,$S$1890))*(자동계산!$A$4:$A$48&lt;=INDEX(회차설정!$D$13:$D$27,$S$1890))*자동계산!$E$4:$E$48),SUMPRODUCT((자동계산!$A$4:$A$48&gt;=INDEX(회차설정!$C$13:$C$27,$S$1890))*(자동계산!$A$4:$A$48&lt;=INDEX(회차설정!$D$13:$D$27,$S$1890))*자동계산!$C$4:$C$48)))</f>
        <v/>
      </c>
      <c r="E1900" s="14">
        <f>IF(OR($S$1890="",$R$1889=""),"",SUM(OFFSET(전체채점!$AW$2,$R$1889,INDEX(회차설정!$C$13:$C$27,$S$1890),1,INDEX(회차설정!$D$13:$D$27,$S$1890)-INDEX(회차설정!$C$13:$C$27,$S$1890)+1)))</f>
        <v/>
      </c>
      <c r="F1900" s="46">
        <f>IF(OR($S$1890="",$D1900=0,$D1900="",$E1900=""),"",$E1900/$D1900*100)</f>
        <v/>
      </c>
      <c r="G1900" s="8" t="n"/>
      <c r="H1900" s="47">
        <f>IF($F1900="","",REPT("■",ROUND($F1900/5,0)))</f>
        <v/>
      </c>
      <c r="I1900" s="7" t="n"/>
      <c r="J1900" s="7" t="n"/>
      <c r="K1900" s="7" t="n"/>
      <c r="L1900" s="7" t="n"/>
      <c r="M1900" s="7" t="n"/>
      <c r="N1900" s="7" t="n"/>
      <c r="O1900" s="7" t="n"/>
      <c r="P1900" s="8" t="n"/>
      <c r="S1900" s="37">
        <f>IF($R$1890="","",IFERROR(IF($R$1890="언어와 매체",MATCH(12,회차설정!$G$13:$G$27,0),MATCH(12,회차설정!$F$13:$F$27,0)),""))</f>
        <v/>
      </c>
    </row>
    <row r="1901">
      <c r="A1901" s="14">
        <f>IF($S$1891="","",INDEX(회차설정!$A$13:$A$27,$S$1891))</f>
        <v/>
      </c>
      <c r="B1901" s="14">
        <f>IF($S$1891="","",INDEX(회차설정!$B$13:$B$27,$S$1891))</f>
        <v/>
      </c>
      <c r="C1901" s="8" t="n"/>
      <c r="D1901" s="14">
        <f>IF($S$1891="","",IF($R$1890="언어와 매체",SUMPRODUCT((자동계산!$A$4:$A$48&gt;=INDEX(회차설정!$C$13:$C$27,$S$1891))*(자동계산!$A$4:$A$48&lt;=INDEX(회차설정!$D$13:$D$27,$S$1891))*자동계산!$E$4:$E$48),SUMPRODUCT((자동계산!$A$4:$A$48&gt;=INDEX(회차설정!$C$13:$C$27,$S$1891))*(자동계산!$A$4:$A$48&lt;=INDEX(회차설정!$D$13:$D$27,$S$1891))*자동계산!$C$4:$C$48)))</f>
        <v/>
      </c>
      <c r="E1901" s="14">
        <f>IF(OR($S$1891="",$R$1889=""),"",SUM(OFFSET(전체채점!$AW$2,$R$1889,INDEX(회차설정!$C$13:$C$27,$S$1891),1,INDEX(회차설정!$D$13:$D$27,$S$1891)-INDEX(회차설정!$C$13:$C$27,$S$1891)+1)))</f>
        <v/>
      </c>
      <c r="F1901" s="46">
        <f>IF(OR($S$1891="",$D1901=0,$D1901="",$E1901=""),"",$E1901/$D1901*100)</f>
        <v/>
      </c>
      <c r="G1901" s="8" t="n"/>
      <c r="H1901" s="47">
        <f>IF($F1901="","",REPT("■",ROUND($F1901/5,0)))</f>
        <v/>
      </c>
      <c r="I1901" s="7" t="n"/>
      <c r="J1901" s="7" t="n"/>
      <c r="K1901" s="7" t="n"/>
      <c r="L1901" s="7" t="n"/>
      <c r="M1901" s="7" t="n"/>
      <c r="N1901" s="7" t="n"/>
      <c r="O1901" s="7" t="n"/>
      <c r="P1901" s="8" t="n"/>
    </row>
    <row r="1902">
      <c r="A1902" s="14">
        <f>IF($S$1892="","",INDEX(회차설정!$A$13:$A$27,$S$1892))</f>
        <v/>
      </c>
      <c r="B1902" s="14">
        <f>IF($S$1892="","",INDEX(회차설정!$B$13:$B$27,$S$1892))</f>
        <v/>
      </c>
      <c r="C1902" s="8" t="n"/>
      <c r="D1902" s="14">
        <f>IF($S$1892="","",IF($R$1890="언어와 매체",SUMPRODUCT((자동계산!$A$4:$A$48&gt;=INDEX(회차설정!$C$13:$C$27,$S$1892))*(자동계산!$A$4:$A$48&lt;=INDEX(회차설정!$D$13:$D$27,$S$1892))*자동계산!$E$4:$E$48),SUMPRODUCT((자동계산!$A$4:$A$48&gt;=INDEX(회차설정!$C$13:$C$27,$S$1892))*(자동계산!$A$4:$A$48&lt;=INDEX(회차설정!$D$13:$D$27,$S$1892))*자동계산!$C$4:$C$48)))</f>
        <v/>
      </c>
      <c r="E1902" s="14">
        <f>IF(OR($S$1892="",$R$1889=""),"",SUM(OFFSET(전체채점!$AW$2,$R$1889,INDEX(회차설정!$C$13:$C$27,$S$1892),1,INDEX(회차설정!$D$13:$D$27,$S$1892)-INDEX(회차설정!$C$13:$C$27,$S$1892)+1)))</f>
        <v/>
      </c>
      <c r="F1902" s="46">
        <f>IF(OR($S$1892="",$D1902=0,$D1902="",$E1902=""),"",$E1902/$D1902*100)</f>
        <v/>
      </c>
      <c r="G1902" s="8" t="n"/>
      <c r="H1902" s="47">
        <f>IF($F1902="","",REPT("■",ROUND($F1902/5,0)))</f>
        <v/>
      </c>
      <c r="I1902" s="7" t="n"/>
      <c r="J1902" s="7" t="n"/>
      <c r="K1902" s="7" t="n"/>
      <c r="L1902" s="7" t="n"/>
      <c r="M1902" s="7" t="n"/>
      <c r="N1902" s="7" t="n"/>
      <c r="O1902" s="7" t="n"/>
      <c r="P1902" s="8" t="n"/>
    </row>
    <row r="1903">
      <c r="A1903" s="14">
        <f>IF($S$1893="","",INDEX(회차설정!$A$13:$A$27,$S$1893))</f>
        <v/>
      </c>
      <c r="B1903" s="14">
        <f>IF($S$1893="","",INDEX(회차설정!$B$13:$B$27,$S$1893))</f>
        <v/>
      </c>
      <c r="C1903" s="8" t="n"/>
      <c r="D1903" s="14">
        <f>IF($S$1893="","",IF($R$1890="언어와 매체",SUMPRODUCT((자동계산!$A$4:$A$48&gt;=INDEX(회차설정!$C$13:$C$27,$S$1893))*(자동계산!$A$4:$A$48&lt;=INDEX(회차설정!$D$13:$D$27,$S$1893))*자동계산!$E$4:$E$48),SUMPRODUCT((자동계산!$A$4:$A$48&gt;=INDEX(회차설정!$C$13:$C$27,$S$1893))*(자동계산!$A$4:$A$48&lt;=INDEX(회차설정!$D$13:$D$27,$S$1893))*자동계산!$C$4:$C$48)))</f>
        <v/>
      </c>
      <c r="E1903" s="14">
        <f>IF(OR($S$1893="",$R$1889=""),"",SUM(OFFSET(전체채점!$AW$2,$R$1889,INDEX(회차설정!$C$13:$C$27,$S$1893),1,INDEX(회차설정!$D$13:$D$27,$S$1893)-INDEX(회차설정!$C$13:$C$27,$S$1893)+1)))</f>
        <v/>
      </c>
      <c r="F1903" s="46">
        <f>IF(OR($S$1893="",$D1903=0,$D1903="",$E1903=""),"",$E1903/$D1903*100)</f>
        <v/>
      </c>
      <c r="G1903" s="8" t="n"/>
      <c r="H1903" s="47">
        <f>IF($F1903="","",REPT("■",ROUND($F1903/5,0)))</f>
        <v/>
      </c>
      <c r="I1903" s="7" t="n"/>
      <c r="J1903" s="7" t="n"/>
      <c r="K1903" s="7" t="n"/>
      <c r="L1903" s="7" t="n"/>
      <c r="M1903" s="7" t="n"/>
      <c r="N1903" s="7" t="n"/>
      <c r="O1903" s="7" t="n"/>
      <c r="P1903" s="8" t="n"/>
    </row>
    <row r="1904">
      <c r="A1904" s="14">
        <f>IF($S$1894="","",INDEX(회차설정!$A$13:$A$27,$S$1894))</f>
        <v/>
      </c>
      <c r="B1904" s="14">
        <f>IF($S$1894="","",INDEX(회차설정!$B$13:$B$27,$S$1894))</f>
        <v/>
      </c>
      <c r="C1904" s="8" t="n"/>
      <c r="D1904" s="14">
        <f>IF($S$1894="","",IF($R$1890="언어와 매체",SUMPRODUCT((자동계산!$A$4:$A$48&gt;=INDEX(회차설정!$C$13:$C$27,$S$1894))*(자동계산!$A$4:$A$48&lt;=INDEX(회차설정!$D$13:$D$27,$S$1894))*자동계산!$E$4:$E$48),SUMPRODUCT((자동계산!$A$4:$A$48&gt;=INDEX(회차설정!$C$13:$C$27,$S$1894))*(자동계산!$A$4:$A$48&lt;=INDEX(회차설정!$D$13:$D$27,$S$1894))*자동계산!$C$4:$C$48)))</f>
        <v/>
      </c>
      <c r="E1904" s="14">
        <f>IF(OR($S$1894="",$R$1889=""),"",SUM(OFFSET(전체채점!$AW$2,$R$1889,INDEX(회차설정!$C$13:$C$27,$S$1894),1,INDEX(회차설정!$D$13:$D$27,$S$1894)-INDEX(회차설정!$C$13:$C$27,$S$1894)+1)))</f>
        <v/>
      </c>
      <c r="F1904" s="46">
        <f>IF(OR($S$1894="",$D1904=0,$D1904="",$E1904=""),"",$E1904/$D1904*100)</f>
        <v/>
      </c>
      <c r="G1904" s="8" t="n"/>
      <c r="H1904" s="47">
        <f>IF($F1904="","",REPT("■",ROUND($F1904/5,0)))</f>
        <v/>
      </c>
      <c r="I1904" s="7" t="n"/>
      <c r="J1904" s="7" t="n"/>
      <c r="K1904" s="7" t="n"/>
      <c r="L1904" s="7" t="n"/>
      <c r="M1904" s="7" t="n"/>
      <c r="N1904" s="7" t="n"/>
      <c r="O1904" s="7" t="n"/>
      <c r="P1904" s="8" t="n"/>
    </row>
    <row r="1905">
      <c r="A1905" s="14">
        <f>IF($S$1895="","",INDEX(회차설정!$A$13:$A$27,$S$1895))</f>
        <v/>
      </c>
      <c r="B1905" s="14">
        <f>IF($S$1895="","",INDEX(회차설정!$B$13:$B$27,$S$1895))</f>
        <v/>
      </c>
      <c r="C1905" s="8" t="n"/>
      <c r="D1905" s="14">
        <f>IF($S$1895="","",IF($R$1890="언어와 매체",SUMPRODUCT((자동계산!$A$4:$A$48&gt;=INDEX(회차설정!$C$13:$C$27,$S$1895))*(자동계산!$A$4:$A$48&lt;=INDEX(회차설정!$D$13:$D$27,$S$1895))*자동계산!$E$4:$E$48),SUMPRODUCT((자동계산!$A$4:$A$48&gt;=INDEX(회차설정!$C$13:$C$27,$S$1895))*(자동계산!$A$4:$A$48&lt;=INDEX(회차설정!$D$13:$D$27,$S$1895))*자동계산!$C$4:$C$48)))</f>
        <v/>
      </c>
      <c r="E1905" s="14">
        <f>IF(OR($S$1895="",$R$1889=""),"",SUM(OFFSET(전체채점!$AW$2,$R$1889,INDEX(회차설정!$C$13:$C$27,$S$1895),1,INDEX(회차설정!$D$13:$D$27,$S$1895)-INDEX(회차설정!$C$13:$C$27,$S$1895)+1)))</f>
        <v/>
      </c>
      <c r="F1905" s="46">
        <f>IF(OR($S$1895="",$D1905=0,$D1905="",$E1905=""),"",$E1905/$D1905*100)</f>
        <v/>
      </c>
      <c r="G1905" s="8" t="n"/>
      <c r="H1905" s="47">
        <f>IF($F1905="","",REPT("■",ROUND($F1905/5,0)))</f>
        <v/>
      </c>
      <c r="I1905" s="7" t="n"/>
      <c r="J1905" s="7" t="n"/>
      <c r="K1905" s="7" t="n"/>
      <c r="L1905" s="7" t="n"/>
      <c r="M1905" s="7" t="n"/>
      <c r="N1905" s="7" t="n"/>
      <c r="O1905" s="7" t="n"/>
      <c r="P1905" s="8" t="n"/>
    </row>
    <row r="1906">
      <c r="A1906" s="14">
        <f>IF($S$1896="","",INDEX(회차설정!$A$13:$A$27,$S$1896))</f>
        <v/>
      </c>
      <c r="B1906" s="14">
        <f>IF($S$1896="","",INDEX(회차설정!$B$13:$B$27,$S$1896))</f>
        <v/>
      </c>
      <c r="C1906" s="8" t="n"/>
      <c r="D1906" s="14">
        <f>IF($S$1896="","",IF($R$1890="언어와 매체",SUMPRODUCT((자동계산!$A$4:$A$48&gt;=INDEX(회차설정!$C$13:$C$27,$S$1896))*(자동계산!$A$4:$A$48&lt;=INDEX(회차설정!$D$13:$D$27,$S$1896))*자동계산!$E$4:$E$48),SUMPRODUCT((자동계산!$A$4:$A$48&gt;=INDEX(회차설정!$C$13:$C$27,$S$1896))*(자동계산!$A$4:$A$48&lt;=INDEX(회차설정!$D$13:$D$27,$S$1896))*자동계산!$C$4:$C$48)))</f>
        <v/>
      </c>
      <c r="E1906" s="14">
        <f>IF(OR($S$1896="",$R$1889=""),"",SUM(OFFSET(전체채점!$AW$2,$R$1889,INDEX(회차설정!$C$13:$C$27,$S$1896),1,INDEX(회차설정!$D$13:$D$27,$S$1896)-INDEX(회차설정!$C$13:$C$27,$S$1896)+1)))</f>
        <v/>
      </c>
      <c r="F1906" s="46">
        <f>IF(OR($S$1896="",$D1906=0,$D1906="",$E1906=""),"",$E1906/$D1906*100)</f>
        <v/>
      </c>
      <c r="G1906" s="8" t="n"/>
      <c r="H1906" s="47">
        <f>IF($F1906="","",REPT("■",ROUND($F1906/5,0)))</f>
        <v/>
      </c>
      <c r="I1906" s="7" t="n"/>
      <c r="J1906" s="7" t="n"/>
      <c r="K1906" s="7" t="n"/>
      <c r="L1906" s="7" t="n"/>
      <c r="M1906" s="7" t="n"/>
      <c r="N1906" s="7" t="n"/>
      <c r="O1906" s="7" t="n"/>
      <c r="P1906" s="8" t="n"/>
    </row>
    <row r="1907">
      <c r="A1907" s="14">
        <f>IF($S$1897="","",INDEX(회차설정!$A$13:$A$27,$S$1897))</f>
        <v/>
      </c>
      <c r="B1907" s="14">
        <f>IF($S$1897="","",INDEX(회차설정!$B$13:$B$27,$S$1897))</f>
        <v/>
      </c>
      <c r="C1907" s="8" t="n"/>
      <c r="D1907" s="14">
        <f>IF($S$1897="","",IF($R$1890="언어와 매체",SUMPRODUCT((자동계산!$A$4:$A$48&gt;=INDEX(회차설정!$C$13:$C$27,$S$1897))*(자동계산!$A$4:$A$48&lt;=INDEX(회차설정!$D$13:$D$27,$S$1897))*자동계산!$E$4:$E$48),SUMPRODUCT((자동계산!$A$4:$A$48&gt;=INDEX(회차설정!$C$13:$C$27,$S$1897))*(자동계산!$A$4:$A$48&lt;=INDEX(회차설정!$D$13:$D$27,$S$1897))*자동계산!$C$4:$C$48)))</f>
        <v/>
      </c>
      <c r="E1907" s="14">
        <f>IF(OR($S$1897="",$R$1889=""),"",SUM(OFFSET(전체채점!$AW$2,$R$1889,INDEX(회차설정!$C$13:$C$27,$S$1897),1,INDEX(회차설정!$D$13:$D$27,$S$1897)-INDEX(회차설정!$C$13:$C$27,$S$1897)+1)))</f>
        <v/>
      </c>
      <c r="F1907" s="46">
        <f>IF(OR($S$1897="",$D1907=0,$D1907="",$E1907=""),"",$E1907/$D1907*100)</f>
        <v/>
      </c>
      <c r="G1907" s="8" t="n"/>
      <c r="H1907" s="47">
        <f>IF($F1907="","",REPT("■",ROUND($F1907/5,0)))</f>
        <v/>
      </c>
      <c r="I1907" s="7" t="n"/>
      <c r="J1907" s="7" t="n"/>
      <c r="K1907" s="7" t="n"/>
      <c r="L1907" s="7" t="n"/>
      <c r="M1907" s="7" t="n"/>
      <c r="N1907" s="7" t="n"/>
      <c r="O1907" s="7" t="n"/>
      <c r="P1907" s="8" t="n"/>
    </row>
    <row r="1908">
      <c r="A1908" s="14">
        <f>IF($S$1898="","",INDEX(회차설정!$A$13:$A$27,$S$1898))</f>
        <v/>
      </c>
      <c r="B1908" s="14">
        <f>IF($S$1898="","",INDEX(회차설정!$B$13:$B$27,$S$1898))</f>
        <v/>
      </c>
      <c r="C1908" s="8" t="n"/>
      <c r="D1908" s="14">
        <f>IF($S$1898="","",IF($R$1890="언어와 매체",SUMPRODUCT((자동계산!$A$4:$A$48&gt;=INDEX(회차설정!$C$13:$C$27,$S$1898))*(자동계산!$A$4:$A$48&lt;=INDEX(회차설정!$D$13:$D$27,$S$1898))*자동계산!$E$4:$E$48),SUMPRODUCT((자동계산!$A$4:$A$48&gt;=INDEX(회차설정!$C$13:$C$27,$S$1898))*(자동계산!$A$4:$A$48&lt;=INDEX(회차설정!$D$13:$D$27,$S$1898))*자동계산!$C$4:$C$48)))</f>
        <v/>
      </c>
      <c r="E1908" s="14">
        <f>IF(OR($S$1898="",$R$1889=""),"",SUM(OFFSET(전체채점!$AW$2,$R$1889,INDEX(회차설정!$C$13:$C$27,$S$1898),1,INDEX(회차설정!$D$13:$D$27,$S$1898)-INDEX(회차설정!$C$13:$C$27,$S$1898)+1)))</f>
        <v/>
      </c>
      <c r="F1908" s="46">
        <f>IF(OR($S$1898="",$D1908=0,$D1908="",$E1908=""),"",$E1908/$D1908*100)</f>
        <v/>
      </c>
      <c r="G1908" s="8" t="n"/>
      <c r="H1908" s="47">
        <f>IF($F1908="","",REPT("■",ROUND($F1908/5,0)))</f>
        <v/>
      </c>
      <c r="I1908" s="7" t="n"/>
      <c r="J1908" s="7" t="n"/>
      <c r="K1908" s="7" t="n"/>
      <c r="L1908" s="7" t="n"/>
      <c r="M1908" s="7" t="n"/>
      <c r="N1908" s="7" t="n"/>
      <c r="O1908" s="7" t="n"/>
      <c r="P1908" s="8" t="n"/>
    </row>
    <row r="1909">
      <c r="A1909" s="14">
        <f>IF($S$1899="","",INDEX(회차설정!$A$13:$A$27,$S$1899))</f>
        <v/>
      </c>
      <c r="B1909" s="14">
        <f>IF($S$1899="","",INDEX(회차설정!$B$13:$B$27,$S$1899))</f>
        <v/>
      </c>
      <c r="C1909" s="8" t="n"/>
      <c r="D1909" s="14">
        <f>IF($S$1899="","",IF($R$1890="언어와 매체",SUMPRODUCT((자동계산!$A$4:$A$48&gt;=INDEX(회차설정!$C$13:$C$27,$S$1899))*(자동계산!$A$4:$A$48&lt;=INDEX(회차설정!$D$13:$D$27,$S$1899))*자동계산!$E$4:$E$48),SUMPRODUCT((자동계산!$A$4:$A$48&gt;=INDEX(회차설정!$C$13:$C$27,$S$1899))*(자동계산!$A$4:$A$48&lt;=INDEX(회차설정!$D$13:$D$27,$S$1899))*자동계산!$C$4:$C$48)))</f>
        <v/>
      </c>
      <c r="E1909" s="14">
        <f>IF(OR($S$1899="",$R$1889=""),"",SUM(OFFSET(전체채점!$AW$2,$R$1889,INDEX(회차설정!$C$13:$C$27,$S$1899),1,INDEX(회차설정!$D$13:$D$27,$S$1899)-INDEX(회차설정!$C$13:$C$27,$S$1899)+1)))</f>
        <v/>
      </c>
      <c r="F1909" s="46">
        <f>IF(OR($S$1899="",$D1909=0,$D1909="",$E1909=""),"",$E1909/$D1909*100)</f>
        <v/>
      </c>
      <c r="G1909" s="8" t="n"/>
      <c r="H1909" s="47">
        <f>IF($F1909="","",REPT("■",ROUND($F1909/5,0)))</f>
        <v/>
      </c>
      <c r="I1909" s="7" t="n"/>
      <c r="J1909" s="7" t="n"/>
      <c r="K1909" s="7" t="n"/>
      <c r="L1909" s="7" t="n"/>
      <c r="M1909" s="7" t="n"/>
      <c r="N1909" s="7" t="n"/>
      <c r="O1909" s="7" t="n"/>
      <c r="P1909" s="8" t="n"/>
    </row>
    <row r="1910">
      <c r="A1910" s="14">
        <f>IF($S$1900="","",INDEX(회차설정!$A$13:$A$27,$S$1900))</f>
        <v/>
      </c>
      <c r="B1910" s="14">
        <f>IF($S$1900="","",INDEX(회차설정!$B$13:$B$27,$S$1900))</f>
        <v/>
      </c>
      <c r="C1910" s="8" t="n"/>
      <c r="D1910" s="14">
        <f>IF($S$1900="","",IF($R$1890="언어와 매체",SUMPRODUCT((자동계산!$A$4:$A$48&gt;=INDEX(회차설정!$C$13:$C$27,$S$1900))*(자동계산!$A$4:$A$48&lt;=INDEX(회차설정!$D$13:$D$27,$S$1900))*자동계산!$E$4:$E$48),SUMPRODUCT((자동계산!$A$4:$A$48&gt;=INDEX(회차설정!$C$13:$C$27,$S$1900))*(자동계산!$A$4:$A$48&lt;=INDEX(회차설정!$D$13:$D$27,$S$1900))*자동계산!$C$4:$C$48)))</f>
        <v/>
      </c>
      <c r="E1910" s="14">
        <f>IF(OR($S$1900="",$R$1889=""),"",SUM(OFFSET(전체채점!$AW$2,$R$1889,INDEX(회차설정!$C$13:$C$27,$S$1900),1,INDEX(회차설정!$D$13:$D$27,$S$1900)-INDEX(회차설정!$C$13:$C$27,$S$1900)+1)))</f>
        <v/>
      </c>
      <c r="F1910" s="46">
        <f>IF(OR($S$1900="",$D1910=0,$D1910="",$E1910=""),"",$E1910/$D1910*100)</f>
        <v/>
      </c>
      <c r="G1910" s="8" t="n"/>
      <c r="H1910" s="47">
        <f>IF($F1910="","",REPT("■",ROUND($F1910/5,0)))</f>
        <v/>
      </c>
      <c r="I1910" s="7" t="n"/>
      <c r="J1910" s="7" t="n"/>
      <c r="K1910" s="7" t="n"/>
      <c r="L1910" s="7" t="n"/>
      <c r="M1910" s="7" t="n"/>
      <c r="N1910" s="7" t="n"/>
      <c r="O1910" s="7" t="n"/>
      <c r="P1910" s="8" t="n"/>
    </row>
    <row r="1911">
      <c r="A1911" s="5">
        <f>IF($R$1889="","","합계")</f>
        <v/>
      </c>
      <c r="B1911" s="7" t="n"/>
      <c r="C1911" s="8" t="n"/>
      <c r="D1911" s="5">
        <f>IF($R$1889="","",SUM(D1899:D1910))</f>
        <v/>
      </c>
      <c r="E1911" s="5">
        <f>IF($R$1889="","",SUM(E1899:E1910))</f>
        <v/>
      </c>
      <c r="F1911" s="48">
        <f>IF(OR($D1911=0,$D1911=""),"",$E1911/$D1911*100)</f>
        <v/>
      </c>
      <c r="G1911" s="8" t="n"/>
      <c r="H1911" s="49">
        <f>IF($F1911="","",REPT("■",ROUND($F1911/5,0)))</f>
        <v/>
      </c>
      <c r="I1911" s="7" t="n"/>
      <c r="J1911" s="7" t="n"/>
      <c r="K1911" s="7" t="n"/>
      <c r="L1911" s="7" t="n"/>
      <c r="M1911" s="7" t="n"/>
      <c r="N1911" s="7" t="n"/>
      <c r="O1911" s="7" t="n"/>
      <c r="P1911" s="8" t="n"/>
    </row>
    <row r="1913">
      <c r="A1913" s="12" t="inlineStr">
        <is>
          <t>4. 문항 채점표</t>
        </is>
      </c>
    </row>
    <row r="1914">
      <c r="A1914" s="50" t="inlineStr">
        <is>
          <t>문항 번호</t>
        </is>
      </c>
      <c r="B1914" s="51" t="n">
        <v>1</v>
      </c>
      <c r="C1914" s="51" t="n">
        <v>2</v>
      </c>
      <c r="D1914" s="51" t="n">
        <v>3</v>
      </c>
      <c r="E1914" s="51" t="n">
        <v>4</v>
      </c>
      <c r="F1914" s="51" t="n">
        <v>5</v>
      </c>
      <c r="G1914" s="51" t="n">
        <v>6</v>
      </c>
      <c r="H1914" s="51" t="n">
        <v>7</v>
      </c>
      <c r="I1914" s="51" t="n">
        <v>8</v>
      </c>
      <c r="J1914" s="51" t="n">
        <v>9</v>
      </c>
      <c r="K1914" s="51" t="n">
        <v>10</v>
      </c>
      <c r="L1914" s="51" t="n">
        <v>11</v>
      </c>
      <c r="M1914" s="51" t="n">
        <v>12</v>
      </c>
      <c r="N1914" s="51" t="n">
        <v>13</v>
      </c>
      <c r="O1914" s="51" t="n">
        <v>14</v>
      </c>
      <c r="P1914" s="51" t="n">
        <v>15</v>
      </c>
    </row>
    <row r="1915">
      <c r="A1915" s="52" t="inlineStr">
        <is>
          <t>정답</t>
        </is>
      </c>
      <c r="B1915" s="33">
        <f>IF($R$1890="","",IF($R$1890="언어와 매체",자동계산!$D$4,자동계산!$B$4))</f>
        <v/>
      </c>
      <c r="C1915" s="33">
        <f>IF($R$1890="","",IF($R$1890="언어와 매체",자동계산!$D$5,자동계산!$B$5))</f>
        <v/>
      </c>
      <c r="D1915" s="33">
        <f>IF($R$1890="","",IF($R$1890="언어와 매체",자동계산!$D$6,자동계산!$B$6))</f>
        <v/>
      </c>
      <c r="E1915" s="33">
        <f>IF($R$1890="","",IF($R$1890="언어와 매체",자동계산!$D$7,자동계산!$B$7))</f>
        <v/>
      </c>
      <c r="F1915" s="33">
        <f>IF($R$1890="","",IF($R$1890="언어와 매체",자동계산!$D$8,자동계산!$B$8))</f>
        <v/>
      </c>
      <c r="G1915" s="33">
        <f>IF($R$1890="","",IF($R$1890="언어와 매체",자동계산!$D$9,자동계산!$B$9))</f>
        <v/>
      </c>
      <c r="H1915" s="33">
        <f>IF($R$1890="","",IF($R$1890="언어와 매체",자동계산!$D$10,자동계산!$B$10))</f>
        <v/>
      </c>
      <c r="I1915" s="33">
        <f>IF($R$1890="","",IF($R$1890="언어와 매체",자동계산!$D$11,자동계산!$B$11))</f>
        <v/>
      </c>
      <c r="J1915" s="33">
        <f>IF($R$1890="","",IF($R$1890="언어와 매체",자동계산!$D$12,자동계산!$B$12))</f>
        <v/>
      </c>
      <c r="K1915" s="33">
        <f>IF($R$1890="","",IF($R$1890="언어와 매체",자동계산!$D$13,자동계산!$B$13))</f>
        <v/>
      </c>
      <c r="L1915" s="33">
        <f>IF($R$1890="","",IF($R$1890="언어와 매체",자동계산!$D$14,자동계산!$B$14))</f>
        <v/>
      </c>
      <c r="M1915" s="33">
        <f>IF($R$1890="","",IF($R$1890="언어와 매체",자동계산!$D$15,자동계산!$B$15))</f>
        <v/>
      </c>
      <c r="N1915" s="33">
        <f>IF($R$1890="","",IF($R$1890="언어와 매체",자동계산!$D$16,자동계산!$B$16))</f>
        <v/>
      </c>
      <c r="O1915" s="33">
        <f>IF($R$1890="","",IF($R$1890="언어와 매체",자동계산!$D$17,자동계산!$B$17))</f>
        <v/>
      </c>
      <c r="P1915" s="33">
        <f>IF($R$1890="","",IF($R$1890="언어와 매체",자동계산!$D$18,자동계산!$B$18))</f>
        <v/>
      </c>
    </row>
    <row r="1916">
      <c r="A1916" s="52" t="inlineStr">
        <is>
          <t>학생답안</t>
        </is>
      </c>
      <c r="B1916" s="33">
        <f>IF($R$1889="","",INDEX(전체채점!E$3:E$62,$R$1889))</f>
        <v/>
      </c>
      <c r="C1916" s="33">
        <f>IF($R$1889="","",INDEX(전체채점!F$3:F$62,$R$1889))</f>
        <v/>
      </c>
      <c r="D1916" s="33">
        <f>IF($R$1889="","",INDEX(전체채점!G$3:G$62,$R$1889))</f>
        <v/>
      </c>
      <c r="E1916" s="33">
        <f>IF($R$1889="","",INDEX(전체채점!H$3:H$62,$R$1889))</f>
        <v/>
      </c>
      <c r="F1916" s="33">
        <f>IF($R$1889="","",INDEX(전체채점!I$3:I$62,$R$1889))</f>
        <v/>
      </c>
      <c r="G1916" s="33">
        <f>IF($R$1889="","",INDEX(전체채점!J$3:J$62,$R$1889))</f>
        <v/>
      </c>
      <c r="H1916" s="33">
        <f>IF($R$1889="","",INDEX(전체채점!K$3:K$62,$R$1889))</f>
        <v/>
      </c>
      <c r="I1916" s="33">
        <f>IF($R$1889="","",INDEX(전체채점!L$3:L$62,$R$1889))</f>
        <v/>
      </c>
      <c r="J1916" s="33">
        <f>IF($R$1889="","",INDEX(전체채점!M$3:M$62,$R$1889))</f>
        <v/>
      </c>
      <c r="K1916" s="33">
        <f>IF($R$1889="","",INDEX(전체채점!N$3:N$62,$R$1889))</f>
        <v/>
      </c>
      <c r="L1916" s="33">
        <f>IF($R$1889="","",INDEX(전체채점!O$3:O$62,$R$1889))</f>
        <v/>
      </c>
      <c r="M1916" s="33">
        <f>IF($R$1889="","",INDEX(전체채점!P$3:P$62,$R$1889))</f>
        <v/>
      </c>
      <c r="N1916" s="33">
        <f>IF($R$1889="","",INDEX(전체채점!Q$3:Q$62,$R$1889))</f>
        <v/>
      </c>
      <c r="O1916" s="33">
        <f>IF($R$1889="","",INDEX(전체채점!R$3:R$62,$R$1889))</f>
        <v/>
      </c>
      <c r="P1916" s="33">
        <f>IF($R$1889="","",INDEX(전체채점!S$3:S$62,$R$1889))</f>
        <v/>
      </c>
    </row>
    <row r="1917">
      <c r="A1917" s="52" t="inlineStr">
        <is>
          <t>정오</t>
        </is>
      </c>
      <c r="B1917" s="33">
        <f>IF($R$1889="","",INDEX(전체채점!AX$3:AX$62,$R$1889))</f>
        <v/>
      </c>
      <c r="C1917" s="33">
        <f>IF($R$1889="","",INDEX(전체채점!AY$3:AY$62,$R$1889))</f>
        <v/>
      </c>
      <c r="D1917" s="33">
        <f>IF($R$1889="","",INDEX(전체채점!AZ$3:AZ$62,$R$1889))</f>
        <v/>
      </c>
      <c r="E1917" s="33">
        <f>IF($R$1889="","",INDEX(전체채점!BA$3:BA$62,$R$1889))</f>
        <v/>
      </c>
      <c r="F1917" s="33">
        <f>IF($R$1889="","",INDEX(전체채점!BB$3:BB$62,$R$1889))</f>
        <v/>
      </c>
      <c r="G1917" s="33">
        <f>IF($R$1889="","",INDEX(전체채점!BC$3:BC$62,$R$1889))</f>
        <v/>
      </c>
      <c r="H1917" s="33">
        <f>IF($R$1889="","",INDEX(전체채점!BD$3:BD$62,$R$1889))</f>
        <v/>
      </c>
      <c r="I1917" s="33">
        <f>IF($R$1889="","",INDEX(전체채점!BE$3:BE$62,$R$1889))</f>
        <v/>
      </c>
      <c r="J1917" s="33">
        <f>IF($R$1889="","",INDEX(전체채점!BF$3:BF$62,$R$1889))</f>
        <v/>
      </c>
      <c r="K1917" s="33">
        <f>IF($R$1889="","",INDEX(전체채점!BG$3:BG$62,$R$1889))</f>
        <v/>
      </c>
      <c r="L1917" s="33">
        <f>IF($R$1889="","",INDEX(전체채점!BH$3:BH$62,$R$1889))</f>
        <v/>
      </c>
      <c r="M1917" s="33">
        <f>IF($R$1889="","",INDEX(전체채점!BI$3:BI$62,$R$1889))</f>
        <v/>
      </c>
      <c r="N1917" s="33">
        <f>IF($R$1889="","",INDEX(전체채점!BJ$3:BJ$62,$R$1889))</f>
        <v/>
      </c>
      <c r="O1917" s="33">
        <f>IF($R$1889="","",INDEX(전체채점!BK$3:BK$62,$R$1889))</f>
        <v/>
      </c>
      <c r="P1917" s="33">
        <f>IF($R$1889="","",INDEX(전체채점!BL$3:BL$62,$R$1889))</f>
        <v/>
      </c>
    </row>
    <row r="1918">
      <c r="A1918" s="50" t="inlineStr">
        <is>
          <t>문항 번호</t>
        </is>
      </c>
      <c r="B1918" s="51" t="n">
        <v>16</v>
      </c>
      <c r="C1918" s="51" t="n">
        <v>17</v>
      </c>
      <c r="D1918" s="51" t="n">
        <v>18</v>
      </c>
      <c r="E1918" s="51" t="n">
        <v>19</v>
      </c>
      <c r="F1918" s="51" t="n">
        <v>20</v>
      </c>
      <c r="G1918" s="51" t="n">
        <v>21</v>
      </c>
      <c r="H1918" s="51" t="n">
        <v>22</v>
      </c>
      <c r="I1918" s="51" t="n">
        <v>23</v>
      </c>
      <c r="J1918" s="51" t="n">
        <v>24</v>
      </c>
      <c r="K1918" s="51" t="n">
        <v>25</v>
      </c>
      <c r="L1918" s="51" t="n">
        <v>26</v>
      </c>
      <c r="M1918" s="51" t="n">
        <v>27</v>
      </c>
      <c r="N1918" s="51" t="n">
        <v>28</v>
      </c>
      <c r="O1918" s="51" t="n">
        <v>29</v>
      </c>
      <c r="P1918" s="51" t="n">
        <v>30</v>
      </c>
    </row>
    <row r="1919">
      <c r="A1919" s="52" t="inlineStr">
        <is>
          <t>정답</t>
        </is>
      </c>
      <c r="B1919" s="33">
        <f>IF($R$1890="","",IF($R$1890="언어와 매체",자동계산!$D$19,자동계산!$B$19))</f>
        <v/>
      </c>
      <c r="C1919" s="33">
        <f>IF($R$1890="","",IF($R$1890="언어와 매체",자동계산!$D$20,자동계산!$B$20))</f>
        <v/>
      </c>
      <c r="D1919" s="33">
        <f>IF($R$1890="","",IF($R$1890="언어와 매체",자동계산!$D$21,자동계산!$B$21))</f>
        <v/>
      </c>
      <c r="E1919" s="33">
        <f>IF($R$1890="","",IF($R$1890="언어와 매체",자동계산!$D$22,자동계산!$B$22))</f>
        <v/>
      </c>
      <c r="F1919" s="33">
        <f>IF($R$1890="","",IF($R$1890="언어와 매체",자동계산!$D$23,자동계산!$B$23))</f>
        <v/>
      </c>
      <c r="G1919" s="33">
        <f>IF($R$1890="","",IF($R$1890="언어와 매체",자동계산!$D$24,자동계산!$B$24))</f>
        <v/>
      </c>
      <c r="H1919" s="33">
        <f>IF($R$1890="","",IF($R$1890="언어와 매체",자동계산!$D$25,자동계산!$B$25))</f>
        <v/>
      </c>
      <c r="I1919" s="33">
        <f>IF($R$1890="","",IF($R$1890="언어와 매체",자동계산!$D$26,자동계산!$B$26))</f>
        <v/>
      </c>
      <c r="J1919" s="33">
        <f>IF($R$1890="","",IF($R$1890="언어와 매체",자동계산!$D$27,자동계산!$B$27))</f>
        <v/>
      </c>
      <c r="K1919" s="33">
        <f>IF($R$1890="","",IF($R$1890="언어와 매체",자동계산!$D$28,자동계산!$B$28))</f>
        <v/>
      </c>
      <c r="L1919" s="33">
        <f>IF($R$1890="","",IF($R$1890="언어와 매체",자동계산!$D$29,자동계산!$B$29))</f>
        <v/>
      </c>
      <c r="M1919" s="33">
        <f>IF($R$1890="","",IF($R$1890="언어와 매체",자동계산!$D$30,자동계산!$B$30))</f>
        <v/>
      </c>
      <c r="N1919" s="33">
        <f>IF($R$1890="","",IF($R$1890="언어와 매체",자동계산!$D$31,자동계산!$B$31))</f>
        <v/>
      </c>
      <c r="O1919" s="33">
        <f>IF($R$1890="","",IF($R$1890="언어와 매체",자동계산!$D$32,자동계산!$B$32))</f>
        <v/>
      </c>
      <c r="P1919" s="33">
        <f>IF($R$1890="","",IF($R$1890="언어와 매체",자동계산!$D$33,자동계산!$B$33))</f>
        <v/>
      </c>
    </row>
    <row r="1920">
      <c r="A1920" s="52" t="inlineStr">
        <is>
          <t>학생답안</t>
        </is>
      </c>
      <c r="B1920" s="33">
        <f>IF($R$1889="","",INDEX(전체채점!T$3:T$62,$R$1889))</f>
        <v/>
      </c>
      <c r="C1920" s="33">
        <f>IF($R$1889="","",INDEX(전체채점!U$3:U$62,$R$1889))</f>
        <v/>
      </c>
      <c r="D1920" s="33">
        <f>IF($R$1889="","",INDEX(전체채점!V$3:V$62,$R$1889))</f>
        <v/>
      </c>
      <c r="E1920" s="33">
        <f>IF($R$1889="","",INDEX(전체채점!W$3:W$62,$R$1889))</f>
        <v/>
      </c>
      <c r="F1920" s="33">
        <f>IF($R$1889="","",INDEX(전체채점!X$3:X$62,$R$1889))</f>
        <v/>
      </c>
      <c r="G1920" s="33">
        <f>IF($R$1889="","",INDEX(전체채점!Y$3:Y$62,$R$1889))</f>
        <v/>
      </c>
      <c r="H1920" s="33">
        <f>IF($R$1889="","",INDEX(전체채점!Z$3:Z$62,$R$1889))</f>
        <v/>
      </c>
      <c r="I1920" s="33">
        <f>IF($R$1889="","",INDEX(전체채점!AA$3:AA$62,$R$1889))</f>
        <v/>
      </c>
      <c r="J1920" s="33">
        <f>IF($R$1889="","",INDEX(전체채점!AB$3:AB$62,$R$1889))</f>
        <v/>
      </c>
      <c r="K1920" s="33">
        <f>IF($R$1889="","",INDEX(전체채점!AC$3:AC$62,$R$1889))</f>
        <v/>
      </c>
      <c r="L1920" s="33">
        <f>IF($R$1889="","",INDEX(전체채점!AD$3:AD$62,$R$1889))</f>
        <v/>
      </c>
      <c r="M1920" s="33">
        <f>IF($R$1889="","",INDEX(전체채점!AE$3:AE$62,$R$1889))</f>
        <v/>
      </c>
      <c r="N1920" s="33">
        <f>IF($R$1889="","",INDEX(전체채점!AF$3:AF$62,$R$1889))</f>
        <v/>
      </c>
      <c r="O1920" s="33">
        <f>IF($R$1889="","",INDEX(전체채점!AG$3:AG$62,$R$1889))</f>
        <v/>
      </c>
      <c r="P1920" s="33">
        <f>IF($R$1889="","",INDEX(전체채점!AH$3:AH$62,$R$1889))</f>
        <v/>
      </c>
    </row>
    <row r="1921">
      <c r="A1921" s="52" t="inlineStr">
        <is>
          <t>정오</t>
        </is>
      </c>
      <c r="B1921" s="33">
        <f>IF($R$1889="","",INDEX(전체채점!BM$3:BM$62,$R$1889))</f>
        <v/>
      </c>
      <c r="C1921" s="33">
        <f>IF($R$1889="","",INDEX(전체채점!BN$3:BN$62,$R$1889))</f>
        <v/>
      </c>
      <c r="D1921" s="33">
        <f>IF($R$1889="","",INDEX(전체채점!BO$3:BO$62,$R$1889))</f>
        <v/>
      </c>
      <c r="E1921" s="33">
        <f>IF($R$1889="","",INDEX(전체채점!BP$3:BP$62,$R$1889))</f>
        <v/>
      </c>
      <c r="F1921" s="33">
        <f>IF($R$1889="","",INDEX(전체채점!BQ$3:BQ$62,$R$1889))</f>
        <v/>
      </c>
      <c r="G1921" s="33">
        <f>IF($R$1889="","",INDEX(전체채점!BR$3:BR$62,$R$1889))</f>
        <v/>
      </c>
      <c r="H1921" s="33">
        <f>IF($R$1889="","",INDEX(전체채점!BS$3:BS$62,$R$1889))</f>
        <v/>
      </c>
      <c r="I1921" s="33">
        <f>IF($R$1889="","",INDEX(전체채점!BT$3:BT$62,$R$1889))</f>
        <v/>
      </c>
      <c r="J1921" s="33">
        <f>IF($R$1889="","",INDEX(전체채점!BU$3:BU$62,$R$1889))</f>
        <v/>
      </c>
      <c r="K1921" s="33">
        <f>IF($R$1889="","",INDEX(전체채점!BV$3:BV$62,$R$1889))</f>
        <v/>
      </c>
      <c r="L1921" s="33">
        <f>IF($R$1889="","",INDEX(전체채점!BW$3:BW$62,$R$1889))</f>
        <v/>
      </c>
      <c r="M1921" s="33">
        <f>IF($R$1889="","",INDEX(전체채점!BX$3:BX$62,$R$1889))</f>
        <v/>
      </c>
      <c r="N1921" s="33">
        <f>IF($R$1889="","",INDEX(전체채점!BY$3:BY$62,$R$1889))</f>
        <v/>
      </c>
      <c r="O1921" s="33">
        <f>IF($R$1889="","",INDEX(전체채점!BZ$3:BZ$62,$R$1889))</f>
        <v/>
      </c>
      <c r="P1921" s="33">
        <f>IF($R$1889="","",INDEX(전체채점!CA$3:CA$62,$R$1889))</f>
        <v/>
      </c>
    </row>
    <row r="1922">
      <c r="A1922" s="50" t="inlineStr">
        <is>
          <t>문항 번호</t>
        </is>
      </c>
      <c r="B1922" s="51" t="n">
        <v>31</v>
      </c>
      <c r="C1922" s="51" t="n">
        <v>32</v>
      </c>
      <c r="D1922" s="51" t="n">
        <v>33</v>
      </c>
      <c r="E1922" s="51" t="n">
        <v>34</v>
      </c>
      <c r="F1922" s="51" t="n">
        <v>35</v>
      </c>
      <c r="G1922" s="51" t="n">
        <v>36</v>
      </c>
      <c r="H1922" s="51" t="n">
        <v>37</v>
      </c>
      <c r="I1922" s="51" t="n">
        <v>38</v>
      </c>
      <c r="J1922" s="51" t="n">
        <v>39</v>
      </c>
      <c r="K1922" s="51" t="n">
        <v>40</v>
      </c>
      <c r="L1922" s="51" t="n">
        <v>41</v>
      </c>
      <c r="M1922" s="51" t="n">
        <v>42</v>
      </c>
      <c r="N1922" s="51" t="n">
        <v>43</v>
      </c>
      <c r="O1922" s="51" t="n">
        <v>44</v>
      </c>
      <c r="P1922" s="51" t="n">
        <v>45</v>
      </c>
    </row>
    <row r="1923">
      <c r="A1923" s="52" t="inlineStr">
        <is>
          <t>정답</t>
        </is>
      </c>
      <c r="B1923" s="33">
        <f>IF($R$1890="","",IF($R$1890="언어와 매체",자동계산!$D$34,자동계산!$B$34))</f>
        <v/>
      </c>
      <c r="C1923" s="33">
        <f>IF($R$1890="","",IF($R$1890="언어와 매체",자동계산!$D$35,자동계산!$B$35))</f>
        <v/>
      </c>
      <c r="D1923" s="33">
        <f>IF($R$1890="","",IF($R$1890="언어와 매체",자동계산!$D$36,자동계산!$B$36))</f>
        <v/>
      </c>
      <c r="E1923" s="33">
        <f>IF($R$1890="","",IF($R$1890="언어와 매체",자동계산!$D$37,자동계산!$B$37))</f>
        <v/>
      </c>
      <c r="F1923" s="33">
        <f>IF($R$1890="","",IF($R$1890="언어와 매체",자동계산!$D$38,자동계산!$B$38))</f>
        <v/>
      </c>
      <c r="G1923" s="33">
        <f>IF($R$1890="","",IF($R$1890="언어와 매체",자동계산!$D$39,자동계산!$B$39))</f>
        <v/>
      </c>
      <c r="H1923" s="33">
        <f>IF($R$1890="","",IF($R$1890="언어와 매체",자동계산!$D$40,자동계산!$B$40))</f>
        <v/>
      </c>
      <c r="I1923" s="33">
        <f>IF($R$1890="","",IF($R$1890="언어와 매체",자동계산!$D$41,자동계산!$B$41))</f>
        <v/>
      </c>
      <c r="J1923" s="33">
        <f>IF($R$1890="","",IF($R$1890="언어와 매체",자동계산!$D$42,자동계산!$B$42))</f>
        <v/>
      </c>
      <c r="K1923" s="33">
        <f>IF($R$1890="","",IF($R$1890="언어와 매체",자동계산!$D$43,자동계산!$B$43))</f>
        <v/>
      </c>
      <c r="L1923" s="33">
        <f>IF($R$1890="","",IF($R$1890="언어와 매체",자동계산!$D$44,자동계산!$B$44))</f>
        <v/>
      </c>
      <c r="M1923" s="33">
        <f>IF($R$1890="","",IF($R$1890="언어와 매체",자동계산!$D$45,자동계산!$B$45))</f>
        <v/>
      </c>
      <c r="N1923" s="33">
        <f>IF($R$1890="","",IF($R$1890="언어와 매체",자동계산!$D$46,자동계산!$B$46))</f>
        <v/>
      </c>
      <c r="O1923" s="33">
        <f>IF($R$1890="","",IF($R$1890="언어와 매체",자동계산!$D$47,자동계산!$B$47))</f>
        <v/>
      </c>
      <c r="P1923" s="33">
        <f>IF($R$1890="","",IF($R$1890="언어와 매체",자동계산!$D$48,자동계산!$B$48))</f>
        <v/>
      </c>
    </row>
    <row r="1924">
      <c r="A1924" s="52" t="inlineStr">
        <is>
          <t>학생답안</t>
        </is>
      </c>
      <c r="B1924" s="33">
        <f>IF($R$1889="","",INDEX(전체채점!AI$3:AI$62,$R$1889))</f>
        <v/>
      </c>
      <c r="C1924" s="33">
        <f>IF($R$1889="","",INDEX(전체채점!AJ$3:AJ$62,$R$1889))</f>
        <v/>
      </c>
      <c r="D1924" s="33">
        <f>IF($R$1889="","",INDEX(전체채점!AK$3:AK$62,$R$1889))</f>
        <v/>
      </c>
      <c r="E1924" s="33">
        <f>IF($R$1889="","",INDEX(전체채점!AL$3:AL$62,$R$1889))</f>
        <v/>
      </c>
      <c r="F1924" s="33">
        <f>IF($R$1889="","",INDEX(전체채점!AM$3:AM$62,$R$1889))</f>
        <v/>
      </c>
      <c r="G1924" s="33">
        <f>IF($R$1889="","",INDEX(전체채점!AN$3:AN$62,$R$1889))</f>
        <v/>
      </c>
      <c r="H1924" s="33">
        <f>IF($R$1889="","",INDEX(전체채점!AO$3:AO$62,$R$1889))</f>
        <v/>
      </c>
      <c r="I1924" s="33">
        <f>IF($R$1889="","",INDEX(전체채점!AP$3:AP$62,$R$1889))</f>
        <v/>
      </c>
      <c r="J1924" s="33">
        <f>IF($R$1889="","",INDEX(전체채점!AQ$3:AQ$62,$R$1889))</f>
        <v/>
      </c>
      <c r="K1924" s="33">
        <f>IF($R$1889="","",INDEX(전체채점!AR$3:AR$62,$R$1889))</f>
        <v/>
      </c>
      <c r="L1924" s="33">
        <f>IF($R$1889="","",INDEX(전체채점!AS$3:AS$62,$R$1889))</f>
        <v/>
      </c>
      <c r="M1924" s="33">
        <f>IF($R$1889="","",INDEX(전체채점!AT$3:AT$62,$R$1889))</f>
        <v/>
      </c>
      <c r="N1924" s="33">
        <f>IF($R$1889="","",INDEX(전체채점!AU$3:AU$62,$R$1889))</f>
        <v/>
      </c>
      <c r="O1924" s="33">
        <f>IF($R$1889="","",INDEX(전체채점!AV$3:AV$62,$R$1889))</f>
        <v/>
      </c>
      <c r="P1924" s="33">
        <f>IF($R$1889="","",INDEX(전체채점!AW$3:AW$62,$R$1889))</f>
        <v/>
      </c>
    </row>
    <row r="1925">
      <c r="A1925" s="52" t="inlineStr">
        <is>
          <t>정오</t>
        </is>
      </c>
      <c r="B1925" s="33">
        <f>IF($R$1889="","",INDEX(전체채점!CB$3:CB$62,$R$1889))</f>
        <v/>
      </c>
      <c r="C1925" s="33">
        <f>IF($R$1889="","",INDEX(전체채점!CC$3:CC$62,$R$1889))</f>
        <v/>
      </c>
      <c r="D1925" s="33">
        <f>IF($R$1889="","",INDEX(전체채점!CD$3:CD$62,$R$1889))</f>
        <v/>
      </c>
      <c r="E1925" s="33">
        <f>IF($R$1889="","",INDEX(전체채점!CE$3:CE$62,$R$1889))</f>
        <v/>
      </c>
      <c r="F1925" s="33">
        <f>IF($R$1889="","",INDEX(전체채점!CF$3:CF$62,$R$1889))</f>
        <v/>
      </c>
      <c r="G1925" s="33">
        <f>IF($R$1889="","",INDEX(전체채점!CG$3:CG$62,$R$1889))</f>
        <v/>
      </c>
      <c r="H1925" s="33">
        <f>IF($R$1889="","",INDEX(전체채점!CH$3:CH$62,$R$1889))</f>
        <v/>
      </c>
      <c r="I1925" s="33">
        <f>IF($R$1889="","",INDEX(전체채점!CI$3:CI$62,$R$1889))</f>
        <v/>
      </c>
      <c r="J1925" s="33">
        <f>IF($R$1889="","",INDEX(전체채점!CJ$3:CJ$62,$R$1889))</f>
        <v/>
      </c>
      <c r="K1925" s="33">
        <f>IF($R$1889="","",INDEX(전체채점!CK$3:CK$62,$R$1889))</f>
        <v/>
      </c>
      <c r="L1925" s="33">
        <f>IF($R$1889="","",INDEX(전체채점!CL$3:CL$62,$R$1889))</f>
        <v/>
      </c>
      <c r="M1925" s="33">
        <f>IF($R$1889="","",INDEX(전체채점!CM$3:CM$62,$R$1889))</f>
        <v/>
      </c>
      <c r="N1925" s="33">
        <f>IF($R$1889="","",INDEX(전체채점!CN$3:CN$62,$R$1889))</f>
        <v/>
      </c>
      <c r="O1925" s="33">
        <f>IF($R$1889="","",INDEX(전체채점!CO$3:CO$62,$R$1889))</f>
        <v/>
      </c>
      <c r="P1925" s="33">
        <f>IF($R$1889="","",INDEX(전체채점!CP$3:CP$62,$R$1889))</f>
        <v/>
      </c>
    </row>
    <row r="1928" ht="34" customHeight="1">
      <c r="A1928" s="36">
        <f>IF($R$1930="","",회차설정!$B$2&amp;" 성적표")</f>
        <v/>
      </c>
    </row>
    <row r="1930">
      <c r="A1930" s="12" t="inlineStr">
        <is>
          <t>1. 학생정보</t>
        </is>
      </c>
      <c r="R1930" s="37">
        <f>IF(답안입력!$A$50="","",48)</f>
        <v/>
      </c>
      <c r="S1930" s="37">
        <f>IF($R$1931="","",IFERROR(IF($R$1931="언어와 매체",MATCH(1,회차설정!$G$13:$G$27,0),MATCH(1,회차설정!$F$13:$F$27,0)),""))</f>
        <v/>
      </c>
    </row>
    <row r="1931">
      <c r="A1931" s="13" t="inlineStr">
        <is>
          <t>성명</t>
        </is>
      </c>
      <c r="B1931" s="7" t="n"/>
      <c r="C1931" s="8" t="n"/>
      <c r="D1931" s="13" t="inlineStr">
        <is>
          <t>선택과목</t>
        </is>
      </c>
      <c r="E1931" s="7" t="n"/>
      <c r="F1931" s="7" t="n"/>
      <c r="G1931" s="8" t="n"/>
      <c r="H1931" s="13" t="inlineStr">
        <is>
          <t>학년</t>
        </is>
      </c>
      <c r="I1931" s="7" t="n"/>
      <c r="J1931" s="7" t="n"/>
      <c r="K1931" s="8" t="n"/>
      <c r="L1931" s="13" t="inlineStr">
        <is>
          <t>시행일</t>
        </is>
      </c>
      <c r="M1931" s="7" t="n"/>
      <c r="N1931" s="7" t="n"/>
      <c r="O1931" s="7" t="n"/>
      <c r="P1931" s="8" t="n"/>
      <c r="R1931" s="37">
        <f>IF($R$1930="","",INDEX(전체채점!$B$3:$B$62,$R$1930))</f>
        <v/>
      </c>
      <c r="S1931" s="37">
        <f>IF($R$1931="","",IFERROR(IF($R$1931="언어와 매체",MATCH(2,회차설정!$G$13:$G$27,0),MATCH(2,회차설정!$F$13:$F$27,0)),""))</f>
        <v/>
      </c>
    </row>
    <row r="1932" ht="26" customHeight="1">
      <c r="A1932" s="39">
        <f>IF($R$1930="","",INDEX(답안입력!$A$3:$A$62,$R$1930))</f>
        <v/>
      </c>
      <c r="B1932" s="7" t="n"/>
      <c r="C1932" s="8" t="n"/>
      <c r="D1932" s="39">
        <f>IF($R$1930="","",INDEX(답안입력!$C$3:$C$62,$R$1930))</f>
        <v/>
      </c>
      <c r="E1932" s="7" t="n"/>
      <c r="F1932" s="7" t="n"/>
      <c r="G1932" s="8" t="n"/>
      <c r="H1932" s="39">
        <f>IF($R$1930="","",INDEX(답안입력!$B$3:$B$62,$R$1930))</f>
        <v/>
      </c>
      <c r="I1932" s="7" t="n"/>
      <c r="J1932" s="7" t="n"/>
      <c r="K1932" s="8" t="n"/>
      <c r="L1932" s="40">
        <f>회차설정!$B$3</f>
        <v/>
      </c>
      <c r="M1932" s="7" t="n"/>
      <c r="N1932" s="7" t="n"/>
      <c r="O1932" s="7" t="n"/>
      <c r="P1932" s="8" t="n"/>
      <c r="R1932" s="37">
        <f>IF($R$1931="언어와 매체",회차설정!$B$9,회차설정!$B$8)</f>
        <v/>
      </c>
      <c r="S1932" s="37">
        <f>IF($R$1931="","",IFERROR(IF($R$1931="언어와 매체",MATCH(3,회차설정!$G$13:$G$27,0),MATCH(3,회차설정!$F$13:$F$27,0)),""))</f>
        <v/>
      </c>
    </row>
    <row r="1933">
      <c r="R1933" s="37">
        <f>IF($R$1931="언어와 매체",회차설정!$C$9,회차설정!$C$8)</f>
        <v/>
      </c>
      <c r="S1933" s="37">
        <f>IF($R$1931="","",IFERROR(IF($R$1931="언어와 매체",MATCH(4,회차설정!$G$13:$G$27,0),MATCH(4,회차설정!$F$13:$F$27,0)),""))</f>
        <v/>
      </c>
    </row>
    <row r="1934">
      <c r="A1934" s="12" t="inlineStr">
        <is>
          <t>2. 성적</t>
        </is>
      </c>
      <c r="R1934" s="37">
        <f>IF($R$1931="언어와 매체",회차설정!$D$9,회차설정!$D$8)</f>
        <v/>
      </c>
      <c r="S1934" s="37">
        <f>IF($R$1931="","",IFERROR(IF($R$1931="언어와 매체",MATCH(5,회차설정!$G$13:$G$27,0),MATCH(5,회차설정!$F$13:$F$27,0)),""))</f>
        <v/>
      </c>
    </row>
    <row r="1935">
      <c r="A1935" s="13" t="inlineStr">
        <is>
          <t>점수 (100점 만점)</t>
        </is>
      </c>
      <c r="B1935" s="7" t="n"/>
      <c r="C1935" s="7" t="n"/>
      <c r="D1935" s="7" t="n"/>
      <c r="E1935" s="8" t="n"/>
      <c r="F1935" s="13" t="inlineStr">
        <is>
          <t>등급</t>
        </is>
      </c>
      <c r="G1935" s="7" t="n"/>
      <c r="H1935" s="8" t="n"/>
      <c r="I1935" s="13" t="inlineStr">
        <is>
          <t>등급컷</t>
        </is>
      </c>
      <c r="J1935" s="7" t="n"/>
      <c r="K1935" s="7" t="n"/>
      <c r="L1935" s="8" t="n"/>
      <c r="M1935" s="13" t="inlineStr">
        <is>
          <t>같은 선택과목 평균</t>
        </is>
      </c>
      <c r="N1935" s="7" t="n"/>
      <c r="O1935" s="7" t="n"/>
      <c r="P1935" s="8" t="n"/>
      <c r="R1935" s="37">
        <f>IF($R$1931="언어와 매체",회차설정!$E$9,회차설정!$E$8)</f>
        <v/>
      </c>
      <c r="S1935" s="37">
        <f>IF($R$1931="","",IFERROR(IF($R$1931="언어와 매체",MATCH(6,회차설정!$G$13:$G$27,0),MATCH(6,회차설정!$F$13:$F$27,0)),""))</f>
        <v/>
      </c>
    </row>
    <row r="1936" ht="34" customHeight="1">
      <c r="A1936" s="41">
        <f>IF($R$1930="","",INDEX(전체채점!$C$3:$C$62,$R$1930))</f>
        <v/>
      </c>
      <c r="B1936" s="7" t="n"/>
      <c r="C1936" s="7" t="n"/>
      <c r="D1936" s="7" t="n"/>
      <c r="E1936" s="8" t="n"/>
      <c r="F1936" s="42">
        <f>IF($R$1930="","",INDEX(전체채점!$D$3:$D$62,$R$1930))</f>
        <v/>
      </c>
      <c r="G1936" s="7" t="n"/>
      <c r="H1936" s="8" t="n"/>
      <c r="I1936" s="43">
        <f>IF($R$1930="","",$R$1932&amp;"-"&amp;$R$1933&amp;"-"&amp;$R$1934&amp;"-"&amp;$R$1935)</f>
        <v/>
      </c>
      <c r="J1936" s="7" t="n"/>
      <c r="K1936" s="7" t="n"/>
      <c r="L1936" s="8" t="n"/>
      <c r="M1936" s="44">
        <f>IFERROR(AVERAGEIF(전체채점!$B$3:$B$62,$R$1931,전체채점!$C$3:$C$62),"")</f>
        <v/>
      </c>
      <c r="N1936" s="7" t="n"/>
      <c r="O1936" s="7" t="n"/>
      <c r="P1936" s="8" t="n"/>
      <c r="S1936" s="37">
        <f>IF($R$1931="","",IFERROR(IF($R$1931="언어와 매체",MATCH(7,회차설정!$G$13:$G$27,0),MATCH(7,회차설정!$F$13:$F$27,0)),""))</f>
        <v/>
      </c>
    </row>
    <row r="1937">
      <c r="S1937" s="37">
        <f>IF($R$1931="","",IFERROR(IF($R$1931="언어와 매체",MATCH(8,회차설정!$G$13:$G$27,0),MATCH(8,회차설정!$F$13:$F$27,0)),""))</f>
        <v/>
      </c>
    </row>
    <row r="1938">
      <c r="A1938" s="12" t="inlineStr">
        <is>
          <t>3. 영역분류별 성취도 분석</t>
        </is>
      </c>
      <c r="F1938" s="45">
        <f>IF(OR($R$1930="",$E1952=""),"",IF($E1952=INDEX(전체채점!$C$3:$C$62,$R$1930),"","※ 회차설정의 영역 표를 확인하세요 — 영역 합계와 점수가 다릅니다"))</f>
        <v/>
      </c>
      <c r="S1938" s="37">
        <f>IF($R$1931="","",IFERROR(IF($R$1931="언어와 매체",MATCH(9,회차설정!$G$13:$G$27,0),MATCH(9,회차설정!$F$13:$F$27,0)),""))</f>
        <v/>
      </c>
    </row>
    <row r="1939">
      <c r="A1939" s="13" t="inlineStr">
        <is>
          <t>분류</t>
        </is>
      </c>
      <c r="B1939" s="13" t="inlineStr">
        <is>
          <t>영역</t>
        </is>
      </c>
      <c r="C1939" s="8" t="n"/>
      <c r="D1939" s="13" t="inlineStr">
        <is>
          <t>배점</t>
        </is>
      </c>
      <c r="E1939" s="13" t="inlineStr">
        <is>
          <t>득점</t>
        </is>
      </c>
      <c r="F1939" s="13" t="inlineStr">
        <is>
          <t>성취도(%)</t>
        </is>
      </c>
      <c r="G1939" s="8" t="n"/>
      <c r="H1939" s="13" t="inlineStr"/>
      <c r="I1939" s="7" t="n"/>
      <c r="J1939" s="7" t="n"/>
      <c r="K1939" s="7" t="n"/>
      <c r="L1939" s="7" t="n"/>
      <c r="M1939" s="7" t="n"/>
      <c r="N1939" s="7" t="n"/>
      <c r="O1939" s="7" t="n"/>
      <c r="P1939" s="8" t="n"/>
      <c r="S1939" s="37">
        <f>IF($R$1931="","",IFERROR(IF($R$1931="언어와 매체",MATCH(10,회차설정!$G$13:$G$27,0),MATCH(10,회차설정!$F$13:$F$27,0)),""))</f>
        <v/>
      </c>
    </row>
    <row r="1940">
      <c r="A1940" s="14">
        <f>IF($S$1930="","",INDEX(회차설정!$A$13:$A$27,$S$1930))</f>
        <v/>
      </c>
      <c r="B1940" s="14">
        <f>IF($S$1930="","",INDEX(회차설정!$B$13:$B$27,$S$1930))</f>
        <v/>
      </c>
      <c r="C1940" s="8" t="n"/>
      <c r="D1940" s="14">
        <f>IF($S$1930="","",IF($R$1931="언어와 매체",SUMPRODUCT((자동계산!$A$4:$A$48&gt;=INDEX(회차설정!$C$13:$C$27,$S$1930))*(자동계산!$A$4:$A$48&lt;=INDEX(회차설정!$D$13:$D$27,$S$1930))*자동계산!$E$4:$E$48),SUMPRODUCT((자동계산!$A$4:$A$48&gt;=INDEX(회차설정!$C$13:$C$27,$S$1930))*(자동계산!$A$4:$A$48&lt;=INDEX(회차설정!$D$13:$D$27,$S$1930))*자동계산!$C$4:$C$48)))</f>
        <v/>
      </c>
      <c r="E1940" s="14">
        <f>IF(OR($S$1930="",$R$1930=""),"",SUM(OFFSET(전체채점!$AW$2,$R$1930,INDEX(회차설정!$C$13:$C$27,$S$1930),1,INDEX(회차설정!$D$13:$D$27,$S$1930)-INDEX(회차설정!$C$13:$C$27,$S$1930)+1)))</f>
        <v/>
      </c>
      <c r="F1940" s="46">
        <f>IF(OR($S$1930="",$D1940=0,$D1940="",$E1940=""),"",$E1940/$D1940*100)</f>
        <v/>
      </c>
      <c r="G1940" s="8" t="n"/>
      <c r="H1940" s="47">
        <f>IF($F1940="","",REPT("■",ROUND($F1940/5,0)))</f>
        <v/>
      </c>
      <c r="I1940" s="7" t="n"/>
      <c r="J1940" s="7" t="n"/>
      <c r="K1940" s="7" t="n"/>
      <c r="L1940" s="7" t="n"/>
      <c r="M1940" s="7" t="n"/>
      <c r="N1940" s="7" t="n"/>
      <c r="O1940" s="7" t="n"/>
      <c r="P1940" s="8" t="n"/>
      <c r="S1940" s="37">
        <f>IF($R$1931="","",IFERROR(IF($R$1931="언어와 매체",MATCH(11,회차설정!$G$13:$G$27,0),MATCH(11,회차설정!$F$13:$F$27,0)),""))</f>
        <v/>
      </c>
    </row>
    <row r="1941">
      <c r="A1941" s="14">
        <f>IF($S$1931="","",INDEX(회차설정!$A$13:$A$27,$S$1931))</f>
        <v/>
      </c>
      <c r="B1941" s="14">
        <f>IF($S$1931="","",INDEX(회차설정!$B$13:$B$27,$S$1931))</f>
        <v/>
      </c>
      <c r="C1941" s="8" t="n"/>
      <c r="D1941" s="14">
        <f>IF($S$1931="","",IF($R$1931="언어와 매체",SUMPRODUCT((자동계산!$A$4:$A$48&gt;=INDEX(회차설정!$C$13:$C$27,$S$1931))*(자동계산!$A$4:$A$48&lt;=INDEX(회차설정!$D$13:$D$27,$S$1931))*자동계산!$E$4:$E$48),SUMPRODUCT((자동계산!$A$4:$A$48&gt;=INDEX(회차설정!$C$13:$C$27,$S$1931))*(자동계산!$A$4:$A$48&lt;=INDEX(회차설정!$D$13:$D$27,$S$1931))*자동계산!$C$4:$C$48)))</f>
        <v/>
      </c>
      <c r="E1941" s="14">
        <f>IF(OR($S$1931="",$R$1930=""),"",SUM(OFFSET(전체채점!$AW$2,$R$1930,INDEX(회차설정!$C$13:$C$27,$S$1931),1,INDEX(회차설정!$D$13:$D$27,$S$1931)-INDEX(회차설정!$C$13:$C$27,$S$1931)+1)))</f>
        <v/>
      </c>
      <c r="F1941" s="46">
        <f>IF(OR($S$1931="",$D1941=0,$D1941="",$E1941=""),"",$E1941/$D1941*100)</f>
        <v/>
      </c>
      <c r="G1941" s="8" t="n"/>
      <c r="H1941" s="47">
        <f>IF($F1941="","",REPT("■",ROUND($F1941/5,0)))</f>
        <v/>
      </c>
      <c r="I1941" s="7" t="n"/>
      <c r="J1941" s="7" t="n"/>
      <c r="K1941" s="7" t="n"/>
      <c r="L1941" s="7" t="n"/>
      <c r="M1941" s="7" t="n"/>
      <c r="N1941" s="7" t="n"/>
      <c r="O1941" s="7" t="n"/>
      <c r="P1941" s="8" t="n"/>
      <c r="S1941" s="37">
        <f>IF($R$1931="","",IFERROR(IF($R$1931="언어와 매체",MATCH(12,회차설정!$G$13:$G$27,0),MATCH(12,회차설정!$F$13:$F$27,0)),""))</f>
        <v/>
      </c>
    </row>
    <row r="1942">
      <c r="A1942" s="14">
        <f>IF($S$1932="","",INDEX(회차설정!$A$13:$A$27,$S$1932))</f>
        <v/>
      </c>
      <c r="B1942" s="14">
        <f>IF($S$1932="","",INDEX(회차설정!$B$13:$B$27,$S$1932))</f>
        <v/>
      </c>
      <c r="C1942" s="8" t="n"/>
      <c r="D1942" s="14">
        <f>IF($S$1932="","",IF($R$1931="언어와 매체",SUMPRODUCT((자동계산!$A$4:$A$48&gt;=INDEX(회차설정!$C$13:$C$27,$S$1932))*(자동계산!$A$4:$A$48&lt;=INDEX(회차설정!$D$13:$D$27,$S$1932))*자동계산!$E$4:$E$48),SUMPRODUCT((자동계산!$A$4:$A$48&gt;=INDEX(회차설정!$C$13:$C$27,$S$1932))*(자동계산!$A$4:$A$48&lt;=INDEX(회차설정!$D$13:$D$27,$S$1932))*자동계산!$C$4:$C$48)))</f>
        <v/>
      </c>
      <c r="E1942" s="14">
        <f>IF(OR($S$1932="",$R$1930=""),"",SUM(OFFSET(전체채점!$AW$2,$R$1930,INDEX(회차설정!$C$13:$C$27,$S$1932),1,INDEX(회차설정!$D$13:$D$27,$S$1932)-INDEX(회차설정!$C$13:$C$27,$S$1932)+1)))</f>
        <v/>
      </c>
      <c r="F1942" s="46">
        <f>IF(OR($S$1932="",$D1942=0,$D1942="",$E1942=""),"",$E1942/$D1942*100)</f>
        <v/>
      </c>
      <c r="G1942" s="8" t="n"/>
      <c r="H1942" s="47">
        <f>IF($F1942="","",REPT("■",ROUND($F1942/5,0)))</f>
        <v/>
      </c>
      <c r="I1942" s="7" t="n"/>
      <c r="J1942" s="7" t="n"/>
      <c r="K1942" s="7" t="n"/>
      <c r="L1942" s="7" t="n"/>
      <c r="M1942" s="7" t="n"/>
      <c r="N1942" s="7" t="n"/>
      <c r="O1942" s="7" t="n"/>
      <c r="P1942" s="8" t="n"/>
    </row>
    <row r="1943">
      <c r="A1943" s="14">
        <f>IF($S$1933="","",INDEX(회차설정!$A$13:$A$27,$S$1933))</f>
        <v/>
      </c>
      <c r="B1943" s="14">
        <f>IF($S$1933="","",INDEX(회차설정!$B$13:$B$27,$S$1933))</f>
        <v/>
      </c>
      <c r="C1943" s="8" t="n"/>
      <c r="D1943" s="14">
        <f>IF($S$1933="","",IF($R$1931="언어와 매체",SUMPRODUCT((자동계산!$A$4:$A$48&gt;=INDEX(회차설정!$C$13:$C$27,$S$1933))*(자동계산!$A$4:$A$48&lt;=INDEX(회차설정!$D$13:$D$27,$S$1933))*자동계산!$E$4:$E$48),SUMPRODUCT((자동계산!$A$4:$A$48&gt;=INDEX(회차설정!$C$13:$C$27,$S$1933))*(자동계산!$A$4:$A$48&lt;=INDEX(회차설정!$D$13:$D$27,$S$1933))*자동계산!$C$4:$C$48)))</f>
        <v/>
      </c>
      <c r="E1943" s="14">
        <f>IF(OR($S$1933="",$R$1930=""),"",SUM(OFFSET(전체채점!$AW$2,$R$1930,INDEX(회차설정!$C$13:$C$27,$S$1933),1,INDEX(회차설정!$D$13:$D$27,$S$1933)-INDEX(회차설정!$C$13:$C$27,$S$1933)+1)))</f>
        <v/>
      </c>
      <c r="F1943" s="46">
        <f>IF(OR($S$1933="",$D1943=0,$D1943="",$E1943=""),"",$E1943/$D1943*100)</f>
        <v/>
      </c>
      <c r="G1943" s="8" t="n"/>
      <c r="H1943" s="47">
        <f>IF($F1943="","",REPT("■",ROUND($F1943/5,0)))</f>
        <v/>
      </c>
      <c r="I1943" s="7" t="n"/>
      <c r="J1943" s="7" t="n"/>
      <c r="K1943" s="7" t="n"/>
      <c r="L1943" s="7" t="n"/>
      <c r="M1943" s="7" t="n"/>
      <c r="N1943" s="7" t="n"/>
      <c r="O1943" s="7" t="n"/>
      <c r="P1943" s="8" t="n"/>
    </row>
    <row r="1944">
      <c r="A1944" s="14">
        <f>IF($S$1934="","",INDEX(회차설정!$A$13:$A$27,$S$1934))</f>
        <v/>
      </c>
      <c r="B1944" s="14">
        <f>IF($S$1934="","",INDEX(회차설정!$B$13:$B$27,$S$1934))</f>
        <v/>
      </c>
      <c r="C1944" s="8" t="n"/>
      <c r="D1944" s="14">
        <f>IF($S$1934="","",IF($R$1931="언어와 매체",SUMPRODUCT((자동계산!$A$4:$A$48&gt;=INDEX(회차설정!$C$13:$C$27,$S$1934))*(자동계산!$A$4:$A$48&lt;=INDEX(회차설정!$D$13:$D$27,$S$1934))*자동계산!$E$4:$E$48),SUMPRODUCT((자동계산!$A$4:$A$48&gt;=INDEX(회차설정!$C$13:$C$27,$S$1934))*(자동계산!$A$4:$A$48&lt;=INDEX(회차설정!$D$13:$D$27,$S$1934))*자동계산!$C$4:$C$48)))</f>
        <v/>
      </c>
      <c r="E1944" s="14">
        <f>IF(OR($S$1934="",$R$1930=""),"",SUM(OFFSET(전체채점!$AW$2,$R$1930,INDEX(회차설정!$C$13:$C$27,$S$1934),1,INDEX(회차설정!$D$13:$D$27,$S$1934)-INDEX(회차설정!$C$13:$C$27,$S$1934)+1)))</f>
        <v/>
      </c>
      <c r="F1944" s="46">
        <f>IF(OR($S$1934="",$D1944=0,$D1944="",$E1944=""),"",$E1944/$D1944*100)</f>
        <v/>
      </c>
      <c r="G1944" s="8" t="n"/>
      <c r="H1944" s="47">
        <f>IF($F1944="","",REPT("■",ROUND($F1944/5,0)))</f>
        <v/>
      </c>
      <c r="I1944" s="7" t="n"/>
      <c r="J1944" s="7" t="n"/>
      <c r="K1944" s="7" t="n"/>
      <c r="L1944" s="7" t="n"/>
      <c r="M1944" s="7" t="n"/>
      <c r="N1944" s="7" t="n"/>
      <c r="O1944" s="7" t="n"/>
      <c r="P1944" s="8" t="n"/>
    </row>
    <row r="1945">
      <c r="A1945" s="14">
        <f>IF($S$1935="","",INDEX(회차설정!$A$13:$A$27,$S$1935))</f>
        <v/>
      </c>
      <c r="B1945" s="14">
        <f>IF($S$1935="","",INDEX(회차설정!$B$13:$B$27,$S$1935))</f>
        <v/>
      </c>
      <c r="C1945" s="8" t="n"/>
      <c r="D1945" s="14">
        <f>IF($S$1935="","",IF($R$1931="언어와 매체",SUMPRODUCT((자동계산!$A$4:$A$48&gt;=INDEX(회차설정!$C$13:$C$27,$S$1935))*(자동계산!$A$4:$A$48&lt;=INDEX(회차설정!$D$13:$D$27,$S$1935))*자동계산!$E$4:$E$48),SUMPRODUCT((자동계산!$A$4:$A$48&gt;=INDEX(회차설정!$C$13:$C$27,$S$1935))*(자동계산!$A$4:$A$48&lt;=INDEX(회차설정!$D$13:$D$27,$S$1935))*자동계산!$C$4:$C$48)))</f>
        <v/>
      </c>
      <c r="E1945" s="14">
        <f>IF(OR($S$1935="",$R$1930=""),"",SUM(OFFSET(전체채점!$AW$2,$R$1930,INDEX(회차설정!$C$13:$C$27,$S$1935),1,INDEX(회차설정!$D$13:$D$27,$S$1935)-INDEX(회차설정!$C$13:$C$27,$S$1935)+1)))</f>
        <v/>
      </c>
      <c r="F1945" s="46">
        <f>IF(OR($S$1935="",$D1945=0,$D1945="",$E1945=""),"",$E1945/$D1945*100)</f>
        <v/>
      </c>
      <c r="G1945" s="8" t="n"/>
      <c r="H1945" s="47">
        <f>IF($F1945="","",REPT("■",ROUND($F1945/5,0)))</f>
        <v/>
      </c>
      <c r="I1945" s="7" t="n"/>
      <c r="J1945" s="7" t="n"/>
      <c r="K1945" s="7" t="n"/>
      <c r="L1945" s="7" t="n"/>
      <c r="M1945" s="7" t="n"/>
      <c r="N1945" s="7" t="n"/>
      <c r="O1945" s="7" t="n"/>
      <c r="P1945" s="8" t="n"/>
    </row>
    <row r="1946">
      <c r="A1946" s="14">
        <f>IF($S$1936="","",INDEX(회차설정!$A$13:$A$27,$S$1936))</f>
        <v/>
      </c>
      <c r="B1946" s="14">
        <f>IF($S$1936="","",INDEX(회차설정!$B$13:$B$27,$S$1936))</f>
        <v/>
      </c>
      <c r="C1946" s="8" t="n"/>
      <c r="D1946" s="14">
        <f>IF($S$1936="","",IF($R$1931="언어와 매체",SUMPRODUCT((자동계산!$A$4:$A$48&gt;=INDEX(회차설정!$C$13:$C$27,$S$1936))*(자동계산!$A$4:$A$48&lt;=INDEX(회차설정!$D$13:$D$27,$S$1936))*자동계산!$E$4:$E$48),SUMPRODUCT((자동계산!$A$4:$A$48&gt;=INDEX(회차설정!$C$13:$C$27,$S$1936))*(자동계산!$A$4:$A$48&lt;=INDEX(회차설정!$D$13:$D$27,$S$1936))*자동계산!$C$4:$C$48)))</f>
        <v/>
      </c>
      <c r="E1946" s="14">
        <f>IF(OR($S$1936="",$R$1930=""),"",SUM(OFFSET(전체채점!$AW$2,$R$1930,INDEX(회차설정!$C$13:$C$27,$S$1936),1,INDEX(회차설정!$D$13:$D$27,$S$1936)-INDEX(회차설정!$C$13:$C$27,$S$1936)+1)))</f>
        <v/>
      </c>
      <c r="F1946" s="46">
        <f>IF(OR($S$1936="",$D1946=0,$D1946="",$E1946=""),"",$E1946/$D1946*100)</f>
        <v/>
      </c>
      <c r="G1946" s="8" t="n"/>
      <c r="H1946" s="47">
        <f>IF($F1946="","",REPT("■",ROUND($F1946/5,0)))</f>
        <v/>
      </c>
      <c r="I1946" s="7" t="n"/>
      <c r="J1946" s="7" t="n"/>
      <c r="K1946" s="7" t="n"/>
      <c r="L1946" s="7" t="n"/>
      <c r="M1946" s="7" t="n"/>
      <c r="N1946" s="7" t="n"/>
      <c r="O1946" s="7" t="n"/>
      <c r="P1946" s="8" t="n"/>
    </row>
    <row r="1947">
      <c r="A1947" s="14">
        <f>IF($S$1937="","",INDEX(회차설정!$A$13:$A$27,$S$1937))</f>
        <v/>
      </c>
      <c r="B1947" s="14">
        <f>IF($S$1937="","",INDEX(회차설정!$B$13:$B$27,$S$1937))</f>
        <v/>
      </c>
      <c r="C1947" s="8" t="n"/>
      <c r="D1947" s="14">
        <f>IF($S$1937="","",IF($R$1931="언어와 매체",SUMPRODUCT((자동계산!$A$4:$A$48&gt;=INDEX(회차설정!$C$13:$C$27,$S$1937))*(자동계산!$A$4:$A$48&lt;=INDEX(회차설정!$D$13:$D$27,$S$1937))*자동계산!$E$4:$E$48),SUMPRODUCT((자동계산!$A$4:$A$48&gt;=INDEX(회차설정!$C$13:$C$27,$S$1937))*(자동계산!$A$4:$A$48&lt;=INDEX(회차설정!$D$13:$D$27,$S$1937))*자동계산!$C$4:$C$48)))</f>
        <v/>
      </c>
      <c r="E1947" s="14">
        <f>IF(OR($S$1937="",$R$1930=""),"",SUM(OFFSET(전체채점!$AW$2,$R$1930,INDEX(회차설정!$C$13:$C$27,$S$1937),1,INDEX(회차설정!$D$13:$D$27,$S$1937)-INDEX(회차설정!$C$13:$C$27,$S$1937)+1)))</f>
        <v/>
      </c>
      <c r="F1947" s="46">
        <f>IF(OR($S$1937="",$D1947=0,$D1947="",$E1947=""),"",$E1947/$D1947*100)</f>
        <v/>
      </c>
      <c r="G1947" s="8" t="n"/>
      <c r="H1947" s="47">
        <f>IF($F1947="","",REPT("■",ROUND($F1947/5,0)))</f>
        <v/>
      </c>
      <c r="I1947" s="7" t="n"/>
      <c r="J1947" s="7" t="n"/>
      <c r="K1947" s="7" t="n"/>
      <c r="L1947" s="7" t="n"/>
      <c r="M1947" s="7" t="n"/>
      <c r="N1947" s="7" t="n"/>
      <c r="O1947" s="7" t="n"/>
      <c r="P1947" s="8" t="n"/>
    </row>
    <row r="1948">
      <c r="A1948" s="14">
        <f>IF($S$1938="","",INDEX(회차설정!$A$13:$A$27,$S$1938))</f>
        <v/>
      </c>
      <c r="B1948" s="14">
        <f>IF($S$1938="","",INDEX(회차설정!$B$13:$B$27,$S$1938))</f>
        <v/>
      </c>
      <c r="C1948" s="8" t="n"/>
      <c r="D1948" s="14">
        <f>IF($S$1938="","",IF($R$1931="언어와 매체",SUMPRODUCT((자동계산!$A$4:$A$48&gt;=INDEX(회차설정!$C$13:$C$27,$S$1938))*(자동계산!$A$4:$A$48&lt;=INDEX(회차설정!$D$13:$D$27,$S$1938))*자동계산!$E$4:$E$48),SUMPRODUCT((자동계산!$A$4:$A$48&gt;=INDEX(회차설정!$C$13:$C$27,$S$1938))*(자동계산!$A$4:$A$48&lt;=INDEX(회차설정!$D$13:$D$27,$S$1938))*자동계산!$C$4:$C$48)))</f>
        <v/>
      </c>
      <c r="E1948" s="14">
        <f>IF(OR($S$1938="",$R$1930=""),"",SUM(OFFSET(전체채점!$AW$2,$R$1930,INDEX(회차설정!$C$13:$C$27,$S$1938),1,INDEX(회차설정!$D$13:$D$27,$S$1938)-INDEX(회차설정!$C$13:$C$27,$S$1938)+1)))</f>
        <v/>
      </c>
      <c r="F1948" s="46">
        <f>IF(OR($S$1938="",$D1948=0,$D1948="",$E1948=""),"",$E1948/$D1948*100)</f>
        <v/>
      </c>
      <c r="G1948" s="8" t="n"/>
      <c r="H1948" s="47">
        <f>IF($F1948="","",REPT("■",ROUND($F1948/5,0)))</f>
        <v/>
      </c>
      <c r="I1948" s="7" t="n"/>
      <c r="J1948" s="7" t="n"/>
      <c r="K1948" s="7" t="n"/>
      <c r="L1948" s="7" t="n"/>
      <c r="M1948" s="7" t="n"/>
      <c r="N1948" s="7" t="n"/>
      <c r="O1948" s="7" t="n"/>
      <c r="P1948" s="8" t="n"/>
    </row>
    <row r="1949">
      <c r="A1949" s="14">
        <f>IF($S$1939="","",INDEX(회차설정!$A$13:$A$27,$S$1939))</f>
        <v/>
      </c>
      <c r="B1949" s="14">
        <f>IF($S$1939="","",INDEX(회차설정!$B$13:$B$27,$S$1939))</f>
        <v/>
      </c>
      <c r="C1949" s="8" t="n"/>
      <c r="D1949" s="14">
        <f>IF($S$1939="","",IF($R$1931="언어와 매체",SUMPRODUCT((자동계산!$A$4:$A$48&gt;=INDEX(회차설정!$C$13:$C$27,$S$1939))*(자동계산!$A$4:$A$48&lt;=INDEX(회차설정!$D$13:$D$27,$S$1939))*자동계산!$E$4:$E$48),SUMPRODUCT((자동계산!$A$4:$A$48&gt;=INDEX(회차설정!$C$13:$C$27,$S$1939))*(자동계산!$A$4:$A$48&lt;=INDEX(회차설정!$D$13:$D$27,$S$1939))*자동계산!$C$4:$C$48)))</f>
        <v/>
      </c>
      <c r="E1949" s="14">
        <f>IF(OR($S$1939="",$R$1930=""),"",SUM(OFFSET(전체채점!$AW$2,$R$1930,INDEX(회차설정!$C$13:$C$27,$S$1939),1,INDEX(회차설정!$D$13:$D$27,$S$1939)-INDEX(회차설정!$C$13:$C$27,$S$1939)+1)))</f>
        <v/>
      </c>
      <c r="F1949" s="46">
        <f>IF(OR($S$1939="",$D1949=0,$D1949="",$E1949=""),"",$E1949/$D1949*100)</f>
        <v/>
      </c>
      <c r="G1949" s="8" t="n"/>
      <c r="H1949" s="47">
        <f>IF($F1949="","",REPT("■",ROUND($F1949/5,0)))</f>
        <v/>
      </c>
      <c r="I1949" s="7" t="n"/>
      <c r="J1949" s="7" t="n"/>
      <c r="K1949" s="7" t="n"/>
      <c r="L1949" s="7" t="n"/>
      <c r="M1949" s="7" t="n"/>
      <c r="N1949" s="7" t="n"/>
      <c r="O1949" s="7" t="n"/>
      <c r="P1949" s="8" t="n"/>
    </row>
    <row r="1950">
      <c r="A1950" s="14">
        <f>IF($S$1940="","",INDEX(회차설정!$A$13:$A$27,$S$1940))</f>
        <v/>
      </c>
      <c r="B1950" s="14">
        <f>IF($S$1940="","",INDEX(회차설정!$B$13:$B$27,$S$1940))</f>
        <v/>
      </c>
      <c r="C1950" s="8" t="n"/>
      <c r="D1950" s="14">
        <f>IF($S$1940="","",IF($R$1931="언어와 매체",SUMPRODUCT((자동계산!$A$4:$A$48&gt;=INDEX(회차설정!$C$13:$C$27,$S$1940))*(자동계산!$A$4:$A$48&lt;=INDEX(회차설정!$D$13:$D$27,$S$1940))*자동계산!$E$4:$E$48),SUMPRODUCT((자동계산!$A$4:$A$48&gt;=INDEX(회차설정!$C$13:$C$27,$S$1940))*(자동계산!$A$4:$A$48&lt;=INDEX(회차설정!$D$13:$D$27,$S$1940))*자동계산!$C$4:$C$48)))</f>
        <v/>
      </c>
      <c r="E1950" s="14">
        <f>IF(OR($S$1940="",$R$1930=""),"",SUM(OFFSET(전체채점!$AW$2,$R$1930,INDEX(회차설정!$C$13:$C$27,$S$1940),1,INDEX(회차설정!$D$13:$D$27,$S$1940)-INDEX(회차설정!$C$13:$C$27,$S$1940)+1)))</f>
        <v/>
      </c>
      <c r="F1950" s="46">
        <f>IF(OR($S$1940="",$D1950=0,$D1950="",$E1950=""),"",$E1950/$D1950*100)</f>
        <v/>
      </c>
      <c r="G1950" s="8" t="n"/>
      <c r="H1950" s="47">
        <f>IF($F1950="","",REPT("■",ROUND($F1950/5,0)))</f>
        <v/>
      </c>
      <c r="I1950" s="7" t="n"/>
      <c r="J1950" s="7" t="n"/>
      <c r="K1950" s="7" t="n"/>
      <c r="L1950" s="7" t="n"/>
      <c r="M1950" s="7" t="n"/>
      <c r="N1950" s="7" t="n"/>
      <c r="O1950" s="7" t="n"/>
      <c r="P1950" s="8" t="n"/>
    </row>
    <row r="1951">
      <c r="A1951" s="14">
        <f>IF($S$1941="","",INDEX(회차설정!$A$13:$A$27,$S$1941))</f>
        <v/>
      </c>
      <c r="B1951" s="14">
        <f>IF($S$1941="","",INDEX(회차설정!$B$13:$B$27,$S$1941))</f>
        <v/>
      </c>
      <c r="C1951" s="8" t="n"/>
      <c r="D1951" s="14">
        <f>IF($S$1941="","",IF($R$1931="언어와 매체",SUMPRODUCT((자동계산!$A$4:$A$48&gt;=INDEX(회차설정!$C$13:$C$27,$S$1941))*(자동계산!$A$4:$A$48&lt;=INDEX(회차설정!$D$13:$D$27,$S$1941))*자동계산!$E$4:$E$48),SUMPRODUCT((자동계산!$A$4:$A$48&gt;=INDEX(회차설정!$C$13:$C$27,$S$1941))*(자동계산!$A$4:$A$48&lt;=INDEX(회차설정!$D$13:$D$27,$S$1941))*자동계산!$C$4:$C$48)))</f>
        <v/>
      </c>
      <c r="E1951" s="14">
        <f>IF(OR($S$1941="",$R$1930=""),"",SUM(OFFSET(전체채점!$AW$2,$R$1930,INDEX(회차설정!$C$13:$C$27,$S$1941),1,INDEX(회차설정!$D$13:$D$27,$S$1941)-INDEX(회차설정!$C$13:$C$27,$S$1941)+1)))</f>
        <v/>
      </c>
      <c r="F1951" s="46">
        <f>IF(OR($S$1941="",$D1951=0,$D1951="",$E1951=""),"",$E1951/$D1951*100)</f>
        <v/>
      </c>
      <c r="G1951" s="8" t="n"/>
      <c r="H1951" s="47">
        <f>IF($F1951="","",REPT("■",ROUND($F1951/5,0)))</f>
        <v/>
      </c>
      <c r="I1951" s="7" t="n"/>
      <c r="J1951" s="7" t="n"/>
      <c r="K1951" s="7" t="n"/>
      <c r="L1951" s="7" t="n"/>
      <c r="M1951" s="7" t="n"/>
      <c r="N1951" s="7" t="n"/>
      <c r="O1951" s="7" t="n"/>
      <c r="P1951" s="8" t="n"/>
    </row>
    <row r="1952">
      <c r="A1952" s="5">
        <f>IF($R$1930="","","합계")</f>
        <v/>
      </c>
      <c r="B1952" s="7" t="n"/>
      <c r="C1952" s="8" t="n"/>
      <c r="D1952" s="5">
        <f>IF($R$1930="","",SUM(D1940:D1951))</f>
        <v/>
      </c>
      <c r="E1952" s="5">
        <f>IF($R$1930="","",SUM(E1940:E1951))</f>
        <v/>
      </c>
      <c r="F1952" s="48">
        <f>IF(OR($D1952=0,$D1952=""),"",$E1952/$D1952*100)</f>
        <v/>
      </c>
      <c r="G1952" s="8" t="n"/>
      <c r="H1952" s="49">
        <f>IF($F1952="","",REPT("■",ROUND($F1952/5,0)))</f>
        <v/>
      </c>
      <c r="I1952" s="7" t="n"/>
      <c r="J1952" s="7" t="n"/>
      <c r="K1952" s="7" t="n"/>
      <c r="L1952" s="7" t="n"/>
      <c r="M1952" s="7" t="n"/>
      <c r="N1952" s="7" t="n"/>
      <c r="O1952" s="7" t="n"/>
      <c r="P1952" s="8" t="n"/>
    </row>
    <row r="1954">
      <c r="A1954" s="12" t="inlineStr">
        <is>
          <t>4. 문항 채점표</t>
        </is>
      </c>
    </row>
    <row r="1955">
      <c r="A1955" s="50" t="inlineStr">
        <is>
          <t>문항 번호</t>
        </is>
      </c>
      <c r="B1955" s="51" t="n">
        <v>1</v>
      </c>
      <c r="C1955" s="51" t="n">
        <v>2</v>
      </c>
      <c r="D1955" s="51" t="n">
        <v>3</v>
      </c>
      <c r="E1955" s="51" t="n">
        <v>4</v>
      </c>
      <c r="F1955" s="51" t="n">
        <v>5</v>
      </c>
      <c r="G1955" s="51" t="n">
        <v>6</v>
      </c>
      <c r="H1955" s="51" t="n">
        <v>7</v>
      </c>
      <c r="I1955" s="51" t="n">
        <v>8</v>
      </c>
      <c r="J1955" s="51" t="n">
        <v>9</v>
      </c>
      <c r="K1955" s="51" t="n">
        <v>10</v>
      </c>
      <c r="L1955" s="51" t="n">
        <v>11</v>
      </c>
      <c r="M1955" s="51" t="n">
        <v>12</v>
      </c>
      <c r="N1955" s="51" t="n">
        <v>13</v>
      </c>
      <c r="O1955" s="51" t="n">
        <v>14</v>
      </c>
      <c r="P1955" s="51" t="n">
        <v>15</v>
      </c>
    </row>
    <row r="1956">
      <c r="A1956" s="52" t="inlineStr">
        <is>
          <t>정답</t>
        </is>
      </c>
      <c r="B1956" s="33">
        <f>IF($R$1931="","",IF($R$1931="언어와 매체",자동계산!$D$4,자동계산!$B$4))</f>
        <v/>
      </c>
      <c r="C1956" s="33">
        <f>IF($R$1931="","",IF($R$1931="언어와 매체",자동계산!$D$5,자동계산!$B$5))</f>
        <v/>
      </c>
      <c r="D1956" s="33">
        <f>IF($R$1931="","",IF($R$1931="언어와 매체",자동계산!$D$6,자동계산!$B$6))</f>
        <v/>
      </c>
      <c r="E1956" s="33">
        <f>IF($R$1931="","",IF($R$1931="언어와 매체",자동계산!$D$7,자동계산!$B$7))</f>
        <v/>
      </c>
      <c r="F1956" s="33">
        <f>IF($R$1931="","",IF($R$1931="언어와 매체",자동계산!$D$8,자동계산!$B$8))</f>
        <v/>
      </c>
      <c r="G1956" s="33">
        <f>IF($R$1931="","",IF($R$1931="언어와 매체",자동계산!$D$9,자동계산!$B$9))</f>
        <v/>
      </c>
      <c r="H1956" s="33">
        <f>IF($R$1931="","",IF($R$1931="언어와 매체",자동계산!$D$10,자동계산!$B$10))</f>
        <v/>
      </c>
      <c r="I1956" s="33">
        <f>IF($R$1931="","",IF($R$1931="언어와 매체",자동계산!$D$11,자동계산!$B$11))</f>
        <v/>
      </c>
      <c r="J1956" s="33">
        <f>IF($R$1931="","",IF($R$1931="언어와 매체",자동계산!$D$12,자동계산!$B$12))</f>
        <v/>
      </c>
      <c r="K1956" s="33">
        <f>IF($R$1931="","",IF($R$1931="언어와 매체",자동계산!$D$13,자동계산!$B$13))</f>
        <v/>
      </c>
      <c r="L1956" s="33">
        <f>IF($R$1931="","",IF($R$1931="언어와 매체",자동계산!$D$14,자동계산!$B$14))</f>
        <v/>
      </c>
      <c r="M1956" s="33">
        <f>IF($R$1931="","",IF($R$1931="언어와 매체",자동계산!$D$15,자동계산!$B$15))</f>
        <v/>
      </c>
      <c r="N1956" s="33">
        <f>IF($R$1931="","",IF($R$1931="언어와 매체",자동계산!$D$16,자동계산!$B$16))</f>
        <v/>
      </c>
      <c r="O1956" s="33">
        <f>IF($R$1931="","",IF($R$1931="언어와 매체",자동계산!$D$17,자동계산!$B$17))</f>
        <v/>
      </c>
      <c r="P1956" s="33">
        <f>IF($R$1931="","",IF($R$1931="언어와 매체",자동계산!$D$18,자동계산!$B$18))</f>
        <v/>
      </c>
    </row>
    <row r="1957">
      <c r="A1957" s="52" t="inlineStr">
        <is>
          <t>학생답안</t>
        </is>
      </c>
      <c r="B1957" s="33">
        <f>IF($R$1930="","",INDEX(전체채점!E$3:E$62,$R$1930))</f>
        <v/>
      </c>
      <c r="C1957" s="33">
        <f>IF($R$1930="","",INDEX(전체채점!F$3:F$62,$R$1930))</f>
        <v/>
      </c>
      <c r="D1957" s="33">
        <f>IF($R$1930="","",INDEX(전체채점!G$3:G$62,$R$1930))</f>
        <v/>
      </c>
      <c r="E1957" s="33">
        <f>IF($R$1930="","",INDEX(전체채점!H$3:H$62,$R$1930))</f>
        <v/>
      </c>
      <c r="F1957" s="33">
        <f>IF($R$1930="","",INDEX(전체채점!I$3:I$62,$R$1930))</f>
        <v/>
      </c>
      <c r="G1957" s="33">
        <f>IF($R$1930="","",INDEX(전체채점!J$3:J$62,$R$1930))</f>
        <v/>
      </c>
      <c r="H1957" s="33">
        <f>IF($R$1930="","",INDEX(전체채점!K$3:K$62,$R$1930))</f>
        <v/>
      </c>
      <c r="I1957" s="33">
        <f>IF($R$1930="","",INDEX(전체채점!L$3:L$62,$R$1930))</f>
        <v/>
      </c>
      <c r="J1957" s="33">
        <f>IF($R$1930="","",INDEX(전체채점!M$3:M$62,$R$1930))</f>
        <v/>
      </c>
      <c r="K1957" s="33">
        <f>IF($R$1930="","",INDEX(전체채점!N$3:N$62,$R$1930))</f>
        <v/>
      </c>
      <c r="L1957" s="33">
        <f>IF($R$1930="","",INDEX(전체채점!O$3:O$62,$R$1930))</f>
        <v/>
      </c>
      <c r="M1957" s="33">
        <f>IF($R$1930="","",INDEX(전체채점!P$3:P$62,$R$1930))</f>
        <v/>
      </c>
      <c r="N1957" s="33">
        <f>IF($R$1930="","",INDEX(전체채점!Q$3:Q$62,$R$1930))</f>
        <v/>
      </c>
      <c r="O1957" s="33">
        <f>IF($R$1930="","",INDEX(전체채점!R$3:R$62,$R$1930))</f>
        <v/>
      </c>
      <c r="P1957" s="33">
        <f>IF($R$1930="","",INDEX(전체채점!S$3:S$62,$R$1930))</f>
        <v/>
      </c>
    </row>
    <row r="1958">
      <c r="A1958" s="52" t="inlineStr">
        <is>
          <t>정오</t>
        </is>
      </c>
      <c r="B1958" s="33">
        <f>IF($R$1930="","",INDEX(전체채점!AX$3:AX$62,$R$1930))</f>
        <v/>
      </c>
      <c r="C1958" s="33">
        <f>IF($R$1930="","",INDEX(전체채점!AY$3:AY$62,$R$1930))</f>
        <v/>
      </c>
      <c r="D1958" s="33">
        <f>IF($R$1930="","",INDEX(전체채점!AZ$3:AZ$62,$R$1930))</f>
        <v/>
      </c>
      <c r="E1958" s="33">
        <f>IF($R$1930="","",INDEX(전체채점!BA$3:BA$62,$R$1930))</f>
        <v/>
      </c>
      <c r="F1958" s="33">
        <f>IF($R$1930="","",INDEX(전체채점!BB$3:BB$62,$R$1930))</f>
        <v/>
      </c>
      <c r="G1958" s="33">
        <f>IF($R$1930="","",INDEX(전체채점!BC$3:BC$62,$R$1930))</f>
        <v/>
      </c>
      <c r="H1958" s="33">
        <f>IF($R$1930="","",INDEX(전체채점!BD$3:BD$62,$R$1930))</f>
        <v/>
      </c>
      <c r="I1958" s="33">
        <f>IF($R$1930="","",INDEX(전체채점!BE$3:BE$62,$R$1930))</f>
        <v/>
      </c>
      <c r="J1958" s="33">
        <f>IF($R$1930="","",INDEX(전체채점!BF$3:BF$62,$R$1930))</f>
        <v/>
      </c>
      <c r="K1958" s="33">
        <f>IF($R$1930="","",INDEX(전체채점!BG$3:BG$62,$R$1930))</f>
        <v/>
      </c>
      <c r="L1958" s="33">
        <f>IF($R$1930="","",INDEX(전체채점!BH$3:BH$62,$R$1930))</f>
        <v/>
      </c>
      <c r="M1958" s="33">
        <f>IF($R$1930="","",INDEX(전체채점!BI$3:BI$62,$R$1930))</f>
        <v/>
      </c>
      <c r="N1958" s="33">
        <f>IF($R$1930="","",INDEX(전체채점!BJ$3:BJ$62,$R$1930))</f>
        <v/>
      </c>
      <c r="O1958" s="33">
        <f>IF($R$1930="","",INDEX(전체채점!BK$3:BK$62,$R$1930))</f>
        <v/>
      </c>
      <c r="P1958" s="33">
        <f>IF($R$1930="","",INDEX(전체채점!BL$3:BL$62,$R$1930))</f>
        <v/>
      </c>
    </row>
    <row r="1959">
      <c r="A1959" s="50" t="inlineStr">
        <is>
          <t>문항 번호</t>
        </is>
      </c>
      <c r="B1959" s="51" t="n">
        <v>16</v>
      </c>
      <c r="C1959" s="51" t="n">
        <v>17</v>
      </c>
      <c r="D1959" s="51" t="n">
        <v>18</v>
      </c>
      <c r="E1959" s="51" t="n">
        <v>19</v>
      </c>
      <c r="F1959" s="51" t="n">
        <v>20</v>
      </c>
      <c r="G1959" s="51" t="n">
        <v>21</v>
      </c>
      <c r="H1959" s="51" t="n">
        <v>22</v>
      </c>
      <c r="I1959" s="51" t="n">
        <v>23</v>
      </c>
      <c r="J1959" s="51" t="n">
        <v>24</v>
      </c>
      <c r="K1959" s="51" t="n">
        <v>25</v>
      </c>
      <c r="L1959" s="51" t="n">
        <v>26</v>
      </c>
      <c r="M1959" s="51" t="n">
        <v>27</v>
      </c>
      <c r="N1959" s="51" t="n">
        <v>28</v>
      </c>
      <c r="O1959" s="51" t="n">
        <v>29</v>
      </c>
      <c r="P1959" s="51" t="n">
        <v>30</v>
      </c>
    </row>
    <row r="1960">
      <c r="A1960" s="52" t="inlineStr">
        <is>
          <t>정답</t>
        </is>
      </c>
      <c r="B1960" s="33">
        <f>IF($R$1931="","",IF($R$1931="언어와 매체",자동계산!$D$19,자동계산!$B$19))</f>
        <v/>
      </c>
      <c r="C1960" s="33">
        <f>IF($R$1931="","",IF($R$1931="언어와 매체",자동계산!$D$20,자동계산!$B$20))</f>
        <v/>
      </c>
      <c r="D1960" s="33">
        <f>IF($R$1931="","",IF($R$1931="언어와 매체",자동계산!$D$21,자동계산!$B$21))</f>
        <v/>
      </c>
      <c r="E1960" s="33">
        <f>IF($R$1931="","",IF($R$1931="언어와 매체",자동계산!$D$22,자동계산!$B$22))</f>
        <v/>
      </c>
      <c r="F1960" s="33">
        <f>IF($R$1931="","",IF($R$1931="언어와 매체",자동계산!$D$23,자동계산!$B$23))</f>
        <v/>
      </c>
      <c r="G1960" s="33">
        <f>IF($R$1931="","",IF($R$1931="언어와 매체",자동계산!$D$24,자동계산!$B$24))</f>
        <v/>
      </c>
      <c r="H1960" s="33">
        <f>IF($R$1931="","",IF($R$1931="언어와 매체",자동계산!$D$25,자동계산!$B$25))</f>
        <v/>
      </c>
      <c r="I1960" s="33">
        <f>IF($R$1931="","",IF($R$1931="언어와 매체",자동계산!$D$26,자동계산!$B$26))</f>
        <v/>
      </c>
      <c r="J1960" s="33">
        <f>IF($R$1931="","",IF($R$1931="언어와 매체",자동계산!$D$27,자동계산!$B$27))</f>
        <v/>
      </c>
      <c r="K1960" s="33">
        <f>IF($R$1931="","",IF($R$1931="언어와 매체",자동계산!$D$28,자동계산!$B$28))</f>
        <v/>
      </c>
      <c r="L1960" s="33">
        <f>IF($R$1931="","",IF($R$1931="언어와 매체",자동계산!$D$29,자동계산!$B$29))</f>
        <v/>
      </c>
      <c r="M1960" s="33">
        <f>IF($R$1931="","",IF($R$1931="언어와 매체",자동계산!$D$30,자동계산!$B$30))</f>
        <v/>
      </c>
      <c r="N1960" s="33">
        <f>IF($R$1931="","",IF($R$1931="언어와 매체",자동계산!$D$31,자동계산!$B$31))</f>
        <v/>
      </c>
      <c r="O1960" s="33">
        <f>IF($R$1931="","",IF($R$1931="언어와 매체",자동계산!$D$32,자동계산!$B$32))</f>
        <v/>
      </c>
      <c r="P1960" s="33">
        <f>IF($R$1931="","",IF($R$1931="언어와 매체",자동계산!$D$33,자동계산!$B$33))</f>
        <v/>
      </c>
    </row>
    <row r="1961">
      <c r="A1961" s="52" t="inlineStr">
        <is>
          <t>학생답안</t>
        </is>
      </c>
      <c r="B1961" s="33">
        <f>IF($R$1930="","",INDEX(전체채점!T$3:T$62,$R$1930))</f>
        <v/>
      </c>
      <c r="C1961" s="33">
        <f>IF($R$1930="","",INDEX(전체채점!U$3:U$62,$R$1930))</f>
        <v/>
      </c>
      <c r="D1961" s="33">
        <f>IF($R$1930="","",INDEX(전체채점!V$3:V$62,$R$1930))</f>
        <v/>
      </c>
      <c r="E1961" s="33">
        <f>IF($R$1930="","",INDEX(전체채점!W$3:W$62,$R$1930))</f>
        <v/>
      </c>
      <c r="F1961" s="33">
        <f>IF($R$1930="","",INDEX(전체채점!X$3:X$62,$R$1930))</f>
        <v/>
      </c>
      <c r="G1961" s="33">
        <f>IF($R$1930="","",INDEX(전체채점!Y$3:Y$62,$R$1930))</f>
        <v/>
      </c>
      <c r="H1961" s="33">
        <f>IF($R$1930="","",INDEX(전체채점!Z$3:Z$62,$R$1930))</f>
        <v/>
      </c>
      <c r="I1961" s="33">
        <f>IF($R$1930="","",INDEX(전체채점!AA$3:AA$62,$R$1930))</f>
        <v/>
      </c>
      <c r="J1961" s="33">
        <f>IF($R$1930="","",INDEX(전체채점!AB$3:AB$62,$R$1930))</f>
        <v/>
      </c>
      <c r="K1961" s="33">
        <f>IF($R$1930="","",INDEX(전체채점!AC$3:AC$62,$R$1930))</f>
        <v/>
      </c>
      <c r="L1961" s="33">
        <f>IF($R$1930="","",INDEX(전체채점!AD$3:AD$62,$R$1930))</f>
        <v/>
      </c>
      <c r="M1961" s="33">
        <f>IF($R$1930="","",INDEX(전체채점!AE$3:AE$62,$R$1930))</f>
        <v/>
      </c>
      <c r="N1961" s="33">
        <f>IF($R$1930="","",INDEX(전체채점!AF$3:AF$62,$R$1930))</f>
        <v/>
      </c>
      <c r="O1961" s="33">
        <f>IF($R$1930="","",INDEX(전체채점!AG$3:AG$62,$R$1930))</f>
        <v/>
      </c>
      <c r="P1961" s="33">
        <f>IF($R$1930="","",INDEX(전체채점!AH$3:AH$62,$R$1930))</f>
        <v/>
      </c>
    </row>
    <row r="1962">
      <c r="A1962" s="52" t="inlineStr">
        <is>
          <t>정오</t>
        </is>
      </c>
      <c r="B1962" s="33">
        <f>IF($R$1930="","",INDEX(전체채점!BM$3:BM$62,$R$1930))</f>
        <v/>
      </c>
      <c r="C1962" s="33">
        <f>IF($R$1930="","",INDEX(전체채점!BN$3:BN$62,$R$1930))</f>
        <v/>
      </c>
      <c r="D1962" s="33">
        <f>IF($R$1930="","",INDEX(전체채점!BO$3:BO$62,$R$1930))</f>
        <v/>
      </c>
      <c r="E1962" s="33">
        <f>IF($R$1930="","",INDEX(전체채점!BP$3:BP$62,$R$1930))</f>
        <v/>
      </c>
      <c r="F1962" s="33">
        <f>IF($R$1930="","",INDEX(전체채점!BQ$3:BQ$62,$R$1930))</f>
        <v/>
      </c>
      <c r="G1962" s="33">
        <f>IF($R$1930="","",INDEX(전체채점!BR$3:BR$62,$R$1930))</f>
        <v/>
      </c>
      <c r="H1962" s="33">
        <f>IF($R$1930="","",INDEX(전체채점!BS$3:BS$62,$R$1930))</f>
        <v/>
      </c>
      <c r="I1962" s="33">
        <f>IF($R$1930="","",INDEX(전체채점!BT$3:BT$62,$R$1930))</f>
        <v/>
      </c>
      <c r="J1962" s="33">
        <f>IF($R$1930="","",INDEX(전체채점!BU$3:BU$62,$R$1930))</f>
        <v/>
      </c>
      <c r="K1962" s="33">
        <f>IF($R$1930="","",INDEX(전체채점!BV$3:BV$62,$R$1930))</f>
        <v/>
      </c>
      <c r="L1962" s="33">
        <f>IF($R$1930="","",INDEX(전체채점!BW$3:BW$62,$R$1930))</f>
        <v/>
      </c>
      <c r="M1962" s="33">
        <f>IF($R$1930="","",INDEX(전체채점!BX$3:BX$62,$R$1930))</f>
        <v/>
      </c>
      <c r="N1962" s="33">
        <f>IF($R$1930="","",INDEX(전체채점!BY$3:BY$62,$R$1930))</f>
        <v/>
      </c>
      <c r="O1962" s="33">
        <f>IF($R$1930="","",INDEX(전체채점!BZ$3:BZ$62,$R$1930))</f>
        <v/>
      </c>
      <c r="P1962" s="33">
        <f>IF($R$1930="","",INDEX(전체채점!CA$3:CA$62,$R$1930))</f>
        <v/>
      </c>
    </row>
    <row r="1963">
      <c r="A1963" s="50" t="inlineStr">
        <is>
          <t>문항 번호</t>
        </is>
      </c>
      <c r="B1963" s="51" t="n">
        <v>31</v>
      </c>
      <c r="C1963" s="51" t="n">
        <v>32</v>
      </c>
      <c r="D1963" s="51" t="n">
        <v>33</v>
      </c>
      <c r="E1963" s="51" t="n">
        <v>34</v>
      </c>
      <c r="F1963" s="51" t="n">
        <v>35</v>
      </c>
      <c r="G1963" s="51" t="n">
        <v>36</v>
      </c>
      <c r="H1963" s="51" t="n">
        <v>37</v>
      </c>
      <c r="I1963" s="51" t="n">
        <v>38</v>
      </c>
      <c r="J1963" s="51" t="n">
        <v>39</v>
      </c>
      <c r="K1963" s="51" t="n">
        <v>40</v>
      </c>
      <c r="L1963" s="51" t="n">
        <v>41</v>
      </c>
      <c r="M1963" s="51" t="n">
        <v>42</v>
      </c>
      <c r="N1963" s="51" t="n">
        <v>43</v>
      </c>
      <c r="O1963" s="51" t="n">
        <v>44</v>
      </c>
      <c r="P1963" s="51" t="n">
        <v>45</v>
      </c>
    </row>
    <row r="1964">
      <c r="A1964" s="52" t="inlineStr">
        <is>
          <t>정답</t>
        </is>
      </c>
      <c r="B1964" s="33">
        <f>IF($R$1931="","",IF($R$1931="언어와 매체",자동계산!$D$34,자동계산!$B$34))</f>
        <v/>
      </c>
      <c r="C1964" s="33">
        <f>IF($R$1931="","",IF($R$1931="언어와 매체",자동계산!$D$35,자동계산!$B$35))</f>
        <v/>
      </c>
      <c r="D1964" s="33">
        <f>IF($R$1931="","",IF($R$1931="언어와 매체",자동계산!$D$36,자동계산!$B$36))</f>
        <v/>
      </c>
      <c r="E1964" s="33">
        <f>IF($R$1931="","",IF($R$1931="언어와 매체",자동계산!$D$37,자동계산!$B$37))</f>
        <v/>
      </c>
      <c r="F1964" s="33">
        <f>IF($R$1931="","",IF($R$1931="언어와 매체",자동계산!$D$38,자동계산!$B$38))</f>
        <v/>
      </c>
      <c r="G1964" s="33">
        <f>IF($R$1931="","",IF($R$1931="언어와 매체",자동계산!$D$39,자동계산!$B$39))</f>
        <v/>
      </c>
      <c r="H1964" s="33">
        <f>IF($R$1931="","",IF($R$1931="언어와 매체",자동계산!$D$40,자동계산!$B$40))</f>
        <v/>
      </c>
      <c r="I1964" s="33">
        <f>IF($R$1931="","",IF($R$1931="언어와 매체",자동계산!$D$41,자동계산!$B$41))</f>
        <v/>
      </c>
      <c r="J1964" s="33">
        <f>IF($R$1931="","",IF($R$1931="언어와 매체",자동계산!$D$42,자동계산!$B$42))</f>
        <v/>
      </c>
      <c r="K1964" s="33">
        <f>IF($R$1931="","",IF($R$1931="언어와 매체",자동계산!$D$43,자동계산!$B$43))</f>
        <v/>
      </c>
      <c r="L1964" s="33">
        <f>IF($R$1931="","",IF($R$1931="언어와 매체",자동계산!$D$44,자동계산!$B$44))</f>
        <v/>
      </c>
      <c r="M1964" s="33">
        <f>IF($R$1931="","",IF($R$1931="언어와 매체",자동계산!$D$45,자동계산!$B$45))</f>
        <v/>
      </c>
      <c r="N1964" s="33">
        <f>IF($R$1931="","",IF($R$1931="언어와 매체",자동계산!$D$46,자동계산!$B$46))</f>
        <v/>
      </c>
      <c r="O1964" s="33">
        <f>IF($R$1931="","",IF($R$1931="언어와 매체",자동계산!$D$47,자동계산!$B$47))</f>
        <v/>
      </c>
      <c r="P1964" s="33">
        <f>IF($R$1931="","",IF($R$1931="언어와 매체",자동계산!$D$48,자동계산!$B$48))</f>
        <v/>
      </c>
    </row>
    <row r="1965">
      <c r="A1965" s="52" t="inlineStr">
        <is>
          <t>학생답안</t>
        </is>
      </c>
      <c r="B1965" s="33">
        <f>IF($R$1930="","",INDEX(전체채점!AI$3:AI$62,$R$1930))</f>
        <v/>
      </c>
      <c r="C1965" s="33">
        <f>IF($R$1930="","",INDEX(전체채점!AJ$3:AJ$62,$R$1930))</f>
        <v/>
      </c>
      <c r="D1965" s="33">
        <f>IF($R$1930="","",INDEX(전체채점!AK$3:AK$62,$R$1930))</f>
        <v/>
      </c>
      <c r="E1965" s="33">
        <f>IF($R$1930="","",INDEX(전체채점!AL$3:AL$62,$R$1930))</f>
        <v/>
      </c>
      <c r="F1965" s="33">
        <f>IF($R$1930="","",INDEX(전체채점!AM$3:AM$62,$R$1930))</f>
        <v/>
      </c>
      <c r="G1965" s="33">
        <f>IF($R$1930="","",INDEX(전체채점!AN$3:AN$62,$R$1930))</f>
        <v/>
      </c>
      <c r="H1965" s="33">
        <f>IF($R$1930="","",INDEX(전체채점!AO$3:AO$62,$R$1930))</f>
        <v/>
      </c>
      <c r="I1965" s="33">
        <f>IF($R$1930="","",INDEX(전체채점!AP$3:AP$62,$R$1930))</f>
        <v/>
      </c>
      <c r="J1965" s="33">
        <f>IF($R$1930="","",INDEX(전체채점!AQ$3:AQ$62,$R$1930))</f>
        <v/>
      </c>
      <c r="K1965" s="33">
        <f>IF($R$1930="","",INDEX(전체채점!AR$3:AR$62,$R$1930))</f>
        <v/>
      </c>
      <c r="L1965" s="33">
        <f>IF($R$1930="","",INDEX(전체채점!AS$3:AS$62,$R$1930))</f>
        <v/>
      </c>
      <c r="M1965" s="33">
        <f>IF($R$1930="","",INDEX(전체채점!AT$3:AT$62,$R$1930))</f>
        <v/>
      </c>
      <c r="N1965" s="33">
        <f>IF($R$1930="","",INDEX(전체채점!AU$3:AU$62,$R$1930))</f>
        <v/>
      </c>
      <c r="O1965" s="33">
        <f>IF($R$1930="","",INDEX(전체채점!AV$3:AV$62,$R$1930))</f>
        <v/>
      </c>
      <c r="P1965" s="33">
        <f>IF($R$1930="","",INDEX(전체채점!AW$3:AW$62,$R$1930))</f>
        <v/>
      </c>
    </row>
    <row r="1966">
      <c r="A1966" s="52" t="inlineStr">
        <is>
          <t>정오</t>
        </is>
      </c>
      <c r="B1966" s="33">
        <f>IF($R$1930="","",INDEX(전체채점!CB$3:CB$62,$R$1930))</f>
        <v/>
      </c>
      <c r="C1966" s="33">
        <f>IF($R$1930="","",INDEX(전체채점!CC$3:CC$62,$R$1930))</f>
        <v/>
      </c>
      <c r="D1966" s="33">
        <f>IF($R$1930="","",INDEX(전체채점!CD$3:CD$62,$R$1930))</f>
        <v/>
      </c>
      <c r="E1966" s="33">
        <f>IF($R$1930="","",INDEX(전체채점!CE$3:CE$62,$R$1930))</f>
        <v/>
      </c>
      <c r="F1966" s="33">
        <f>IF($R$1930="","",INDEX(전체채점!CF$3:CF$62,$R$1930))</f>
        <v/>
      </c>
      <c r="G1966" s="33">
        <f>IF($R$1930="","",INDEX(전체채점!CG$3:CG$62,$R$1930))</f>
        <v/>
      </c>
      <c r="H1966" s="33">
        <f>IF($R$1930="","",INDEX(전체채점!CH$3:CH$62,$R$1930))</f>
        <v/>
      </c>
      <c r="I1966" s="33">
        <f>IF($R$1930="","",INDEX(전체채점!CI$3:CI$62,$R$1930))</f>
        <v/>
      </c>
      <c r="J1966" s="33">
        <f>IF($R$1930="","",INDEX(전체채점!CJ$3:CJ$62,$R$1930))</f>
        <v/>
      </c>
      <c r="K1966" s="33">
        <f>IF($R$1930="","",INDEX(전체채점!CK$3:CK$62,$R$1930))</f>
        <v/>
      </c>
      <c r="L1966" s="33">
        <f>IF($R$1930="","",INDEX(전체채점!CL$3:CL$62,$R$1930))</f>
        <v/>
      </c>
      <c r="M1966" s="33">
        <f>IF($R$1930="","",INDEX(전체채점!CM$3:CM$62,$R$1930))</f>
        <v/>
      </c>
      <c r="N1966" s="33">
        <f>IF($R$1930="","",INDEX(전체채점!CN$3:CN$62,$R$1930))</f>
        <v/>
      </c>
      <c r="O1966" s="33">
        <f>IF($R$1930="","",INDEX(전체채점!CO$3:CO$62,$R$1930))</f>
        <v/>
      </c>
      <c r="P1966" s="33">
        <f>IF($R$1930="","",INDEX(전체채점!CP$3:CP$62,$R$1930))</f>
        <v/>
      </c>
    </row>
    <row r="1969" ht="34" customHeight="1">
      <c r="A1969" s="36">
        <f>IF($R$1971="","",회차설정!$B$2&amp;" 성적표")</f>
        <v/>
      </c>
    </row>
    <row r="1971">
      <c r="A1971" s="12" t="inlineStr">
        <is>
          <t>1. 학생정보</t>
        </is>
      </c>
      <c r="R1971" s="37">
        <f>IF(답안입력!$A$51="","",49)</f>
        <v/>
      </c>
      <c r="S1971" s="37">
        <f>IF($R$1972="","",IFERROR(IF($R$1972="언어와 매체",MATCH(1,회차설정!$G$13:$G$27,0),MATCH(1,회차설정!$F$13:$F$27,0)),""))</f>
        <v/>
      </c>
    </row>
    <row r="1972">
      <c r="A1972" s="13" t="inlineStr">
        <is>
          <t>성명</t>
        </is>
      </c>
      <c r="B1972" s="7" t="n"/>
      <c r="C1972" s="8" t="n"/>
      <c r="D1972" s="13" t="inlineStr">
        <is>
          <t>선택과목</t>
        </is>
      </c>
      <c r="E1972" s="7" t="n"/>
      <c r="F1972" s="7" t="n"/>
      <c r="G1972" s="8" t="n"/>
      <c r="H1972" s="13" t="inlineStr">
        <is>
          <t>학년</t>
        </is>
      </c>
      <c r="I1972" s="7" t="n"/>
      <c r="J1972" s="7" t="n"/>
      <c r="K1972" s="8" t="n"/>
      <c r="L1972" s="13" t="inlineStr">
        <is>
          <t>시행일</t>
        </is>
      </c>
      <c r="M1972" s="7" t="n"/>
      <c r="N1972" s="7" t="n"/>
      <c r="O1972" s="7" t="n"/>
      <c r="P1972" s="8" t="n"/>
      <c r="R1972" s="37">
        <f>IF($R$1971="","",INDEX(전체채점!$B$3:$B$62,$R$1971))</f>
        <v/>
      </c>
      <c r="S1972" s="37">
        <f>IF($R$1972="","",IFERROR(IF($R$1972="언어와 매체",MATCH(2,회차설정!$G$13:$G$27,0),MATCH(2,회차설정!$F$13:$F$27,0)),""))</f>
        <v/>
      </c>
    </row>
    <row r="1973" ht="26" customHeight="1">
      <c r="A1973" s="39">
        <f>IF($R$1971="","",INDEX(답안입력!$A$3:$A$62,$R$1971))</f>
        <v/>
      </c>
      <c r="B1973" s="7" t="n"/>
      <c r="C1973" s="8" t="n"/>
      <c r="D1973" s="39">
        <f>IF($R$1971="","",INDEX(답안입력!$C$3:$C$62,$R$1971))</f>
        <v/>
      </c>
      <c r="E1973" s="7" t="n"/>
      <c r="F1973" s="7" t="n"/>
      <c r="G1973" s="8" t="n"/>
      <c r="H1973" s="39">
        <f>IF($R$1971="","",INDEX(답안입력!$B$3:$B$62,$R$1971))</f>
        <v/>
      </c>
      <c r="I1973" s="7" t="n"/>
      <c r="J1973" s="7" t="n"/>
      <c r="K1973" s="8" t="n"/>
      <c r="L1973" s="40">
        <f>회차설정!$B$3</f>
        <v/>
      </c>
      <c r="M1973" s="7" t="n"/>
      <c r="N1973" s="7" t="n"/>
      <c r="O1973" s="7" t="n"/>
      <c r="P1973" s="8" t="n"/>
      <c r="R1973" s="37">
        <f>IF($R$1972="언어와 매체",회차설정!$B$9,회차설정!$B$8)</f>
        <v/>
      </c>
      <c r="S1973" s="37">
        <f>IF($R$1972="","",IFERROR(IF($R$1972="언어와 매체",MATCH(3,회차설정!$G$13:$G$27,0),MATCH(3,회차설정!$F$13:$F$27,0)),""))</f>
        <v/>
      </c>
    </row>
    <row r="1974">
      <c r="R1974" s="37">
        <f>IF($R$1972="언어와 매체",회차설정!$C$9,회차설정!$C$8)</f>
        <v/>
      </c>
      <c r="S1974" s="37">
        <f>IF($R$1972="","",IFERROR(IF($R$1972="언어와 매체",MATCH(4,회차설정!$G$13:$G$27,0),MATCH(4,회차설정!$F$13:$F$27,0)),""))</f>
        <v/>
      </c>
    </row>
    <row r="1975">
      <c r="A1975" s="12" t="inlineStr">
        <is>
          <t>2. 성적</t>
        </is>
      </c>
      <c r="R1975" s="37">
        <f>IF($R$1972="언어와 매체",회차설정!$D$9,회차설정!$D$8)</f>
        <v/>
      </c>
      <c r="S1975" s="37">
        <f>IF($R$1972="","",IFERROR(IF($R$1972="언어와 매체",MATCH(5,회차설정!$G$13:$G$27,0),MATCH(5,회차설정!$F$13:$F$27,0)),""))</f>
        <v/>
      </c>
    </row>
    <row r="1976">
      <c r="A1976" s="13" t="inlineStr">
        <is>
          <t>점수 (100점 만점)</t>
        </is>
      </c>
      <c r="B1976" s="7" t="n"/>
      <c r="C1976" s="7" t="n"/>
      <c r="D1976" s="7" t="n"/>
      <c r="E1976" s="8" t="n"/>
      <c r="F1976" s="13" t="inlineStr">
        <is>
          <t>등급</t>
        </is>
      </c>
      <c r="G1976" s="7" t="n"/>
      <c r="H1976" s="8" t="n"/>
      <c r="I1976" s="13" t="inlineStr">
        <is>
          <t>등급컷</t>
        </is>
      </c>
      <c r="J1976" s="7" t="n"/>
      <c r="K1976" s="7" t="n"/>
      <c r="L1976" s="8" t="n"/>
      <c r="M1976" s="13" t="inlineStr">
        <is>
          <t>같은 선택과목 평균</t>
        </is>
      </c>
      <c r="N1976" s="7" t="n"/>
      <c r="O1976" s="7" t="n"/>
      <c r="P1976" s="8" t="n"/>
      <c r="R1976" s="37">
        <f>IF($R$1972="언어와 매체",회차설정!$E$9,회차설정!$E$8)</f>
        <v/>
      </c>
      <c r="S1976" s="37">
        <f>IF($R$1972="","",IFERROR(IF($R$1972="언어와 매체",MATCH(6,회차설정!$G$13:$G$27,0),MATCH(6,회차설정!$F$13:$F$27,0)),""))</f>
        <v/>
      </c>
    </row>
    <row r="1977" ht="34" customHeight="1">
      <c r="A1977" s="41">
        <f>IF($R$1971="","",INDEX(전체채점!$C$3:$C$62,$R$1971))</f>
        <v/>
      </c>
      <c r="B1977" s="7" t="n"/>
      <c r="C1977" s="7" t="n"/>
      <c r="D1977" s="7" t="n"/>
      <c r="E1977" s="8" t="n"/>
      <c r="F1977" s="42">
        <f>IF($R$1971="","",INDEX(전체채점!$D$3:$D$62,$R$1971))</f>
        <v/>
      </c>
      <c r="G1977" s="7" t="n"/>
      <c r="H1977" s="8" t="n"/>
      <c r="I1977" s="43">
        <f>IF($R$1971="","",$R$1973&amp;"-"&amp;$R$1974&amp;"-"&amp;$R$1975&amp;"-"&amp;$R$1976)</f>
        <v/>
      </c>
      <c r="J1977" s="7" t="n"/>
      <c r="K1977" s="7" t="n"/>
      <c r="L1977" s="8" t="n"/>
      <c r="M1977" s="44">
        <f>IFERROR(AVERAGEIF(전체채점!$B$3:$B$62,$R$1972,전체채점!$C$3:$C$62),"")</f>
        <v/>
      </c>
      <c r="N1977" s="7" t="n"/>
      <c r="O1977" s="7" t="n"/>
      <c r="P1977" s="8" t="n"/>
      <c r="S1977" s="37">
        <f>IF($R$1972="","",IFERROR(IF($R$1972="언어와 매체",MATCH(7,회차설정!$G$13:$G$27,0),MATCH(7,회차설정!$F$13:$F$27,0)),""))</f>
        <v/>
      </c>
    </row>
    <row r="1978">
      <c r="S1978" s="37">
        <f>IF($R$1972="","",IFERROR(IF($R$1972="언어와 매체",MATCH(8,회차설정!$G$13:$G$27,0),MATCH(8,회차설정!$F$13:$F$27,0)),""))</f>
        <v/>
      </c>
    </row>
    <row r="1979">
      <c r="A1979" s="12" t="inlineStr">
        <is>
          <t>3. 영역분류별 성취도 분석</t>
        </is>
      </c>
      <c r="F1979" s="45">
        <f>IF(OR($R$1971="",$E1993=""),"",IF($E1993=INDEX(전체채점!$C$3:$C$62,$R$1971),"","※ 회차설정의 영역 표를 확인하세요 — 영역 합계와 점수가 다릅니다"))</f>
        <v/>
      </c>
      <c r="S1979" s="37">
        <f>IF($R$1972="","",IFERROR(IF($R$1972="언어와 매체",MATCH(9,회차설정!$G$13:$G$27,0),MATCH(9,회차설정!$F$13:$F$27,0)),""))</f>
        <v/>
      </c>
    </row>
    <row r="1980">
      <c r="A1980" s="13" t="inlineStr">
        <is>
          <t>분류</t>
        </is>
      </c>
      <c r="B1980" s="13" t="inlineStr">
        <is>
          <t>영역</t>
        </is>
      </c>
      <c r="C1980" s="8" t="n"/>
      <c r="D1980" s="13" t="inlineStr">
        <is>
          <t>배점</t>
        </is>
      </c>
      <c r="E1980" s="13" t="inlineStr">
        <is>
          <t>득점</t>
        </is>
      </c>
      <c r="F1980" s="13" t="inlineStr">
        <is>
          <t>성취도(%)</t>
        </is>
      </c>
      <c r="G1980" s="8" t="n"/>
      <c r="H1980" s="13" t="inlineStr"/>
      <c r="I1980" s="7" t="n"/>
      <c r="J1980" s="7" t="n"/>
      <c r="K1980" s="7" t="n"/>
      <c r="L1980" s="7" t="n"/>
      <c r="M1980" s="7" t="n"/>
      <c r="N1980" s="7" t="n"/>
      <c r="O1980" s="7" t="n"/>
      <c r="P1980" s="8" t="n"/>
      <c r="S1980" s="37">
        <f>IF($R$1972="","",IFERROR(IF($R$1972="언어와 매체",MATCH(10,회차설정!$G$13:$G$27,0),MATCH(10,회차설정!$F$13:$F$27,0)),""))</f>
        <v/>
      </c>
    </row>
    <row r="1981">
      <c r="A1981" s="14">
        <f>IF($S$1971="","",INDEX(회차설정!$A$13:$A$27,$S$1971))</f>
        <v/>
      </c>
      <c r="B1981" s="14">
        <f>IF($S$1971="","",INDEX(회차설정!$B$13:$B$27,$S$1971))</f>
        <v/>
      </c>
      <c r="C1981" s="8" t="n"/>
      <c r="D1981" s="14">
        <f>IF($S$1971="","",IF($R$1972="언어와 매체",SUMPRODUCT((자동계산!$A$4:$A$48&gt;=INDEX(회차설정!$C$13:$C$27,$S$1971))*(자동계산!$A$4:$A$48&lt;=INDEX(회차설정!$D$13:$D$27,$S$1971))*자동계산!$E$4:$E$48),SUMPRODUCT((자동계산!$A$4:$A$48&gt;=INDEX(회차설정!$C$13:$C$27,$S$1971))*(자동계산!$A$4:$A$48&lt;=INDEX(회차설정!$D$13:$D$27,$S$1971))*자동계산!$C$4:$C$48)))</f>
        <v/>
      </c>
      <c r="E1981" s="14">
        <f>IF(OR($S$1971="",$R$1971=""),"",SUM(OFFSET(전체채점!$AW$2,$R$1971,INDEX(회차설정!$C$13:$C$27,$S$1971),1,INDEX(회차설정!$D$13:$D$27,$S$1971)-INDEX(회차설정!$C$13:$C$27,$S$1971)+1)))</f>
        <v/>
      </c>
      <c r="F1981" s="46">
        <f>IF(OR($S$1971="",$D1981=0,$D1981="",$E1981=""),"",$E1981/$D1981*100)</f>
        <v/>
      </c>
      <c r="G1981" s="8" t="n"/>
      <c r="H1981" s="47">
        <f>IF($F1981="","",REPT("■",ROUND($F1981/5,0)))</f>
        <v/>
      </c>
      <c r="I1981" s="7" t="n"/>
      <c r="J1981" s="7" t="n"/>
      <c r="K1981" s="7" t="n"/>
      <c r="L1981" s="7" t="n"/>
      <c r="M1981" s="7" t="n"/>
      <c r="N1981" s="7" t="n"/>
      <c r="O1981" s="7" t="n"/>
      <c r="P1981" s="8" t="n"/>
      <c r="S1981" s="37">
        <f>IF($R$1972="","",IFERROR(IF($R$1972="언어와 매체",MATCH(11,회차설정!$G$13:$G$27,0),MATCH(11,회차설정!$F$13:$F$27,0)),""))</f>
        <v/>
      </c>
    </row>
    <row r="1982">
      <c r="A1982" s="14">
        <f>IF($S$1972="","",INDEX(회차설정!$A$13:$A$27,$S$1972))</f>
        <v/>
      </c>
      <c r="B1982" s="14">
        <f>IF($S$1972="","",INDEX(회차설정!$B$13:$B$27,$S$1972))</f>
        <v/>
      </c>
      <c r="C1982" s="8" t="n"/>
      <c r="D1982" s="14">
        <f>IF($S$1972="","",IF($R$1972="언어와 매체",SUMPRODUCT((자동계산!$A$4:$A$48&gt;=INDEX(회차설정!$C$13:$C$27,$S$1972))*(자동계산!$A$4:$A$48&lt;=INDEX(회차설정!$D$13:$D$27,$S$1972))*자동계산!$E$4:$E$48),SUMPRODUCT((자동계산!$A$4:$A$48&gt;=INDEX(회차설정!$C$13:$C$27,$S$1972))*(자동계산!$A$4:$A$48&lt;=INDEX(회차설정!$D$13:$D$27,$S$1972))*자동계산!$C$4:$C$48)))</f>
        <v/>
      </c>
      <c r="E1982" s="14">
        <f>IF(OR($S$1972="",$R$1971=""),"",SUM(OFFSET(전체채점!$AW$2,$R$1971,INDEX(회차설정!$C$13:$C$27,$S$1972),1,INDEX(회차설정!$D$13:$D$27,$S$1972)-INDEX(회차설정!$C$13:$C$27,$S$1972)+1)))</f>
        <v/>
      </c>
      <c r="F1982" s="46">
        <f>IF(OR($S$1972="",$D1982=0,$D1982="",$E1982=""),"",$E1982/$D1982*100)</f>
        <v/>
      </c>
      <c r="G1982" s="8" t="n"/>
      <c r="H1982" s="47">
        <f>IF($F1982="","",REPT("■",ROUND($F1982/5,0)))</f>
        <v/>
      </c>
      <c r="I1982" s="7" t="n"/>
      <c r="J1982" s="7" t="n"/>
      <c r="K1982" s="7" t="n"/>
      <c r="L1982" s="7" t="n"/>
      <c r="M1982" s="7" t="n"/>
      <c r="N1982" s="7" t="n"/>
      <c r="O1982" s="7" t="n"/>
      <c r="P1982" s="8" t="n"/>
      <c r="S1982" s="37">
        <f>IF($R$1972="","",IFERROR(IF($R$1972="언어와 매체",MATCH(12,회차설정!$G$13:$G$27,0),MATCH(12,회차설정!$F$13:$F$27,0)),""))</f>
        <v/>
      </c>
    </row>
    <row r="1983">
      <c r="A1983" s="14">
        <f>IF($S$1973="","",INDEX(회차설정!$A$13:$A$27,$S$1973))</f>
        <v/>
      </c>
      <c r="B1983" s="14">
        <f>IF($S$1973="","",INDEX(회차설정!$B$13:$B$27,$S$1973))</f>
        <v/>
      </c>
      <c r="C1983" s="8" t="n"/>
      <c r="D1983" s="14">
        <f>IF($S$1973="","",IF($R$1972="언어와 매체",SUMPRODUCT((자동계산!$A$4:$A$48&gt;=INDEX(회차설정!$C$13:$C$27,$S$1973))*(자동계산!$A$4:$A$48&lt;=INDEX(회차설정!$D$13:$D$27,$S$1973))*자동계산!$E$4:$E$48),SUMPRODUCT((자동계산!$A$4:$A$48&gt;=INDEX(회차설정!$C$13:$C$27,$S$1973))*(자동계산!$A$4:$A$48&lt;=INDEX(회차설정!$D$13:$D$27,$S$1973))*자동계산!$C$4:$C$48)))</f>
        <v/>
      </c>
      <c r="E1983" s="14">
        <f>IF(OR($S$1973="",$R$1971=""),"",SUM(OFFSET(전체채점!$AW$2,$R$1971,INDEX(회차설정!$C$13:$C$27,$S$1973),1,INDEX(회차설정!$D$13:$D$27,$S$1973)-INDEX(회차설정!$C$13:$C$27,$S$1973)+1)))</f>
        <v/>
      </c>
      <c r="F1983" s="46">
        <f>IF(OR($S$1973="",$D1983=0,$D1983="",$E1983=""),"",$E1983/$D1983*100)</f>
        <v/>
      </c>
      <c r="G1983" s="8" t="n"/>
      <c r="H1983" s="47">
        <f>IF($F1983="","",REPT("■",ROUND($F1983/5,0)))</f>
        <v/>
      </c>
      <c r="I1983" s="7" t="n"/>
      <c r="J1983" s="7" t="n"/>
      <c r="K1983" s="7" t="n"/>
      <c r="L1983" s="7" t="n"/>
      <c r="M1983" s="7" t="n"/>
      <c r="N1983" s="7" t="n"/>
      <c r="O1983" s="7" t="n"/>
      <c r="P1983" s="8" t="n"/>
    </row>
    <row r="1984">
      <c r="A1984" s="14">
        <f>IF($S$1974="","",INDEX(회차설정!$A$13:$A$27,$S$1974))</f>
        <v/>
      </c>
      <c r="B1984" s="14">
        <f>IF($S$1974="","",INDEX(회차설정!$B$13:$B$27,$S$1974))</f>
        <v/>
      </c>
      <c r="C1984" s="8" t="n"/>
      <c r="D1984" s="14">
        <f>IF($S$1974="","",IF($R$1972="언어와 매체",SUMPRODUCT((자동계산!$A$4:$A$48&gt;=INDEX(회차설정!$C$13:$C$27,$S$1974))*(자동계산!$A$4:$A$48&lt;=INDEX(회차설정!$D$13:$D$27,$S$1974))*자동계산!$E$4:$E$48),SUMPRODUCT((자동계산!$A$4:$A$48&gt;=INDEX(회차설정!$C$13:$C$27,$S$1974))*(자동계산!$A$4:$A$48&lt;=INDEX(회차설정!$D$13:$D$27,$S$1974))*자동계산!$C$4:$C$48)))</f>
        <v/>
      </c>
      <c r="E1984" s="14">
        <f>IF(OR($S$1974="",$R$1971=""),"",SUM(OFFSET(전체채점!$AW$2,$R$1971,INDEX(회차설정!$C$13:$C$27,$S$1974),1,INDEX(회차설정!$D$13:$D$27,$S$1974)-INDEX(회차설정!$C$13:$C$27,$S$1974)+1)))</f>
        <v/>
      </c>
      <c r="F1984" s="46">
        <f>IF(OR($S$1974="",$D1984=0,$D1984="",$E1984=""),"",$E1984/$D1984*100)</f>
        <v/>
      </c>
      <c r="G1984" s="8" t="n"/>
      <c r="H1984" s="47">
        <f>IF($F1984="","",REPT("■",ROUND($F1984/5,0)))</f>
        <v/>
      </c>
      <c r="I1984" s="7" t="n"/>
      <c r="J1984" s="7" t="n"/>
      <c r="K1984" s="7" t="n"/>
      <c r="L1984" s="7" t="n"/>
      <c r="M1984" s="7" t="n"/>
      <c r="N1984" s="7" t="n"/>
      <c r="O1984" s="7" t="n"/>
      <c r="P1984" s="8" t="n"/>
    </row>
    <row r="1985">
      <c r="A1985" s="14">
        <f>IF($S$1975="","",INDEX(회차설정!$A$13:$A$27,$S$1975))</f>
        <v/>
      </c>
      <c r="B1985" s="14">
        <f>IF($S$1975="","",INDEX(회차설정!$B$13:$B$27,$S$1975))</f>
        <v/>
      </c>
      <c r="C1985" s="8" t="n"/>
      <c r="D1985" s="14">
        <f>IF($S$1975="","",IF($R$1972="언어와 매체",SUMPRODUCT((자동계산!$A$4:$A$48&gt;=INDEX(회차설정!$C$13:$C$27,$S$1975))*(자동계산!$A$4:$A$48&lt;=INDEX(회차설정!$D$13:$D$27,$S$1975))*자동계산!$E$4:$E$48),SUMPRODUCT((자동계산!$A$4:$A$48&gt;=INDEX(회차설정!$C$13:$C$27,$S$1975))*(자동계산!$A$4:$A$48&lt;=INDEX(회차설정!$D$13:$D$27,$S$1975))*자동계산!$C$4:$C$48)))</f>
        <v/>
      </c>
      <c r="E1985" s="14">
        <f>IF(OR($S$1975="",$R$1971=""),"",SUM(OFFSET(전체채점!$AW$2,$R$1971,INDEX(회차설정!$C$13:$C$27,$S$1975),1,INDEX(회차설정!$D$13:$D$27,$S$1975)-INDEX(회차설정!$C$13:$C$27,$S$1975)+1)))</f>
        <v/>
      </c>
      <c r="F1985" s="46">
        <f>IF(OR($S$1975="",$D1985=0,$D1985="",$E1985=""),"",$E1985/$D1985*100)</f>
        <v/>
      </c>
      <c r="G1985" s="8" t="n"/>
      <c r="H1985" s="47">
        <f>IF($F1985="","",REPT("■",ROUND($F1985/5,0)))</f>
        <v/>
      </c>
      <c r="I1985" s="7" t="n"/>
      <c r="J1985" s="7" t="n"/>
      <c r="K1985" s="7" t="n"/>
      <c r="L1985" s="7" t="n"/>
      <c r="M1985" s="7" t="n"/>
      <c r="N1985" s="7" t="n"/>
      <c r="O1985" s="7" t="n"/>
      <c r="P1985" s="8" t="n"/>
    </row>
    <row r="1986">
      <c r="A1986" s="14">
        <f>IF($S$1976="","",INDEX(회차설정!$A$13:$A$27,$S$1976))</f>
        <v/>
      </c>
      <c r="B1986" s="14">
        <f>IF($S$1976="","",INDEX(회차설정!$B$13:$B$27,$S$1976))</f>
        <v/>
      </c>
      <c r="C1986" s="8" t="n"/>
      <c r="D1986" s="14">
        <f>IF($S$1976="","",IF($R$1972="언어와 매체",SUMPRODUCT((자동계산!$A$4:$A$48&gt;=INDEX(회차설정!$C$13:$C$27,$S$1976))*(자동계산!$A$4:$A$48&lt;=INDEX(회차설정!$D$13:$D$27,$S$1976))*자동계산!$E$4:$E$48),SUMPRODUCT((자동계산!$A$4:$A$48&gt;=INDEX(회차설정!$C$13:$C$27,$S$1976))*(자동계산!$A$4:$A$48&lt;=INDEX(회차설정!$D$13:$D$27,$S$1976))*자동계산!$C$4:$C$48)))</f>
        <v/>
      </c>
      <c r="E1986" s="14">
        <f>IF(OR($S$1976="",$R$1971=""),"",SUM(OFFSET(전체채점!$AW$2,$R$1971,INDEX(회차설정!$C$13:$C$27,$S$1976),1,INDEX(회차설정!$D$13:$D$27,$S$1976)-INDEX(회차설정!$C$13:$C$27,$S$1976)+1)))</f>
        <v/>
      </c>
      <c r="F1986" s="46">
        <f>IF(OR($S$1976="",$D1986=0,$D1986="",$E1986=""),"",$E1986/$D1986*100)</f>
        <v/>
      </c>
      <c r="G1986" s="8" t="n"/>
      <c r="H1986" s="47">
        <f>IF($F1986="","",REPT("■",ROUND($F1986/5,0)))</f>
        <v/>
      </c>
      <c r="I1986" s="7" t="n"/>
      <c r="J1986" s="7" t="n"/>
      <c r="K1986" s="7" t="n"/>
      <c r="L1986" s="7" t="n"/>
      <c r="M1986" s="7" t="n"/>
      <c r="N1986" s="7" t="n"/>
      <c r="O1986" s="7" t="n"/>
      <c r="P1986" s="8" t="n"/>
    </row>
    <row r="1987">
      <c r="A1987" s="14">
        <f>IF($S$1977="","",INDEX(회차설정!$A$13:$A$27,$S$1977))</f>
        <v/>
      </c>
      <c r="B1987" s="14">
        <f>IF($S$1977="","",INDEX(회차설정!$B$13:$B$27,$S$1977))</f>
        <v/>
      </c>
      <c r="C1987" s="8" t="n"/>
      <c r="D1987" s="14">
        <f>IF($S$1977="","",IF($R$1972="언어와 매체",SUMPRODUCT((자동계산!$A$4:$A$48&gt;=INDEX(회차설정!$C$13:$C$27,$S$1977))*(자동계산!$A$4:$A$48&lt;=INDEX(회차설정!$D$13:$D$27,$S$1977))*자동계산!$E$4:$E$48),SUMPRODUCT((자동계산!$A$4:$A$48&gt;=INDEX(회차설정!$C$13:$C$27,$S$1977))*(자동계산!$A$4:$A$48&lt;=INDEX(회차설정!$D$13:$D$27,$S$1977))*자동계산!$C$4:$C$48)))</f>
        <v/>
      </c>
      <c r="E1987" s="14">
        <f>IF(OR($S$1977="",$R$1971=""),"",SUM(OFFSET(전체채점!$AW$2,$R$1971,INDEX(회차설정!$C$13:$C$27,$S$1977),1,INDEX(회차설정!$D$13:$D$27,$S$1977)-INDEX(회차설정!$C$13:$C$27,$S$1977)+1)))</f>
        <v/>
      </c>
      <c r="F1987" s="46">
        <f>IF(OR($S$1977="",$D1987=0,$D1987="",$E1987=""),"",$E1987/$D1987*100)</f>
        <v/>
      </c>
      <c r="G1987" s="8" t="n"/>
      <c r="H1987" s="47">
        <f>IF($F1987="","",REPT("■",ROUND($F1987/5,0)))</f>
        <v/>
      </c>
      <c r="I1987" s="7" t="n"/>
      <c r="J1987" s="7" t="n"/>
      <c r="K1987" s="7" t="n"/>
      <c r="L1987" s="7" t="n"/>
      <c r="M1987" s="7" t="n"/>
      <c r="N1987" s="7" t="n"/>
      <c r="O1987" s="7" t="n"/>
      <c r="P1987" s="8" t="n"/>
    </row>
    <row r="1988">
      <c r="A1988" s="14">
        <f>IF($S$1978="","",INDEX(회차설정!$A$13:$A$27,$S$1978))</f>
        <v/>
      </c>
      <c r="B1988" s="14">
        <f>IF($S$1978="","",INDEX(회차설정!$B$13:$B$27,$S$1978))</f>
        <v/>
      </c>
      <c r="C1988" s="8" t="n"/>
      <c r="D1988" s="14">
        <f>IF($S$1978="","",IF($R$1972="언어와 매체",SUMPRODUCT((자동계산!$A$4:$A$48&gt;=INDEX(회차설정!$C$13:$C$27,$S$1978))*(자동계산!$A$4:$A$48&lt;=INDEX(회차설정!$D$13:$D$27,$S$1978))*자동계산!$E$4:$E$48),SUMPRODUCT((자동계산!$A$4:$A$48&gt;=INDEX(회차설정!$C$13:$C$27,$S$1978))*(자동계산!$A$4:$A$48&lt;=INDEX(회차설정!$D$13:$D$27,$S$1978))*자동계산!$C$4:$C$48)))</f>
        <v/>
      </c>
      <c r="E1988" s="14">
        <f>IF(OR($S$1978="",$R$1971=""),"",SUM(OFFSET(전체채점!$AW$2,$R$1971,INDEX(회차설정!$C$13:$C$27,$S$1978),1,INDEX(회차설정!$D$13:$D$27,$S$1978)-INDEX(회차설정!$C$13:$C$27,$S$1978)+1)))</f>
        <v/>
      </c>
      <c r="F1988" s="46">
        <f>IF(OR($S$1978="",$D1988=0,$D1988="",$E1988=""),"",$E1988/$D1988*100)</f>
        <v/>
      </c>
      <c r="G1988" s="8" t="n"/>
      <c r="H1988" s="47">
        <f>IF($F1988="","",REPT("■",ROUND($F1988/5,0)))</f>
        <v/>
      </c>
      <c r="I1988" s="7" t="n"/>
      <c r="J1988" s="7" t="n"/>
      <c r="K1988" s="7" t="n"/>
      <c r="L1988" s="7" t="n"/>
      <c r="M1988" s="7" t="n"/>
      <c r="N1988" s="7" t="n"/>
      <c r="O1988" s="7" t="n"/>
      <c r="P1988" s="8" t="n"/>
    </row>
    <row r="1989">
      <c r="A1989" s="14">
        <f>IF($S$1979="","",INDEX(회차설정!$A$13:$A$27,$S$1979))</f>
        <v/>
      </c>
      <c r="B1989" s="14">
        <f>IF($S$1979="","",INDEX(회차설정!$B$13:$B$27,$S$1979))</f>
        <v/>
      </c>
      <c r="C1989" s="8" t="n"/>
      <c r="D1989" s="14">
        <f>IF($S$1979="","",IF($R$1972="언어와 매체",SUMPRODUCT((자동계산!$A$4:$A$48&gt;=INDEX(회차설정!$C$13:$C$27,$S$1979))*(자동계산!$A$4:$A$48&lt;=INDEX(회차설정!$D$13:$D$27,$S$1979))*자동계산!$E$4:$E$48),SUMPRODUCT((자동계산!$A$4:$A$48&gt;=INDEX(회차설정!$C$13:$C$27,$S$1979))*(자동계산!$A$4:$A$48&lt;=INDEX(회차설정!$D$13:$D$27,$S$1979))*자동계산!$C$4:$C$48)))</f>
        <v/>
      </c>
      <c r="E1989" s="14">
        <f>IF(OR($S$1979="",$R$1971=""),"",SUM(OFFSET(전체채점!$AW$2,$R$1971,INDEX(회차설정!$C$13:$C$27,$S$1979),1,INDEX(회차설정!$D$13:$D$27,$S$1979)-INDEX(회차설정!$C$13:$C$27,$S$1979)+1)))</f>
        <v/>
      </c>
      <c r="F1989" s="46">
        <f>IF(OR($S$1979="",$D1989=0,$D1989="",$E1989=""),"",$E1989/$D1989*100)</f>
        <v/>
      </c>
      <c r="G1989" s="8" t="n"/>
      <c r="H1989" s="47">
        <f>IF($F1989="","",REPT("■",ROUND($F1989/5,0)))</f>
        <v/>
      </c>
      <c r="I1989" s="7" t="n"/>
      <c r="J1989" s="7" t="n"/>
      <c r="K1989" s="7" t="n"/>
      <c r="L1989" s="7" t="n"/>
      <c r="M1989" s="7" t="n"/>
      <c r="N1989" s="7" t="n"/>
      <c r="O1989" s="7" t="n"/>
      <c r="P1989" s="8" t="n"/>
    </row>
    <row r="1990">
      <c r="A1990" s="14">
        <f>IF($S$1980="","",INDEX(회차설정!$A$13:$A$27,$S$1980))</f>
        <v/>
      </c>
      <c r="B1990" s="14">
        <f>IF($S$1980="","",INDEX(회차설정!$B$13:$B$27,$S$1980))</f>
        <v/>
      </c>
      <c r="C1990" s="8" t="n"/>
      <c r="D1990" s="14">
        <f>IF($S$1980="","",IF($R$1972="언어와 매체",SUMPRODUCT((자동계산!$A$4:$A$48&gt;=INDEX(회차설정!$C$13:$C$27,$S$1980))*(자동계산!$A$4:$A$48&lt;=INDEX(회차설정!$D$13:$D$27,$S$1980))*자동계산!$E$4:$E$48),SUMPRODUCT((자동계산!$A$4:$A$48&gt;=INDEX(회차설정!$C$13:$C$27,$S$1980))*(자동계산!$A$4:$A$48&lt;=INDEX(회차설정!$D$13:$D$27,$S$1980))*자동계산!$C$4:$C$48)))</f>
        <v/>
      </c>
      <c r="E1990" s="14">
        <f>IF(OR($S$1980="",$R$1971=""),"",SUM(OFFSET(전체채점!$AW$2,$R$1971,INDEX(회차설정!$C$13:$C$27,$S$1980),1,INDEX(회차설정!$D$13:$D$27,$S$1980)-INDEX(회차설정!$C$13:$C$27,$S$1980)+1)))</f>
        <v/>
      </c>
      <c r="F1990" s="46">
        <f>IF(OR($S$1980="",$D1990=0,$D1990="",$E1990=""),"",$E1990/$D1990*100)</f>
        <v/>
      </c>
      <c r="G1990" s="8" t="n"/>
      <c r="H1990" s="47">
        <f>IF($F1990="","",REPT("■",ROUND($F1990/5,0)))</f>
        <v/>
      </c>
      <c r="I1990" s="7" t="n"/>
      <c r="J1990" s="7" t="n"/>
      <c r="K1990" s="7" t="n"/>
      <c r="L1990" s="7" t="n"/>
      <c r="M1990" s="7" t="n"/>
      <c r="N1990" s="7" t="n"/>
      <c r="O1990" s="7" t="n"/>
      <c r="P1990" s="8" t="n"/>
    </row>
    <row r="1991">
      <c r="A1991" s="14">
        <f>IF($S$1981="","",INDEX(회차설정!$A$13:$A$27,$S$1981))</f>
        <v/>
      </c>
      <c r="B1991" s="14">
        <f>IF($S$1981="","",INDEX(회차설정!$B$13:$B$27,$S$1981))</f>
        <v/>
      </c>
      <c r="C1991" s="8" t="n"/>
      <c r="D1991" s="14">
        <f>IF($S$1981="","",IF($R$1972="언어와 매체",SUMPRODUCT((자동계산!$A$4:$A$48&gt;=INDEX(회차설정!$C$13:$C$27,$S$1981))*(자동계산!$A$4:$A$48&lt;=INDEX(회차설정!$D$13:$D$27,$S$1981))*자동계산!$E$4:$E$48),SUMPRODUCT((자동계산!$A$4:$A$48&gt;=INDEX(회차설정!$C$13:$C$27,$S$1981))*(자동계산!$A$4:$A$48&lt;=INDEX(회차설정!$D$13:$D$27,$S$1981))*자동계산!$C$4:$C$48)))</f>
        <v/>
      </c>
      <c r="E1991" s="14">
        <f>IF(OR($S$1981="",$R$1971=""),"",SUM(OFFSET(전체채점!$AW$2,$R$1971,INDEX(회차설정!$C$13:$C$27,$S$1981),1,INDEX(회차설정!$D$13:$D$27,$S$1981)-INDEX(회차설정!$C$13:$C$27,$S$1981)+1)))</f>
        <v/>
      </c>
      <c r="F1991" s="46">
        <f>IF(OR($S$1981="",$D1991=0,$D1991="",$E1991=""),"",$E1991/$D1991*100)</f>
        <v/>
      </c>
      <c r="G1991" s="8" t="n"/>
      <c r="H1991" s="47">
        <f>IF($F1991="","",REPT("■",ROUND($F1991/5,0)))</f>
        <v/>
      </c>
      <c r="I1991" s="7" t="n"/>
      <c r="J1991" s="7" t="n"/>
      <c r="K1991" s="7" t="n"/>
      <c r="L1991" s="7" t="n"/>
      <c r="M1991" s="7" t="n"/>
      <c r="N1991" s="7" t="n"/>
      <c r="O1991" s="7" t="n"/>
      <c r="P1991" s="8" t="n"/>
    </row>
    <row r="1992">
      <c r="A1992" s="14">
        <f>IF($S$1982="","",INDEX(회차설정!$A$13:$A$27,$S$1982))</f>
        <v/>
      </c>
      <c r="B1992" s="14">
        <f>IF($S$1982="","",INDEX(회차설정!$B$13:$B$27,$S$1982))</f>
        <v/>
      </c>
      <c r="C1992" s="8" t="n"/>
      <c r="D1992" s="14">
        <f>IF($S$1982="","",IF($R$1972="언어와 매체",SUMPRODUCT((자동계산!$A$4:$A$48&gt;=INDEX(회차설정!$C$13:$C$27,$S$1982))*(자동계산!$A$4:$A$48&lt;=INDEX(회차설정!$D$13:$D$27,$S$1982))*자동계산!$E$4:$E$48),SUMPRODUCT((자동계산!$A$4:$A$48&gt;=INDEX(회차설정!$C$13:$C$27,$S$1982))*(자동계산!$A$4:$A$48&lt;=INDEX(회차설정!$D$13:$D$27,$S$1982))*자동계산!$C$4:$C$48)))</f>
        <v/>
      </c>
      <c r="E1992" s="14">
        <f>IF(OR($S$1982="",$R$1971=""),"",SUM(OFFSET(전체채점!$AW$2,$R$1971,INDEX(회차설정!$C$13:$C$27,$S$1982),1,INDEX(회차설정!$D$13:$D$27,$S$1982)-INDEX(회차설정!$C$13:$C$27,$S$1982)+1)))</f>
        <v/>
      </c>
      <c r="F1992" s="46">
        <f>IF(OR($S$1982="",$D1992=0,$D1992="",$E1992=""),"",$E1992/$D1992*100)</f>
        <v/>
      </c>
      <c r="G1992" s="8" t="n"/>
      <c r="H1992" s="47">
        <f>IF($F1992="","",REPT("■",ROUND($F1992/5,0)))</f>
        <v/>
      </c>
      <c r="I1992" s="7" t="n"/>
      <c r="J1992" s="7" t="n"/>
      <c r="K1992" s="7" t="n"/>
      <c r="L1992" s="7" t="n"/>
      <c r="M1992" s="7" t="n"/>
      <c r="N1992" s="7" t="n"/>
      <c r="O1992" s="7" t="n"/>
      <c r="P1992" s="8" t="n"/>
    </row>
    <row r="1993">
      <c r="A1993" s="5">
        <f>IF($R$1971="","","합계")</f>
        <v/>
      </c>
      <c r="B1993" s="7" t="n"/>
      <c r="C1993" s="8" t="n"/>
      <c r="D1993" s="5">
        <f>IF($R$1971="","",SUM(D1981:D1992))</f>
        <v/>
      </c>
      <c r="E1993" s="5">
        <f>IF($R$1971="","",SUM(E1981:E1992))</f>
        <v/>
      </c>
      <c r="F1993" s="48">
        <f>IF(OR($D1993=0,$D1993=""),"",$E1993/$D1993*100)</f>
        <v/>
      </c>
      <c r="G1993" s="8" t="n"/>
      <c r="H1993" s="49">
        <f>IF($F1993="","",REPT("■",ROUND($F1993/5,0)))</f>
        <v/>
      </c>
      <c r="I1993" s="7" t="n"/>
      <c r="J1993" s="7" t="n"/>
      <c r="K1993" s="7" t="n"/>
      <c r="L1993" s="7" t="n"/>
      <c r="M1993" s="7" t="n"/>
      <c r="N1993" s="7" t="n"/>
      <c r="O1993" s="7" t="n"/>
      <c r="P1993" s="8" t="n"/>
    </row>
    <row r="1995">
      <c r="A1995" s="12" t="inlineStr">
        <is>
          <t>4. 문항 채점표</t>
        </is>
      </c>
    </row>
    <row r="1996">
      <c r="A1996" s="50" t="inlineStr">
        <is>
          <t>문항 번호</t>
        </is>
      </c>
      <c r="B1996" s="51" t="n">
        <v>1</v>
      </c>
      <c r="C1996" s="51" t="n">
        <v>2</v>
      </c>
      <c r="D1996" s="51" t="n">
        <v>3</v>
      </c>
      <c r="E1996" s="51" t="n">
        <v>4</v>
      </c>
      <c r="F1996" s="51" t="n">
        <v>5</v>
      </c>
      <c r="G1996" s="51" t="n">
        <v>6</v>
      </c>
      <c r="H1996" s="51" t="n">
        <v>7</v>
      </c>
      <c r="I1996" s="51" t="n">
        <v>8</v>
      </c>
      <c r="J1996" s="51" t="n">
        <v>9</v>
      </c>
      <c r="K1996" s="51" t="n">
        <v>10</v>
      </c>
      <c r="L1996" s="51" t="n">
        <v>11</v>
      </c>
      <c r="M1996" s="51" t="n">
        <v>12</v>
      </c>
      <c r="N1996" s="51" t="n">
        <v>13</v>
      </c>
      <c r="O1996" s="51" t="n">
        <v>14</v>
      </c>
      <c r="P1996" s="51" t="n">
        <v>15</v>
      </c>
    </row>
    <row r="1997">
      <c r="A1997" s="52" t="inlineStr">
        <is>
          <t>정답</t>
        </is>
      </c>
      <c r="B1997" s="33">
        <f>IF($R$1972="","",IF($R$1972="언어와 매체",자동계산!$D$4,자동계산!$B$4))</f>
        <v/>
      </c>
      <c r="C1997" s="33">
        <f>IF($R$1972="","",IF($R$1972="언어와 매체",자동계산!$D$5,자동계산!$B$5))</f>
        <v/>
      </c>
      <c r="D1997" s="33">
        <f>IF($R$1972="","",IF($R$1972="언어와 매체",자동계산!$D$6,자동계산!$B$6))</f>
        <v/>
      </c>
      <c r="E1997" s="33">
        <f>IF($R$1972="","",IF($R$1972="언어와 매체",자동계산!$D$7,자동계산!$B$7))</f>
        <v/>
      </c>
      <c r="F1997" s="33">
        <f>IF($R$1972="","",IF($R$1972="언어와 매체",자동계산!$D$8,자동계산!$B$8))</f>
        <v/>
      </c>
      <c r="G1997" s="33">
        <f>IF($R$1972="","",IF($R$1972="언어와 매체",자동계산!$D$9,자동계산!$B$9))</f>
        <v/>
      </c>
      <c r="H1997" s="33">
        <f>IF($R$1972="","",IF($R$1972="언어와 매체",자동계산!$D$10,자동계산!$B$10))</f>
        <v/>
      </c>
      <c r="I1997" s="33">
        <f>IF($R$1972="","",IF($R$1972="언어와 매체",자동계산!$D$11,자동계산!$B$11))</f>
        <v/>
      </c>
      <c r="J1997" s="33">
        <f>IF($R$1972="","",IF($R$1972="언어와 매체",자동계산!$D$12,자동계산!$B$12))</f>
        <v/>
      </c>
      <c r="K1997" s="33">
        <f>IF($R$1972="","",IF($R$1972="언어와 매체",자동계산!$D$13,자동계산!$B$13))</f>
        <v/>
      </c>
      <c r="L1997" s="33">
        <f>IF($R$1972="","",IF($R$1972="언어와 매체",자동계산!$D$14,자동계산!$B$14))</f>
        <v/>
      </c>
      <c r="M1997" s="33">
        <f>IF($R$1972="","",IF($R$1972="언어와 매체",자동계산!$D$15,자동계산!$B$15))</f>
        <v/>
      </c>
      <c r="N1997" s="33">
        <f>IF($R$1972="","",IF($R$1972="언어와 매체",자동계산!$D$16,자동계산!$B$16))</f>
        <v/>
      </c>
      <c r="O1997" s="33">
        <f>IF($R$1972="","",IF($R$1972="언어와 매체",자동계산!$D$17,자동계산!$B$17))</f>
        <v/>
      </c>
      <c r="P1997" s="33">
        <f>IF($R$1972="","",IF($R$1972="언어와 매체",자동계산!$D$18,자동계산!$B$18))</f>
        <v/>
      </c>
    </row>
    <row r="1998">
      <c r="A1998" s="52" t="inlineStr">
        <is>
          <t>학생답안</t>
        </is>
      </c>
      <c r="B1998" s="33">
        <f>IF($R$1971="","",INDEX(전체채점!E$3:E$62,$R$1971))</f>
        <v/>
      </c>
      <c r="C1998" s="33">
        <f>IF($R$1971="","",INDEX(전체채점!F$3:F$62,$R$1971))</f>
        <v/>
      </c>
      <c r="D1998" s="33">
        <f>IF($R$1971="","",INDEX(전체채점!G$3:G$62,$R$1971))</f>
        <v/>
      </c>
      <c r="E1998" s="33">
        <f>IF($R$1971="","",INDEX(전체채점!H$3:H$62,$R$1971))</f>
        <v/>
      </c>
      <c r="F1998" s="33">
        <f>IF($R$1971="","",INDEX(전체채점!I$3:I$62,$R$1971))</f>
        <v/>
      </c>
      <c r="G1998" s="33">
        <f>IF($R$1971="","",INDEX(전체채점!J$3:J$62,$R$1971))</f>
        <v/>
      </c>
      <c r="H1998" s="33">
        <f>IF($R$1971="","",INDEX(전체채점!K$3:K$62,$R$1971))</f>
        <v/>
      </c>
      <c r="I1998" s="33">
        <f>IF($R$1971="","",INDEX(전체채점!L$3:L$62,$R$1971))</f>
        <v/>
      </c>
      <c r="J1998" s="33">
        <f>IF($R$1971="","",INDEX(전체채점!M$3:M$62,$R$1971))</f>
        <v/>
      </c>
      <c r="K1998" s="33">
        <f>IF($R$1971="","",INDEX(전체채점!N$3:N$62,$R$1971))</f>
        <v/>
      </c>
      <c r="L1998" s="33">
        <f>IF($R$1971="","",INDEX(전체채점!O$3:O$62,$R$1971))</f>
        <v/>
      </c>
      <c r="M1998" s="33">
        <f>IF($R$1971="","",INDEX(전체채점!P$3:P$62,$R$1971))</f>
        <v/>
      </c>
      <c r="N1998" s="33">
        <f>IF($R$1971="","",INDEX(전체채점!Q$3:Q$62,$R$1971))</f>
        <v/>
      </c>
      <c r="O1998" s="33">
        <f>IF($R$1971="","",INDEX(전체채점!R$3:R$62,$R$1971))</f>
        <v/>
      </c>
      <c r="P1998" s="33">
        <f>IF($R$1971="","",INDEX(전체채점!S$3:S$62,$R$1971))</f>
        <v/>
      </c>
    </row>
    <row r="1999">
      <c r="A1999" s="52" t="inlineStr">
        <is>
          <t>정오</t>
        </is>
      </c>
      <c r="B1999" s="33">
        <f>IF($R$1971="","",INDEX(전체채점!AX$3:AX$62,$R$1971))</f>
        <v/>
      </c>
      <c r="C1999" s="33">
        <f>IF($R$1971="","",INDEX(전체채점!AY$3:AY$62,$R$1971))</f>
        <v/>
      </c>
      <c r="D1999" s="33">
        <f>IF($R$1971="","",INDEX(전체채점!AZ$3:AZ$62,$R$1971))</f>
        <v/>
      </c>
      <c r="E1999" s="33">
        <f>IF($R$1971="","",INDEX(전체채점!BA$3:BA$62,$R$1971))</f>
        <v/>
      </c>
      <c r="F1999" s="33">
        <f>IF($R$1971="","",INDEX(전체채점!BB$3:BB$62,$R$1971))</f>
        <v/>
      </c>
      <c r="G1999" s="33">
        <f>IF($R$1971="","",INDEX(전체채점!BC$3:BC$62,$R$1971))</f>
        <v/>
      </c>
      <c r="H1999" s="33">
        <f>IF($R$1971="","",INDEX(전체채점!BD$3:BD$62,$R$1971))</f>
        <v/>
      </c>
      <c r="I1999" s="33">
        <f>IF($R$1971="","",INDEX(전체채점!BE$3:BE$62,$R$1971))</f>
        <v/>
      </c>
      <c r="J1999" s="33">
        <f>IF($R$1971="","",INDEX(전체채점!BF$3:BF$62,$R$1971))</f>
        <v/>
      </c>
      <c r="K1999" s="33">
        <f>IF($R$1971="","",INDEX(전체채점!BG$3:BG$62,$R$1971))</f>
        <v/>
      </c>
      <c r="L1999" s="33">
        <f>IF($R$1971="","",INDEX(전체채점!BH$3:BH$62,$R$1971))</f>
        <v/>
      </c>
      <c r="M1999" s="33">
        <f>IF($R$1971="","",INDEX(전체채점!BI$3:BI$62,$R$1971))</f>
        <v/>
      </c>
      <c r="N1999" s="33">
        <f>IF($R$1971="","",INDEX(전체채점!BJ$3:BJ$62,$R$1971))</f>
        <v/>
      </c>
      <c r="O1999" s="33">
        <f>IF($R$1971="","",INDEX(전체채점!BK$3:BK$62,$R$1971))</f>
        <v/>
      </c>
      <c r="P1999" s="33">
        <f>IF($R$1971="","",INDEX(전체채점!BL$3:BL$62,$R$1971))</f>
        <v/>
      </c>
    </row>
    <row r="2000">
      <c r="A2000" s="50" t="inlineStr">
        <is>
          <t>문항 번호</t>
        </is>
      </c>
      <c r="B2000" s="51" t="n">
        <v>16</v>
      </c>
      <c r="C2000" s="51" t="n">
        <v>17</v>
      </c>
      <c r="D2000" s="51" t="n">
        <v>18</v>
      </c>
      <c r="E2000" s="51" t="n">
        <v>19</v>
      </c>
      <c r="F2000" s="51" t="n">
        <v>20</v>
      </c>
      <c r="G2000" s="51" t="n">
        <v>21</v>
      </c>
      <c r="H2000" s="51" t="n">
        <v>22</v>
      </c>
      <c r="I2000" s="51" t="n">
        <v>23</v>
      </c>
      <c r="J2000" s="51" t="n">
        <v>24</v>
      </c>
      <c r="K2000" s="51" t="n">
        <v>25</v>
      </c>
      <c r="L2000" s="51" t="n">
        <v>26</v>
      </c>
      <c r="M2000" s="51" t="n">
        <v>27</v>
      </c>
      <c r="N2000" s="51" t="n">
        <v>28</v>
      </c>
      <c r="O2000" s="51" t="n">
        <v>29</v>
      </c>
      <c r="P2000" s="51" t="n">
        <v>30</v>
      </c>
    </row>
    <row r="2001">
      <c r="A2001" s="52" t="inlineStr">
        <is>
          <t>정답</t>
        </is>
      </c>
      <c r="B2001" s="33">
        <f>IF($R$1972="","",IF($R$1972="언어와 매체",자동계산!$D$19,자동계산!$B$19))</f>
        <v/>
      </c>
      <c r="C2001" s="33">
        <f>IF($R$1972="","",IF($R$1972="언어와 매체",자동계산!$D$20,자동계산!$B$20))</f>
        <v/>
      </c>
      <c r="D2001" s="33">
        <f>IF($R$1972="","",IF($R$1972="언어와 매체",자동계산!$D$21,자동계산!$B$21))</f>
        <v/>
      </c>
      <c r="E2001" s="33">
        <f>IF($R$1972="","",IF($R$1972="언어와 매체",자동계산!$D$22,자동계산!$B$22))</f>
        <v/>
      </c>
      <c r="F2001" s="33">
        <f>IF($R$1972="","",IF($R$1972="언어와 매체",자동계산!$D$23,자동계산!$B$23))</f>
        <v/>
      </c>
      <c r="G2001" s="33">
        <f>IF($R$1972="","",IF($R$1972="언어와 매체",자동계산!$D$24,자동계산!$B$24))</f>
        <v/>
      </c>
      <c r="H2001" s="33">
        <f>IF($R$1972="","",IF($R$1972="언어와 매체",자동계산!$D$25,자동계산!$B$25))</f>
        <v/>
      </c>
      <c r="I2001" s="33">
        <f>IF($R$1972="","",IF($R$1972="언어와 매체",자동계산!$D$26,자동계산!$B$26))</f>
        <v/>
      </c>
      <c r="J2001" s="33">
        <f>IF($R$1972="","",IF($R$1972="언어와 매체",자동계산!$D$27,자동계산!$B$27))</f>
        <v/>
      </c>
      <c r="K2001" s="33">
        <f>IF($R$1972="","",IF($R$1972="언어와 매체",자동계산!$D$28,자동계산!$B$28))</f>
        <v/>
      </c>
      <c r="L2001" s="33">
        <f>IF($R$1972="","",IF($R$1972="언어와 매체",자동계산!$D$29,자동계산!$B$29))</f>
        <v/>
      </c>
      <c r="M2001" s="33">
        <f>IF($R$1972="","",IF($R$1972="언어와 매체",자동계산!$D$30,자동계산!$B$30))</f>
        <v/>
      </c>
      <c r="N2001" s="33">
        <f>IF($R$1972="","",IF($R$1972="언어와 매체",자동계산!$D$31,자동계산!$B$31))</f>
        <v/>
      </c>
      <c r="O2001" s="33">
        <f>IF($R$1972="","",IF($R$1972="언어와 매체",자동계산!$D$32,자동계산!$B$32))</f>
        <v/>
      </c>
      <c r="P2001" s="33">
        <f>IF($R$1972="","",IF($R$1972="언어와 매체",자동계산!$D$33,자동계산!$B$33))</f>
        <v/>
      </c>
    </row>
    <row r="2002">
      <c r="A2002" s="52" t="inlineStr">
        <is>
          <t>학생답안</t>
        </is>
      </c>
      <c r="B2002" s="33">
        <f>IF($R$1971="","",INDEX(전체채점!T$3:T$62,$R$1971))</f>
        <v/>
      </c>
      <c r="C2002" s="33">
        <f>IF($R$1971="","",INDEX(전체채점!U$3:U$62,$R$1971))</f>
        <v/>
      </c>
      <c r="D2002" s="33">
        <f>IF($R$1971="","",INDEX(전체채점!V$3:V$62,$R$1971))</f>
        <v/>
      </c>
      <c r="E2002" s="33">
        <f>IF($R$1971="","",INDEX(전체채점!W$3:W$62,$R$1971))</f>
        <v/>
      </c>
      <c r="F2002" s="33">
        <f>IF($R$1971="","",INDEX(전체채점!X$3:X$62,$R$1971))</f>
        <v/>
      </c>
      <c r="G2002" s="33">
        <f>IF($R$1971="","",INDEX(전체채점!Y$3:Y$62,$R$1971))</f>
        <v/>
      </c>
      <c r="H2002" s="33">
        <f>IF($R$1971="","",INDEX(전체채점!Z$3:Z$62,$R$1971))</f>
        <v/>
      </c>
      <c r="I2002" s="33">
        <f>IF($R$1971="","",INDEX(전체채점!AA$3:AA$62,$R$1971))</f>
        <v/>
      </c>
      <c r="J2002" s="33">
        <f>IF($R$1971="","",INDEX(전체채점!AB$3:AB$62,$R$1971))</f>
        <v/>
      </c>
      <c r="K2002" s="33">
        <f>IF($R$1971="","",INDEX(전체채점!AC$3:AC$62,$R$1971))</f>
        <v/>
      </c>
      <c r="L2002" s="33">
        <f>IF($R$1971="","",INDEX(전체채점!AD$3:AD$62,$R$1971))</f>
        <v/>
      </c>
      <c r="M2002" s="33">
        <f>IF($R$1971="","",INDEX(전체채점!AE$3:AE$62,$R$1971))</f>
        <v/>
      </c>
      <c r="N2002" s="33">
        <f>IF($R$1971="","",INDEX(전체채점!AF$3:AF$62,$R$1971))</f>
        <v/>
      </c>
      <c r="O2002" s="33">
        <f>IF($R$1971="","",INDEX(전체채점!AG$3:AG$62,$R$1971))</f>
        <v/>
      </c>
      <c r="P2002" s="33">
        <f>IF($R$1971="","",INDEX(전체채점!AH$3:AH$62,$R$1971))</f>
        <v/>
      </c>
    </row>
    <row r="2003">
      <c r="A2003" s="52" t="inlineStr">
        <is>
          <t>정오</t>
        </is>
      </c>
      <c r="B2003" s="33">
        <f>IF($R$1971="","",INDEX(전체채점!BM$3:BM$62,$R$1971))</f>
        <v/>
      </c>
      <c r="C2003" s="33">
        <f>IF($R$1971="","",INDEX(전체채점!BN$3:BN$62,$R$1971))</f>
        <v/>
      </c>
      <c r="D2003" s="33">
        <f>IF($R$1971="","",INDEX(전체채점!BO$3:BO$62,$R$1971))</f>
        <v/>
      </c>
      <c r="E2003" s="33">
        <f>IF($R$1971="","",INDEX(전체채점!BP$3:BP$62,$R$1971))</f>
        <v/>
      </c>
      <c r="F2003" s="33">
        <f>IF($R$1971="","",INDEX(전체채점!BQ$3:BQ$62,$R$1971))</f>
        <v/>
      </c>
      <c r="G2003" s="33">
        <f>IF($R$1971="","",INDEX(전체채점!BR$3:BR$62,$R$1971))</f>
        <v/>
      </c>
      <c r="H2003" s="33">
        <f>IF($R$1971="","",INDEX(전체채점!BS$3:BS$62,$R$1971))</f>
        <v/>
      </c>
      <c r="I2003" s="33">
        <f>IF($R$1971="","",INDEX(전체채점!BT$3:BT$62,$R$1971))</f>
        <v/>
      </c>
      <c r="J2003" s="33">
        <f>IF($R$1971="","",INDEX(전체채점!BU$3:BU$62,$R$1971))</f>
        <v/>
      </c>
      <c r="K2003" s="33">
        <f>IF($R$1971="","",INDEX(전체채점!BV$3:BV$62,$R$1971))</f>
        <v/>
      </c>
      <c r="L2003" s="33">
        <f>IF($R$1971="","",INDEX(전체채점!BW$3:BW$62,$R$1971))</f>
        <v/>
      </c>
      <c r="M2003" s="33">
        <f>IF($R$1971="","",INDEX(전체채점!BX$3:BX$62,$R$1971))</f>
        <v/>
      </c>
      <c r="N2003" s="33">
        <f>IF($R$1971="","",INDEX(전체채점!BY$3:BY$62,$R$1971))</f>
        <v/>
      </c>
      <c r="O2003" s="33">
        <f>IF($R$1971="","",INDEX(전체채점!BZ$3:BZ$62,$R$1971))</f>
        <v/>
      </c>
      <c r="P2003" s="33">
        <f>IF($R$1971="","",INDEX(전체채점!CA$3:CA$62,$R$1971))</f>
        <v/>
      </c>
    </row>
    <row r="2004">
      <c r="A2004" s="50" t="inlineStr">
        <is>
          <t>문항 번호</t>
        </is>
      </c>
      <c r="B2004" s="51" t="n">
        <v>31</v>
      </c>
      <c r="C2004" s="51" t="n">
        <v>32</v>
      </c>
      <c r="D2004" s="51" t="n">
        <v>33</v>
      </c>
      <c r="E2004" s="51" t="n">
        <v>34</v>
      </c>
      <c r="F2004" s="51" t="n">
        <v>35</v>
      </c>
      <c r="G2004" s="51" t="n">
        <v>36</v>
      </c>
      <c r="H2004" s="51" t="n">
        <v>37</v>
      </c>
      <c r="I2004" s="51" t="n">
        <v>38</v>
      </c>
      <c r="J2004" s="51" t="n">
        <v>39</v>
      </c>
      <c r="K2004" s="51" t="n">
        <v>40</v>
      </c>
      <c r="L2004" s="51" t="n">
        <v>41</v>
      </c>
      <c r="M2004" s="51" t="n">
        <v>42</v>
      </c>
      <c r="N2004" s="51" t="n">
        <v>43</v>
      </c>
      <c r="O2004" s="51" t="n">
        <v>44</v>
      </c>
      <c r="P2004" s="51" t="n">
        <v>45</v>
      </c>
    </row>
    <row r="2005">
      <c r="A2005" s="52" t="inlineStr">
        <is>
          <t>정답</t>
        </is>
      </c>
      <c r="B2005" s="33">
        <f>IF($R$1972="","",IF($R$1972="언어와 매체",자동계산!$D$34,자동계산!$B$34))</f>
        <v/>
      </c>
      <c r="C2005" s="33">
        <f>IF($R$1972="","",IF($R$1972="언어와 매체",자동계산!$D$35,자동계산!$B$35))</f>
        <v/>
      </c>
      <c r="D2005" s="33">
        <f>IF($R$1972="","",IF($R$1972="언어와 매체",자동계산!$D$36,자동계산!$B$36))</f>
        <v/>
      </c>
      <c r="E2005" s="33">
        <f>IF($R$1972="","",IF($R$1972="언어와 매체",자동계산!$D$37,자동계산!$B$37))</f>
        <v/>
      </c>
      <c r="F2005" s="33">
        <f>IF($R$1972="","",IF($R$1972="언어와 매체",자동계산!$D$38,자동계산!$B$38))</f>
        <v/>
      </c>
      <c r="G2005" s="33">
        <f>IF($R$1972="","",IF($R$1972="언어와 매체",자동계산!$D$39,자동계산!$B$39))</f>
        <v/>
      </c>
      <c r="H2005" s="33">
        <f>IF($R$1972="","",IF($R$1972="언어와 매체",자동계산!$D$40,자동계산!$B$40))</f>
        <v/>
      </c>
      <c r="I2005" s="33">
        <f>IF($R$1972="","",IF($R$1972="언어와 매체",자동계산!$D$41,자동계산!$B$41))</f>
        <v/>
      </c>
      <c r="J2005" s="33">
        <f>IF($R$1972="","",IF($R$1972="언어와 매체",자동계산!$D$42,자동계산!$B$42))</f>
        <v/>
      </c>
      <c r="K2005" s="33">
        <f>IF($R$1972="","",IF($R$1972="언어와 매체",자동계산!$D$43,자동계산!$B$43))</f>
        <v/>
      </c>
      <c r="L2005" s="33">
        <f>IF($R$1972="","",IF($R$1972="언어와 매체",자동계산!$D$44,자동계산!$B$44))</f>
        <v/>
      </c>
      <c r="M2005" s="33">
        <f>IF($R$1972="","",IF($R$1972="언어와 매체",자동계산!$D$45,자동계산!$B$45))</f>
        <v/>
      </c>
      <c r="N2005" s="33">
        <f>IF($R$1972="","",IF($R$1972="언어와 매체",자동계산!$D$46,자동계산!$B$46))</f>
        <v/>
      </c>
      <c r="O2005" s="33">
        <f>IF($R$1972="","",IF($R$1972="언어와 매체",자동계산!$D$47,자동계산!$B$47))</f>
        <v/>
      </c>
      <c r="P2005" s="33">
        <f>IF($R$1972="","",IF($R$1972="언어와 매체",자동계산!$D$48,자동계산!$B$48))</f>
        <v/>
      </c>
    </row>
    <row r="2006">
      <c r="A2006" s="52" t="inlineStr">
        <is>
          <t>학생답안</t>
        </is>
      </c>
      <c r="B2006" s="33">
        <f>IF($R$1971="","",INDEX(전체채점!AI$3:AI$62,$R$1971))</f>
        <v/>
      </c>
      <c r="C2006" s="33">
        <f>IF($R$1971="","",INDEX(전체채점!AJ$3:AJ$62,$R$1971))</f>
        <v/>
      </c>
      <c r="D2006" s="33">
        <f>IF($R$1971="","",INDEX(전체채점!AK$3:AK$62,$R$1971))</f>
        <v/>
      </c>
      <c r="E2006" s="33">
        <f>IF($R$1971="","",INDEX(전체채점!AL$3:AL$62,$R$1971))</f>
        <v/>
      </c>
      <c r="F2006" s="33">
        <f>IF($R$1971="","",INDEX(전체채점!AM$3:AM$62,$R$1971))</f>
        <v/>
      </c>
      <c r="G2006" s="33">
        <f>IF($R$1971="","",INDEX(전체채점!AN$3:AN$62,$R$1971))</f>
        <v/>
      </c>
      <c r="H2006" s="33">
        <f>IF($R$1971="","",INDEX(전체채점!AO$3:AO$62,$R$1971))</f>
        <v/>
      </c>
      <c r="I2006" s="33">
        <f>IF($R$1971="","",INDEX(전체채점!AP$3:AP$62,$R$1971))</f>
        <v/>
      </c>
      <c r="J2006" s="33">
        <f>IF($R$1971="","",INDEX(전체채점!AQ$3:AQ$62,$R$1971))</f>
        <v/>
      </c>
      <c r="K2006" s="33">
        <f>IF($R$1971="","",INDEX(전체채점!AR$3:AR$62,$R$1971))</f>
        <v/>
      </c>
      <c r="L2006" s="33">
        <f>IF($R$1971="","",INDEX(전체채점!AS$3:AS$62,$R$1971))</f>
        <v/>
      </c>
      <c r="M2006" s="33">
        <f>IF($R$1971="","",INDEX(전체채점!AT$3:AT$62,$R$1971))</f>
        <v/>
      </c>
      <c r="N2006" s="33">
        <f>IF($R$1971="","",INDEX(전체채점!AU$3:AU$62,$R$1971))</f>
        <v/>
      </c>
      <c r="O2006" s="33">
        <f>IF($R$1971="","",INDEX(전체채점!AV$3:AV$62,$R$1971))</f>
        <v/>
      </c>
      <c r="P2006" s="33">
        <f>IF($R$1971="","",INDEX(전체채점!AW$3:AW$62,$R$1971))</f>
        <v/>
      </c>
    </row>
    <row r="2007">
      <c r="A2007" s="52" t="inlineStr">
        <is>
          <t>정오</t>
        </is>
      </c>
      <c r="B2007" s="33">
        <f>IF($R$1971="","",INDEX(전체채점!CB$3:CB$62,$R$1971))</f>
        <v/>
      </c>
      <c r="C2007" s="33">
        <f>IF($R$1971="","",INDEX(전체채점!CC$3:CC$62,$R$1971))</f>
        <v/>
      </c>
      <c r="D2007" s="33">
        <f>IF($R$1971="","",INDEX(전체채점!CD$3:CD$62,$R$1971))</f>
        <v/>
      </c>
      <c r="E2007" s="33">
        <f>IF($R$1971="","",INDEX(전체채점!CE$3:CE$62,$R$1971))</f>
        <v/>
      </c>
      <c r="F2007" s="33">
        <f>IF($R$1971="","",INDEX(전체채점!CF$3:CF$62,$R$1971))</f>
        <v/>
      </c>
      <c r="G2007" s="33">
        <f>IF($R$1971="","",INDEX(전체채점!CG$3:CG$62,$R$1971))</f>
        <v/>
      </c>
      <c r="H2007" s="33">
        <f>IF($R$1971="","",INDEX(전체채점!CH$3:CH$62,$R$1971))</f>
        <v/>
      </c>
      <c r="I2007" s="33">
        <f>IF($R$1971="","",INDEX(전체채점!CI$3:CI$62,$R$1971))</f>
        <v/>
      </c>
      <c r="J2007" s="33">
        <f>IF($R$1971="","",INDEX(전체채점!CJ$3:CJ$62,$R$1971))</f>
        <v/>
      </c>
      <c r="K2007" s="33">
        <f>IF($R$1971="","",INDEX(전체채점!CK$3:CK$62,$R$1971))</f>
        <v/>
      </c>
      <c r="L2007" s="33">
        <f>IF($R$1971="","",INDEX(전체채점!CL$3:CL$62,$R$1971))</f>
        <v/>
      </c>
      <c r="M2007" s="33">
        <f>IF($R$1971="","",INDEX(전체채점!CM$3:CM$62,$R$1971))</f>
        <v/>
      </c>
      <c r="N2007" s="33">
        <f>IF($R$1971="","",INDEX(전체채점!CN$3:CN$62,$R$1971))</f>
        <v/>
      </c>
      <c r="O2007" s="33">
        <f>IF($R$1971="","",INDEX(전체채점!CO$3:CO$62,$R$1971))</f>
        <v/>
      </c>
      <c r="P2007" s="33">
        <f>IF($R$1971="","",INDEX(전체채점!CP$3:CP$62,$R$1971))</f>
        <v/>
      </c>
    </row>
    <row r="2010" ht="34" customHeight="1">
      <c r="A2010" s="36">
        <f>IF($R$2012="","",회차설정!$B$2&amp;" 성적표")</f>
        <v/>
      </c>
    </row>
    <row r="2012">
      <c r="A2012" s="12" t="inlineStr">
        <is>
          <t>1. 학생정보</t>
        </is>
      </c>
      <c r="R2012" s="37">
        <f>IF(답안입력!$A$52="","",50)</f>
        <v/>
      </c>
      <c r="S2012" s="37">
        <f>IF($R$2013="","",IFERROR(IF($R$2013="언어와 매체",MATCH(1,회차설정!$G$13:$G$27,0),MATCH(1,회차설정!$F$13:$F$27,0)),""))</f>
        <v/>
      </c>
    </row>
    <row r="2013">
      <c r="A2013" s="13" t="inlineStr">
        <is>
          <t>성명</t>
        </is>
      </c>
      <c r="B2013" s="7" t="n"/>
      <c r="C2013" s="8" t="n"/>
      <c r="D2013" s="13" t="inlineStr">
        <is>
          <t>선택과목</t>
        </is>
      </c>
      <c r="E2013" s="7" t="n"/>
      <c r="F2013" s="7" t="n"/>
      <c r="G2013" s="8" t="n"/>
      <c r="H2013" s="13" t="inlineStr">
        <is>
          <t>학년</t>
        </is>
      </c>
      <c r="I2013" s="7" t="n"/>
      <c r="J2013" s="7" t="n"/>
      <c r="K2013" s="8" t="n"/>
      <c r="L2013" s="13" t="inlineStr">
        <is>
          <t>시행일</t>
        </is>
      </c>
      <c r="M2013" s="7" t="n"/>
      <c r="N2013" s="7" t="n"/>
      <c r="O2013" s="7" t="n"/>
      <c r="P2013" s="8" t="n"/>
      <c r="R2013" s="37">
        <f>IF($R$2012="","",INDEX(전체채점!$B$3:$B$62,$R$2012))</f>
        <v/>
      </c>
      <c r="S2013" s="37">
        <f>IF($R$2013="","",IFERROR(IF($R$2013="언어와 매체",MATCH(2,회차설정!$G$13:$G$27,0),MATCH(2,회차설정!$F$13:$F$27,0)),""))</f>
        <v/>
      </c>
    </row>
    <row r="2014" ht="26" customHeight="1">
      <c r="A2014" s="39">
        <f>IF($R$2012="","",INDEX(답안입력!$A$3:$A$62,$R$2012))</f>
        <v/>
      </c>
      <c r="B2014" s="7" t="n"/>
      <c r="C2014" s="8" t="n"/>
      <c r="D2014" s="39">
        <f>IF($R$2012="","",INDEX(답안입력!$C$3:$C$62,$R$2012))</f>
        <v/>
      </c>
      <c r="E2014" s="7" t="n"/>
      <c r="F2014" s="7" t="n"/>
      <c r="G2014" s="8" t="n"/>
      <c r="H2014" s="39">
        <f>IF($R$2012="","",INDEX(답안입력!$B$3:$B$62,$R$2012))</f>
        <v/>
      </c>
      <c r="I2014" s="7" t="n"/>
      <c r="J2014" s="7" t="n"/>
      <c r="K2014" s="8" t="n"/>
      <c r="L2014" s="40">
        <f>회차설정!$B$3</f>
        <v/>
      </c>
      <c r="M2014" s="7" t="n"/>
      <c r="N2014" s="7" t="n"/>
      <c r="O2014" s="7" t="n"/>
      <c r="P2014" s="8" t="n"/>
      <c r="R2014" s="37">
        <f>IF($R$2013="언어와 매체",회차설정!$B$9,회차설정!$B$8)</f>
        <v/>
      </c>
      <c r="S2014" s="37">
        <f>IF($R$2013="","",IFERROR(IF($R$2013="언어와 매체",MATCH(3,회차설정!$G$13:$G$27,0),MATCH(3,회차설정!$F$13:$F$27,0)),""))</f>
        <v/>
      </c>
    </row>
    <row r="2015">
      <c r="R2015" s="37">
        <f>IF($R$2013="언어와 매체",회차설정!$C$9,회차설정!$C$8)</f>
        <v/>
      </c>
      <c r="S2015" s="37">
        <f>IF($R$2013="","",IFERROR(IF($R$2013="언어와 매체",MATCH(4,회차설정!$G$13:$G$27,0),MATCH(4,회차설정!$F$13:$F$27,0)),""))</f>
        <v/>
      </c>
    </row>
    <row r="2016">
      <c r="A2016" s="12" t="inlineStr">
        <is>
          <t>2. 성적</t>
        </is>
      </c>
      <c r="R2016" s="37">
        <f>IF($R$2013="언어와 매체",회차설정!$D$9,회차설정!$D$8)</f>
        <v/>
      </c>
      <c r="S2016" s="37">
        <f>IF($R$2013="","",IFERROR(IF($R$2013="언어와 매체",MATCH(5,회차설정!$G$13:$G$27,0),MATCH(5,회차설정!$F$13:$F$27,0)),""))</f>
        <v/>
      </c>
    </row>
    <row r="2017">
      <c r="A2017" s="13" t="inlineStr">
        <is>
          <t>점수 (100점 만점)</t>
        </is>
      </c>
      <c r="B2017" s="7" t="n"/>
      <c r="C2017" s="7" t="n"/>
      <c r="D2017" s="7" t="n"/>
      <c r="E2017" s="8" t="n"/>
      <c r="F2017" s="13" t="inlineStr">
        <is>
          <t>등급</t>
        </is>
      </c>
      <c r="G2017" s="7" t="n"/>
      <c r="H2017" s="8" t="n"/>
      <c r="I2017" s="13" t="inlineStr">
        <is>
          <t>등급컷</t>
        </is>
      </c>
      <c r="J2017" s="7" t="n"/>
      <c r="K2017" s="7" t="n"/>
      <c r="L2017" s="8" t="n"/>
      <c r="M2017" s="13" t="inlineStr">
        <is>
          <t>같은 선택과목 평균</t>
        </is>
      </c>
      <c r="N2017" s="7" t="n"/>
      <c r="O2017" s="7" t="n"/>
      <c r="P2017" s="8" t="n"/>
      <c r="R2017" s="37">
        <f>IF($R$2013="언어와 매체",회차설정!$E$9,회차설정!$E$8)</f>
        <v/>
      </c>
      <c r="S2017" s="37">
        <f>IF($R$2013="","",IFERROR(IF($R$2013="언어와 매체",MATCH(6,회차설정!$G$13:$G$27,0),MATCH(6,회차설정!$F$13:$F$27,0)),""))</f>
        <v/>
      </c>
    </row>
    <row r="2018" ht="34" customHeight="1">
      <c r="A2018" s="41">
        <f>IF($R$2012="","",INDEX(전체채점!$C$3:$C$62,$R$2012))</f>
        <v/>
      </c>
      <c r="B2018" s="7" t="n"/>
      <c r="C2018" s="7" t="n"/>
      <c r="D2018" s="7" t="n"/>
      <c r="E2018" s="8" t="n"/>
      <c r="F2018" s="42">
        <f>IF($R$2012="","",INDEX(전체채점!$D$3:$D$62,$R$2012))</f>
        <v/>
      </c>
      <c r="G2018" s="7" t="n"/>
      <c r="H2018" s="8" t="n"/>
      <c r="I2018" s="43">
        <f>IF($R$2012="","",$R$2014&amp;"-"&amp;$R$2015&amp;"-"&amp;$R$2016&amp;"-"&amp;$R$2017)</f>
        <v/>
      </c>
      <c r="J2018" s="7" t="n"/>
      <c r="K2018" s="7" t="n"/>
      <c r="L2018" s="8" t="n"/>
      <c r="M2018" s="44">
        <f>IFERROR(AVERAGEIF(전체채점!$B$3:$B$62,$R$2013,전체채점!$C$3:$C$62),"")</f>
        <v/>
      </c>
      <c r="N2018" s="7" t="n"/>
      <c r="O2018" s="7" t="n"/>
      <c r="P2018" s="8" t="n"/>
      <c r="S2018" s="37">
        <f>IF($R$2013="","",IFERROR(IF($R$2013="언어와 매체",MATCH(7,회차설정!$G$13:$G$27,0),MATCH(7,회차설정!$F$13:$F$27,0)),""))</f>
        <v/>
      </c>
    </row>
    <row r="2019">
      <c r="S2019" s="37">
        <f>IF($R$2013="","",IFERROR(IF($R$2013="언어와 매체",MATCH(8,회차설정!$G$13:$G$27,0),MATCH(8,회차설정!$F$13:$F$27,0)),""))</f>
        <v/>
      </c>
    </row>
    <row r="2020">
      <c r="A2020" s="12" t="inlineStr">
        <is>
          <t>3. 영역분류별 성취도 분석</t>
        </is>
      </c>
      <c r="F2020" s="45">
        <f>IF(OR($R$2012="",$E2034=""),"",IF($E2034=INDEX(전체채점!$C$3:$C$62,$R$2012),"","※ 회차설정의 영역 표를 확인하세요 — 영역 합계와 점수가 다릅니다"))</f>
        <v/>
      </c>
      <c r="S2020" s="37">
        <f>IF($R$2013="","",IFERROR(IF($R$2013="언어와 매체",MATCH(9,회차설정!$G$13:$G$27,0),MATCH(9,회차설정!$F$13:$F$27,0)),""))</f>
        <v/>
      </c>
    </row>
    <row r="2021">
      <c r="A2021" s="13" t="inlineStr">
        <is>
          <t>분류</t>
        </is>
      </c>
      <c r="B2021" s="13" t="inlineStr">
        <is>
          <t>영역</t>
        </is>
      </c>
      <c r="C2021" s="8" t="n"/>
      <c r="D2021" s="13" t="inlineStr">
        <is>
          <t>배점</t>
        </is>
      </c>
      <c r="E2021" s="13" t="inlineStr">
        <is>
          <t>득점</t>
        </is>
      </c>
      <c r="F2021" s="13" t="inlineStr">
        <is>
          <t>성취도(%)</t>
        </is>
      </c>
      <c r="G2021" s="8" t="n"/>
      <c r="H2021" s="13" t="inlineStr"/>
      <c r="I2021" s="7" t="n"/>
      <c r="J2021" s="7" t="n"/>
      <c r="K2021" s="7" t="n"/>
      <c r="L2021" s="7" t="n"/>
      <c r="M2021" s="7" t="n"/>
      <c r="N2021" s="7" t="n"/>
      <c r="O2021" s="7" t="n"/>
      <c r="P2021" s="8" t="n"/>
      <c r="S2021" s="37">
        <f>IF($R$2013="","",IFERROR(IF($R$2013="언어와 매체",MATCH(10,회차설정!$G$13:$G$27,0),MATCH(10,회차설정!$F$13:$F$27,0)),""))</f>
        <v/>
      </c>
    </row>
    <row r="2022">
      <c r="A2022" s="14">
        <f>IF($S$2012="","",INDEX(회차설정!$A$13:$A$27,$S$2012))</f>
        <v/>
      </c>
      <c r="B2022" s="14">
        <f>IF($S$2012="","",INDEX(회차설정!$B$13:$B$27,$S$2012))</f>
        <v/>
      </c>
      <c r="C2022" s="8" t="n"/>
      <c r="D2022" s="14">
        <f>IF($S$2012="","",IF($R$2013="언어와 매체",SUMPRODUCT((자동계산!$A$4:$A$48&gt;=INDEX(회차설정!$C$13:$C$27,$S$2012))*(자동계산!$A$4:$A$48&lt;=INDEX(회차설정!$D$13:$D$27,$S$2012))*자동계산!$E$4:$E$48),SUMPRODUCT((자동계산!$A$4:$A$48&gt;=INDEX(회차설정!$C$13:$C$27,$S$2012))*(자동계산!$A$4:$A$48&lt;=INDEX(회차설정!$D$13:$D$27,$S$2012))*자동계산!$C$4:$C$48)))</f>
        <v/>
      </c>
      <c r="E2022" s="14">
        <f>IF(OR($S$2012="",$R$2012=""),"",SUM(OFFSET(전체채점!$AW$2,$R$2012,INDEX(회차설정!$C$13:$C$27,$S$2012),1,INDEX(회차설정!$D$13:$D$27,$S$2012)-INDEX(회차설정!$C$13:$C$27,$S$2012)+1)))</f>
        <v/>
      </c>
      <c r="F2022" s="46">
        <f>IF(OR($S$2012="",$D2022=0,$D2022="",$E2022=""),"",$E2022/$D2022*100)</f>
        <v/>
      </c>
      <c r="G2022" s="8" t="n"/>
      <c r="H2022" s="47">
        <f>IF($F2022="","",REPT("■",ROUND($F2022/5,0)))</f>
        <v/>
      </c>
      <c r="I2022" s="7" t="n"/>
      <c r="J2022" s="7" t="n"/>
      <c r="K2022" s="7" t="n"/>
      <c r="L2022" s="7" t="n"/>
      <c r="M2022" s="7" t="n"/>
      <c r="N2022" s="7" t="n"/>
      <c r="O2022" s="7" t="n"/>
      <c r="P2022" s="8" t="n"/>
      <c r="S2022" s="37">
        <f>IF($R$2013="","",IFERROR(IF($R$2013="언어와 매체",MATCH(11,회차설정!$G$13:$G$27,0),MATCH(11,회차설정!$F$13:$F$27,0)),""))</f>
        <v/>
      </c>
    </row>
    <row r="2023">
      <c r="A2023" s="14">
        <f>IF($S$2013="","",INDEX(회차설정!$A$13:$A$27,$S$2013))</f>
        <v/>
      </c>
      <c r="B2023" s="14">
        <f>IF($S$2013="","",INDEX(회차설정!$B$13:$B$27,$S$2013))</f>
        <v/>
      </c>
      <c r="C2023" s="8" t="n"/>
      <c r="D2023" s="14">
        <f>IF($S$2013="","",IF($R$2013="언어와 매체",SUMPRODUCT((자동계산!$A$4:$A$48&gt;=INDEX(회차설정!$C$13:$C$27,$S$2013))*(자동계산!$A$4:$A$48&lt;=INDEX(회차설정!$D$13:$D$27,$S$2013))*자동계산!$E$4:$E$48),SUMPRODUCT((자동계산!$A$4:$A$48&gt;=INDEX(회차설정!$C$13:$C$27,$S$2013))*(자동계산!$A$4:$A$48&lt;=INDEX(회차설정!$D$13:$D$27,$S$2013))*자동계산!$C$4:$C$48)))</f>
        <v/>
      </c>
      <c r="E2023" s="14">
        <f>IF(OR($S$2013="",$R$2012=""),"",SUM(OFFSET(전체채점!$AW$2,$R$2012,INDEX(회차설정!$C$13:$C$27,$S$2013),1,INDEX(회차설정!$D$13:$D$27,$S$2013)-INDEX(회차설정!$C$13:$C$27,$S$2013)+1)))</f>
        <v/>
      </c>
      <c r="F2023" s="46">
        <f>IF(OR($S$2013="",$D2023=0,$D2023="",$E2023=""),"",$E2023/$D2023*100)</f>
        <v/>
      </c>
      <c r="G2023" s="8" t="n"/>
      <c r="H2023" s="47">
        <f>IF($F2023="","",REPT("■",ROUND($F2023/5,0)))</f>
        <v/>
      </c>
      <c r="I2023" s="7" t="n"/>
      <c r="J2023" s="7" t="n"/>
      <c r="K2023" s="7" t="n"/>
      <c r="L2023" s="7" t="n"/>
      <c r="M2023" s="7" t="n"/>
      <c r="N2023" s="7" t="n"/>
      <c r="O2023" s="7" t="n"/>
      <c r="P2023" s="8" t="n"/>
      <c r="S2023" s="37">
        <f>IF($R$2013="","",IFERROR(IF($R$2013="언어와 매체",MATCH(12,회차설정!$G$13:$G$27,0),MATCH(12,회차설정!$F$13:$F$27,0)),""))</f>
        <v/>
      </c>
    </row>
    <row r="2024">
      <c r="A2024" s="14">
        <f>IF($S$2014="","",INDEX(회차설정!$A$13:$A$27,$S$2014))</f>
        <v/>
      </c>
      <c r="B2024" s="14">
        <f>IF($S$2014="","",INDEX(회차설정!$B$13:$B$27,$S$2014))</f>
        <v/>
      </c>
      <c r="C2024" s="8" t="n"/>
      <c r="D2024" s="14">
        <f>IF($S$2014="","",IF($R$2013="언어와 매체",SUMPRODUCT((자동계산!$A$4:$A$48&gt;=INDEX(회차설정!$C$13:$C$27,$S$2014))*(자동계산!$A$4:$A$48&lt;=INDEX(회차설정!$D$13:$D$27,$S$2014))*자동계산!$E$4:$E$48),SUMPRODUCT((자동계산!$A$4:$A$48&gt;=INDEX(회차설정!$C$13:$C$27,$S$2014))*(자동계산!$A$4:$A$48&lt;=INDEX(회차설정!$D$13:$D$27,$S$2014))*자동계산!$C$4:$C$48)))</f>
        <v/>
      </c>
      <c r="E2024" s="14">
        <f>IF(OR($S$2014="",$R$2012=""),"",SUM(OFFSET(전체채점!$AW$2,$R$2012,INDEX(회차설정!$C$13:$C$27,$S$2014),1,INDEX(회차설정!$D$13:$D$27,$S$2014)-INDEX(회차설정!$C$13:$C$27,$S$2014)+1)))</f>
        <v/>
      </c>
      <c r="F2024" s="46">
        <f>IF(OR($S$2014="",$D2024=0,$D2024="",$E2024=""),"",$E2024/$D2024*100)</f>
        <v/>
      </c>
      <c r="G2024" s="8" t="n"/>
      <c r="H2024" s="47">
        <f>IF($F2024="","",REPT("■",ROUND($F2024/5,0)))</f>
        <v/>
      </c>
      <c r="I2024" s="7" t="n"/>
      <c r="J2024" s="7" t="n"/>
      <c r="K2024" s="7" t="n"/>
      <c r="L2024" s="7" t="n"/>
      <c r="M2024" s="7" t="n"/>
      <c r="N2024" s="7" t="n"/>
      <c r="O2024" s="7" t="n"/>
      <c r="P2024" s="8" t="n"/>
    </row>
    <row r="2025">
      <c r="A2025" s="14">
        <f>IF($S$2015="","",INDEX(회차설정!$A$13:$A$27,$S$2015))</f>
        <v/>
      </c>
      <c r="B2025" s="14">
        <f>IF($S$2015="","",INDEX(회차설정!$B$13:$B$27,$S$2015))</f>
        <v/>
      </c>
      <c r="C2025" s="8" t="n"/>
      <c r="D2025" s="14">
        <f>IF($S$2015="","",IF($R$2013="언어와 매체",SUMPRODUCT((자동계산!$A$4:$A$48&gt;=INDEX(회차설정!$C$13:$C$27,$S$2015))*(자동계산!$A$4:$A$48&lt;=INDEX(회차설정!$D$13:$D$27,$S$2015))*자동계산!$E$4:$E$48),SUMPRODUCT((자동계산!$A$4:$A$48&gt;=INDEX(회차설정!$C$13:$C$27,$S$2015))*(자동계산!$A$4:$A$48&lt;=INDEX(회차설정!$D$13:$D$27,$S$2015))*자동계산!$C$4:$C$48)))</f>
        <v/>
      </c>
      <c r="E2025" s="14">
        <f>IF(OR($S$2015="",$R$2012=""),"",SUM(OFFSET(전체채점!$AW$2,$R$2012,INDEX(회차설정!$C$13:$C$27,$S$2015),1,INDEX(회차설정!$D$13:$D$27,$S$2015)-INDEX(회차설정!$C$13:$C$27,$S$2015)+1)))</f>
        <v/>
      </c>
      <c r="F2025" s="46">
        <f>IF(OR($S$2015="",$D2025=0,$D2025="",$E2025=""),"",$E2025/$D2025*100)</f>
        <v/>
      </c>
      <c r="G2025" s="8" t="n"/>
      <c r="H2025" s="47">
        <f>IF($F2025="","",REPT("■",ROUND($F2025/5,0)))</f>
        <v/>
      </c>
      <c r="I2025" s="7" t="n"/>
      <c r="J2025" s="7" t="n"/>
      <c r="K2025" s="7" t="n"/>
      <c r="L2025" s="7" t="n"/>
      <c r="M2025" s="7" t="n"/>
      <c r="N2025" s="7" t="n"/>
      <c r="O2025" s="7" t="n"/>
      <c r="P2025" s="8" t="n"/>
    </row>
    <row r="2026">
      <c r="A2026" s="14">
        <f>IF($S$2016="","",INDEX(회차설정!$A$13:$A$27,$S$2016))</f>
        <v/>
      </c>
      <c r="B2026" s="14">
        <f>IF($S$2016="","",INDEX(회차설정!$B$13:$B$27,$S$2016))</f>
        <v/>
      </c>
      <c r="C2026" s="8" t="n"/>
      <c r="D2026" s="14">
        <f>IF($S$2016="","",IF($R$2013="언어와 매체",SUMPRODUCT((자동계산!$A$4:$A$48&gt;=INDEX(회차설정!$C$13:$C$27,$S$2016))*(자동계산!$A$4:$A$48&lt;=INDEX(회차설정!$D$13:$D$27,$S$2016))*자동계산!$E$4:$E$48),SUMPRODUCT((자동계산!$A$4:$A$48&gt;=INDEX(회차설정!$C$13:$C$27,$S$2016))*(자동계산!$A$4:$A$48&lt;=INDEX(회차설정!$D$13:$D$27,$S$2016))*자동계산!$C$4:$C$48)))</f>
        <v/>
      </c>
      <c r="E2026" s="14">
        <f>IF(OR($S$2016="",$R$2012=""),"",SUM(OFFSET(전체채점!$AW$2,$R$2012,INDEX(회차설정!$C$13:$C$27,$S$2016),1,INDEX(회차설정!$D$13:$D$27,$S$2016)-INDEX(회차설정!$C$13:$C$27,$S$2016)+1)))</f>
        <v/>
      </c>
      <c r="F2026" s="46">
        <f>IF(OR($S$2016="",$D2026=0,$D2026="",$E2026=""),"",$E2026/$D2026*100)</f>
        <v/>
      </c>
      <c r="G2026" s="8" t="n"/>
      <c r="H2026" s="47">
        <f>IF($F2026="","",REPT("■",ROUND($F2026/5,0)))</f>
        <v/>
      </c>
      <c r="I2026" s="7" t="n"/>
      <c r="J2026" s="7" t="n"/>
      <c r="K2026" s="7" t="n"/>
      <c r="L2026" s="7" t="n"/>
      <c r="M2026" s="7" t="n"/>
      <c r="N2026" s="7" t="n"/>
      <c r="O2026" s="7" t="n"/>
      <c r="P2026" s="8" t="n"/>
    </row>
    <row r="2027">
      <c r="A2027" s="14">
        <f>IF($S$2017="","",INDEX(회차설정!$A$13:$A$27,$S$2017))</f>
        <v/>
      </c>
      <c r="B2027" s="14">
        <f>IF($S$2017="","",INDEX(회차설정!$B$13:$B$27,$S$2017))</f>
        <v/>
      </c>
      <c r="C2027" s="8" t="n"/>
      <c r="D2027" s="14">
        <f>IF($S$2017="","",IF($R$2013="언어와 매체",SUMPRODUCT((자동계산!$A$4:$A$48&gt;=INDEX(회차설정!$C$13:$C$27,$S$2017))*(자동계산!$A$4:$A$48&lt;=INDEX(회차설정!$D$13:$D$27,$S$2017))*자동계산!$E$4:$E$48),SUMPRODUCT((자동계산!$A$4:$A$48&gt;=INDEX(회차설정!$C$13:$C$27,$S$2017))*(자동계산!$A$4:$A$48&lt;=INDEX(회차설정!$D$13:$D$27,$S$2017))*자동계산!$C$4:$C$48)))</f>
        <v/>
      </c>
      <c r="E2027" s="14">
        <f>IF(OR($S$2017="",$R$2012=""),"",SUM(OFFSET(전체채점!$AW$2,$R$2012,INDEX(회차설정!$C$13:$C$27,$S$2017),1,INDEX(회차설정!$D$13:$D$27,$S$2017)-INDEX(회차설정!$C$13:$C$27,$S$2017)+1)))</f>
        <v/>
      </c>
      <c r="F2027" s="46">
        <f>IF(OR($S$2017="",$D2027=0,$D2027="",$E2027=""),"",$E2027/$D2027*100)</f>
        <v/>
      </c>
      <c r="G2027" s="8" t="n"/>
      <c r="H2027" s="47">
        <f>IF($F2027="","",REPT("■",ROUND($F2027/5,0)))</f>
        <v/>
      </c>
      <c r="I2027" s="7" t="n"/>
      <c r="J2027" s="7" t="n"/>
      <c r="K2027" s="7" t="n"/>
      <c r="L2027" s="7" t="n"/>
      <c r="M2027" s="7" t="n"/>
      <c r="N2027" s="7" t="n"/>
      <c r="O2027" s="7" t="n"/>
      <c r="P2027" s="8" t="n"/>
    </row>
    <row r="2028">
      <c r="A2028" s="14">
        <f>IF($S$2018="","",INDEX(회차설정!$A$13:$A$27,$S$2018))</f>
        <v/>
      </c>
      <c r="B2028" s="14">
        <f>IF($S$2018="","",INDEX(회차설정!$B$13:$B$27,$S$2018))</f>
        <v/>
      </c>
      <c r="C2028" s="8" t="n"/>
      <c r="D2028" s="14">
        <f>IF($S$2018="","",IF($R$2013="언어와 매체",SUMPRODUCT((자동계산!$A$4:$A$48&gt;=INDEX(회차설정!$C$13:$C$27,$S$2018))*(자동계산!$A$4:$A$48&lt;=INDEX(회차설정!$D$13:$D$27,$S$2018))*자동계산!$E$4:$E$48),SUMPRODUCT((자동계산!$A$4:$A$48&gt;=INDEX(회차설정!$C$13:$C$27,$S$2018))*(자동계산!$A$4:$A$48&lt;=INDEX(회차설정!$D$13:$D$27,$S$2018))*자동계산!$C$4:$C$48)))</f>
        <v/>
      </c>
      <c r="E2028" s="14">
        <f>IF(OR($S$2018="",$R$2012=""),"",SUM(OFFSET(전체채점!$AW$2,$R$2012,INDEX(회차설정!$C$13:$C$27,$S$2018),1,INDEX(회차설정!$D$13:$D$27,$S$2018)-INDEX(회차설정!$C$13:$C$27,$S$2018)+1)))</f>
        <v/>
      </c>
      <c r="F2028" s="46">
        <f>IF(OR($S$2018="",$D2028=0,$D2028="",$E2028=""),"",$E2028/$D2028*100)</f>
        <v/>
      </c>
      <c r="G2028" s="8" t="n"/>
      <c r="H2028" s="47">
        <f>IF($F2028="","",REPT("■",ROUND($F2028/5,0)))</f>
        <v/>
      </c>
      <c r="I2028" s="7" t="n"/>
      <c r="J2028" s="7" t="n"/>
      <c r="K2028" s="7" t="n"/>
      <c r="L2028" s="7" t="n"/>
      <c r="M2028" s="7" t="n"/>
      <c r="N2028" s="7" t="n"/>
      <c r="O2028" s="7" t="n"/>
      <c r="P2028" s="8" t="n"/>
    </row>
    <row r="2029">
      <c r="A2029" s="14">
        <f>IF($S$2019="","",INDEX(회차설정!$A$13:$A$27,$S$2019))</f>
        <v/>
      </c>
      <c r="B2029" s="14">
        <f>IF($S$2019="","",INDEX(회차설정!$B$13:$B$27,$S$2019))</f>
        <v/>
      </c>
      <c r="C2029" s="8" t="n"/>
      <c r="D2029" s="14">
        <f>IF($S$2019="","",IF($R$2013="언어와 매체",SUMPRODUCT((자동계산!$A$4:$A$48&gt;=INDEX(회차설정!$C$13:$C$27,$S$2019))*(자동계산!$A$4:$A$48&lt;=INDEX(회차설정!$D$13:$D$27,$S$2019))*자동계산!$E$4:$E$48),SUMPRODUCT((자동계산!$A$4:$A$48&gt;=INDEX(회차설정!$C$13:$C$27,$S$2019))*(자동계산!$A$4:$A$48&lt;=INDEX(회차설정!$D$13:$D$27,$S$2019))*자동계산!$C$4:$C$48)))</f>
        <v/>
      </c>
      <c r="E2029" s="14">
        <f>IF(OR($S$2019="",$R$2012=""),"",SUM(OFFSET(전체채점!$AW$2,$R$2012,INDEX(회차설정!$C$13:$C$27,$S$2019),1,INDEX(회차설정!$D$13:$D$27,$S$2019)-INDEX(회차설정!$C$13:$C$27,$S$2019)+1)))</f>
        <v/>
      </c>
      <c r="F2029" s="46">
        <f>IF(OR($S$2019="",$D2029=0,$D2029="",$E2029=""),"",$E2029/$D2029*100)</f>
        <v/>
      </c>
      <c r="G2029" s="8" t="n"/>
      <c r="H2029" s="47">
        <f>IF($F2029="","",REPT("■",ROUND($F2029/5,0)))</f>
        <v/>
      </c>
      <c r="I2029" s="7" t="n"/>
      <c r="J2029" s="7" t="n"/>
      <c r="K2029" s="7" t="n"/>
      <c r="L2029" s="7" t="n"/>
      <c r="M2029" s="7" t="n"/>
      <c r="N2029" s="7" t="n"/>
      <c r="O2029" s="7" t="n"/>
      <c r="P2029" s="8" t="n"/>
    </row>
    <row r="2030">
      <c r="A2030" s="14">
        <f>IF($S$2020="","",INDEX(회차설정!$A$13:$A$27,$S$2020))</f>
        <v/>
      </c>
      <c r="B2030" s="14">
        <f>IF($S$2020="","",INDEX(회차설정!$B$13:$B$27,$S$2020))</f>
        <v/>
      </c>
      <c r="C2030" s="8" t="n"/>
      <c r="D2030" s="14">
        <f>IF($S$2020="","",IF($R$2013="언어와 매체",SUMPRODUCT((자동계산!$A$4:$A$48&gt;=INDEX(회차설정!$C$13:$C$27,$S$2020))*(자동계산!$A$4:$A$48&lt;=INDEX(회차설정!$D$13:$D$27,$S$2020))*자동계산!$E$4:$E$48),SUMPRODUCT((자동계산!$A$4:$A$48&gt;=INDEX(회차설정!$C$13:$C$27,$S$2020))*(자동계산!$A$4:$A$48&lt;=INDEX(회차설정!$D$13:$D$27,$S$2020))*자동계산!$C$4:$C$48)))</f>
        <v/>
      </c>
      <c r="E2030" s="14">
        <f>IF(OR($S$2020="",$R$2012=""),"",SUM(OFFSET(전체채점!$AW$2,$R$2012,INDEX(회차설정!$C$13:$C$27,$S$2020),1,INDEX(회차설정!$D$13:$D$27,$S$2020)-INDEX(회차설정!$C$13:$C$27,$S$2020)+1)))</f>
        <v/>
      </c>
      <c r="F2030" s="46">
        <f>IF(OR($S$2020="",$D2030=0,$D2030="",$E2030=""),"",$E2030/$D2030*100)</f>
        <v/>
      </c>
      <c r="G2030" s="8" t="n"/>
      <c r="H2030" s="47">
        <f>IF($F2030="","",REPT("■",ROUND($F2030/5,0)))</f>
        <v/>
      </c>
      <c r="I2030" s="7" t="n"/>
      <c r="J2030" s="7" t="n"/>
      <c r="K2030" s="7" t="n"/>
      <c r="L2030" s="7" t="n"/>
      <c r="M2030" s="7" t="n"/>
      <c r="N2030" s="7" t="n"/>
      <c r="O2030" s="7" t="n"/>
      <c r="P2030" s="8" t="n"/>
    </row>
    <row r="2031">
      <c r="A2031" s="14">
        <f>IF($S$2021="","",INDEX(회차설정!$A$13:$A$27,$S$2021))</f>
        <v/>
      </c>
      <c r="B2031" s="14">
        <f>IF($S$2021="","",INDEX(회차설정!$B$13:$B$27,$S$2021))</f>
        <v/>
      </c>
      <c r="C2031" s="8" t="n"/>
      <c r="D2031" s="14">
        <f>IF($S$2021="","",IF($R$2013="언어와 매체",SUMPRODUCT((자동계산!$A$4:$A$48&gt;=INDEX(회차설정!$C$13:$C$27,$S$2021))*(자동계산!$A$4:$A$48&lt;=INDEX(회차설정!$D$13:$D$27,$S$2021))*자동계산!$E$4:$E$48),SUMPRODUCT((자동계산!$A$4:$A$48&gt;=INDEX(회차설정!$C$13:$C$27,$S$2021))*(자동계산!$A$4:$A$48&lt;=INDEX(회차설정!$D$13:$D$27,$S$2021))*자동계산!$C$4:$C$48)))</f>
        <v/>
      </c>
      <c r="E2031" s="14">
        <f>IF(OR($S$2021="",$R$2012=""),"",SUM(OFFSET(전체채점!$AW$2,$R$2012,INDEX(회차설정!$C$13:$C$27,$S$2021),1,INDEX(회차설정!$D$13:$D$27,$S$2021)-INDEX(회차설정!$C$13:$C$27,$S$2021)+1)))</f>
        <v/>
      </c>
      <c r="F2031" s="46">
        <f>IF(OR($S$2021="",$D2031=0,$D2031="",$E2031=""),"",$E2031/$D2031*100)</f>
        <v/>
      </c>
      <c r="G2031" s="8" t="n"/>
      <c r="H2031" s="47">
        <f>IF($F2031="","",REPT("■",ROUND($F2031/5,0)))</f>
        <v/>
      </c>
      <c r="I2031" s="7" t="n"/>
      <c r="J2031" s="7" t="n"/>
      <c r="K2031" s="7" t="n"/>
      <c r="L2031" s="7" t="n"/>
      <c r="M2031" s="7" t="n"/>
      <c r="N2031" s="7" t="n"/>
      <c r="O2031" s="7" t="n"/>
      <c r="P2031" s="8" t="n"/>
    </row>
    <row r="2032">
      <c r="A2032" s="14">
        <f>IF($S$2022="","",INDEX(회차설정!$A$13:$A$27,$S$2022))</f>
        <v/>
      </c>
      <c r="B2032" s="14">
        <f>IF($S$2022="","",INDEX(회차설정!$B$13:$B$27,$S$2022))</f>
        <v/>
      </c>
      <c r="C2032" s="8" t="n"/>
      <c r="D2032" s="14">
        <f>IF($S$2022="","",IF($R$2013="언어와 매체",SUMPRODUCT((자동계산!$A$4:$A$48&gt;=INDEX(회차설정!$C$13:$C$27,$S$2022))*(자동계산!$A$4:$A$48&lt;=INDEX(회차설정!$D$13:$D$27,$S$2022))*자동계산!$E$4:$E$48),SUMPRODUCT((자동계산!$A$4:$A$48&gt;=INDEX(회차설정!$C$13:$C$27,$S$2022))*(자동계산!$A$4:$A$48&lt;=INDEX(회차설정!$D$13:$D$27,$S$2022))*자동계산!$C$4:$C$48)))</f>
        <v/>
      </c>
      <c r="E2032" s="14">
        <f>IF(OR($S$2022="",$R$2012=""),"",SUM(OFFSET(전체채점!$AW$2,$R$2012,INDEX(회차설정!$C$13:$C$27,$S$2022),1,INDEX(회차설정!$D$13:$D$27,$S$2022)-INDEX(회차설정!$C$13:$C$27,$S$2022)+1)))</f>
        <v/>
      </c>
      <c r="F2032" s="46">
        <f>IF(OR($S$2022="",$D2032=0,$D2032="",$E2032=""),"",$E2032/$D2032*100)</f>
        <v/>
      </c>
      <c r="G2032" s="8" t="n"/>
      <c r="H2032" s="47">
        <f>IF($F2032="","",REPT("■",ROUND($F2032/5,0)))</f>
        <v/>
      </c>
      <c r="I2032" s="7" t="n"/>
      <c r="J2032" s="7" t="n"/>
      <c r="K2032" s="7" t="n"/>
      <c r="L2032" s="7" t="n"/>
      <c r="M2032" s="7" t="n"/>
      <c r="N2032" s="7" t="n"/>
      <c r="O2032" s="7" t="n"/>
      <c r="P2032" s="8" t="n"/>
    </row>
    <row r="2033">
      <c r="A2033" s="14">
        <f>IF($S$2023="","",INDEX(회차설정!$A$13:$A$27,$S$2023))</f>
        <v/>
      </c>
      <c r="B2033" s="14">
        <f>IF($S$2023="","",INDEX(회차설정!$B$13:$B$27,$S$2023))</f>
        <v/>
      </c>
      <c r="C2033" s="8" t="n"/>
      <c r="D2033" s="14">
        <f>IF($S$2023="","",IF($R$2013="언어와 매체",SUMPRODUCT((자동계산!$A$4:$A$48&gt;=INDEX(회차설정!$C$13:$C$27,$S$2023))*(자동계산!$A$4:$A$48&lt;=INDEX(회차설정!$D$13:$D$27,$S$2023))*자동계산!$E$4:$E$48),SUMPRODUCT((자동계산!$A$4:$A$48&gt;=INDEX(회차설정!$C$13:$C$27,$S$2023))*(자동계산!$A$4:$A$48&lt;=INDEX(회차설정!$D$13:$D$27,$S$2023))*자동계산!$C$4:$C$48)))</f>
        <v/>
      </c>
      <c r="E2033" s="14">
        <f>IF(OR($S$2023="",$R$2012=""),"",SUM(OFFSET(전체채점!$AW$2,$R$2012,INDEX(회차설정!$C$13:$C$27,$S$2023),1,INDEX(회차설정!$D$13:$D$27,$S$2023)-INDEX(회차설정!$C$13:$C$27,$S$2023)+1)))</f>
        <v/>
      </c>
      <c r="F2033" s="46">
        <f>IF(OR($S$2023="",$D2033=0,$D2033="",$E2033=""),"",$E2033/$D2033*100)</f>
        <v/>
      </c>
      <c r="G2033" s="8" t="n"/>
      <c r="H2033" s="47">
        <f>IF($F2033="","",REPT("■",ROUND($F2033/5,0)))</f>
        <v/>
      </c>
      <c r="I2033" s="7" t="n"/>
      <c r="J2033" s="7" t="n"/>
      <c r="K2033" s="7" t="n"/>
      <c r="L2033" s="7" t="n"/>
      <c r="M2033" s="7" t="n"/>
      <c r="N2033" s="7" t="n"/>
      <c r="O2033" s="7" t="n"/>
      <c r="P2033" s="8" t="n"/>
    </row>
    <row r="2034">
      <c r="A2034" s="5">
        <f>IF($R$2012="","","합계")</f>
        <v/>
      </c>
      <c r="B2034" s="7" t="n"/>
      <c r="C2034" s="8" t="n"/>
      <c r="D2034" s="5">
        <f>IF($R$2012="","",SUM(D2022:D2033))</f>
        <v/>
      </c>
      <c r="E2034" s="5">
        <f>IF($R$2012="","",SUM(E2022:E2033))</f>
        <v/>
      </c>
      <c r="F2034" s="48">
        <f>IF(OR($D2034=0,$D2034=""),"",$E2034/$D2034*100)</f>
        <v/>
      </c>
      <c r="G2034" s="8" t="n"/>
      <c r="H2034" s="49">
        <f>IF($F2034="","",REPT("■",ROUND($F2034/5,0)))</f>
        <v/>
      </c>
      <c r="I2034" s="7" t="n"/>
      <c r="J2034" s="7" t="n"/>
      <c r="K2034" s="7" t="n"/>
      <c r="L2034" s="7" t="n"/>
      <c r="M2034" s="7" t="n"/>
      <c r="N2034" s="7" t="n"/>
      <c r="O2034" s="7" t="n"/>
      <c r="P2034" s="8" t="n"/>
    </row>
    <row r="2036">
      <c r="A2036" s="12" t="inlineStr">
        <is>
          <t>4. 문항 채점표</t>
        </is>
      </c>
    </row>
    <row r="2037">
      <c r="A2037" s="50" t="inlineStr">
        <is>
          <t>문항 번호</t>
        </is>
      </c>
      <c r="B2037" s="51" t="n">
        <v>1</v>
      </c>
      <c r="C2037" s="51" t="n">
        <v>2</v>
      </c>
      <c r="D2037" s="51" t="n">
        <v>3</v>
      </c>
      <c r="E2037" s="51" t="n">
        <v>4</v>
      </c>
      <c r="F2037" s="51" t="n">
        <v>5</v>
      </c>
      <c r="G2037" s="51" t="n">
        <v>6</v>
      </c>
      <c r="H2037" s="51" t="n">
        <v>7</v>
      </c>
      <c r="I2037" s="51" t="n">
        <v>8</v>
      </c>
      <c r="J2037" s="51" t="n">
        <v>9</v>
      </c>
      <c r="K2037" s="51" t="n">
        <v>10</v>
      </c>
      <c r="L2037" s="51" t="n">
        <v>11</v>
      </c>
      <c r="M2037" s="51" t="n">
        <v>12</v>
      </c>
      <c r="N2037" s="51" t="n">
        <v>13</v>
      </c>
      <c r="O2037" s="51" t="n">
        <v>14</v>
      </c>
      <c r="P2037" s="51" t="n">
        <v>15</v>
      </c>
    </row>
    <row r="2038">
      <c r="A2038" s="52" t="inlineStr">
        <is>
          <t>정답</t>
        </is>
      </c>
      <c r="B2038" s="33">
        <f>IF($R$2013="","",IF($R$2013="언어와 매체",자동계산!$D$4,자동계산!$B$4))</f>
        <v/>
      </c>
      <c r="C2038" s="33">
        <f>IF($R$2013="","",IF($R$2013="언어와 매체",자동계산!$D$5,자동계산!$B$5))</f>
        <v/>
      </c>
      <c r="D2038" s="33">
        <f>IF($R$2013="","",IF($R$2013="언어와 매체",자동계산!$D$6,자동계산!$B$6))</f>
        <v/>
      </c>
      <c r="E2038" s="33">
        <f>IF($R$2013="","",IF($R$2013="언어와 매체",자동계산!$D$7,자동계산!$B$7))</f>
        <v/>
      </c>
      <c r="F2038" s="33">
        <f>IF($R$2013="","",IF($R$2013="언어와 매체",자동계산!$D$8,자동계산!$B$8))</f>
        <v/>
      </c>
      <c r="G2038" s="33">
        <f>IF($R$2013="","",IF($R$2013="언어와 매체",자동계산!$D$9,자동계산!$B$9))</f>
        <v/>
      </c>
      <c r="H2038" s="33">
        <f>IF($R$2013="","",IF($R$2013="언어와 매체",자동계산!$D$10,자동계산!$B$10))</f>
        <v/>
      </c>
      <c r="I2038" s="33">
        <f>IF($R$2013="","",IF($R$2013="언어와 매체",자동계산!$D$11,자동계산!$B$11))</f>
        <v/>
      </c>
      <c r="J2038" s="33">
        <f>IF($R$2013="","",IF($R$2013="언어와 매체",자동계산!$D$12,자동계산!$B$12))</f>
        <v/>
      </c>
      <c r="K2038" s="33">
        <f>IF($R$2013="","",IF($R$2013="언어와 매체",자동계산!$D$13,자동계산!$B$13))</f>
        <v/>
      </c>
      <c r="L2038" s="33">
        <f>IF($R$2013="","",IF($R$2013="언어와 매체",자동계산!$D$14,자동계산!$B$14))</f>
        <v/>
      </c>
      <c r="M2038" s="33">
        <f>IF($R$2013="","",IF($R$2013="언어와 매체",자동계산!$D$15,자동계산!$B$15))</f>
        <v/>
      </c>
      <c r="N2038" s="33">
        <f>IF($R$2013="","",IF($R$2013="언어와 매체",자동계산!$D$16,자동계산!$B$16))</f>
        <v/>
      </c>
      <c r="O2038" s="33">
        <f>IF($R$2013="","",IF($R$2013="언어와 매체",자동계산!$D$17,자동계산!$B$17))</f>
        <v/>
      </c>
      <c r="P2038" s="33">
        <f>IF($R$2013="","",IF($R$2013="언어와 매체",자동계산!$D$18,자동계산!$B$18))</f>
        <v/>
      </c>
    </row>
    <row r="2039">
      <c r="A2039" s="52" t="inlineStr">
        <is>
          <t>학생답안</t>
        </is>
      </c>
      <c r="B2039" s="33">
        <f>IF($R$2012="","",INDEX(전체채점!E$3:E$62,$R$2012))</f>
        <v/>
      </c>
      <c r="C2039" s="33">
        <f>IF($R$2012="","",INDEX(전체채점!F$3:F$62,$R$2012))</f>
        <v/>
      </c>
      <c r="D2039" s="33">
        <f>IF($R$2012="","",INDEX(전체채점!G$3:G$62,$R$2012))</f>
        <v/>
      </c>
      <c r="E2039" s="33">
        <f>IF($R$2012="","",INDEX(전체채점!H$3:H$62,$R$2012))</f>
        <v/>
      </c>
      <c r="F2039" s="33">
        <f>IF($R$2012="","",INDEX(전체채점!I$3:I$62,$R$2012))</f>
        <v/>
      </c>
      <c r="G2039" s="33">
        <f>IF($R$2012="","",INDEX(전체채점!J$3:J$62,$R$2012))</f>
        <v/>
      </c>
      <c r="H2039" s="33">
        <f>IF($R$2012="","",INDEX(전체채점!K$3:K$62,$R$2012))</f>
        <v/>
      </c>
      <c r="I2039" s="33">
        <f>IF($R$2012="","",INDEX(전체채점!L$3:L$62,$R$2012))</f>
        <v/>
      </c>
      <c r="J2039" s="33">
        <f>IF($R$2012="","",INDEX(전체채점!M$3:M$62,$R$2012))</f>
        <v/>
      </c>
      <c r="K2039" s="33">
        <f>IF($R$2012="","",INDEX(전체채점!N$3:N$62,$R$2012))</f>
        <v/>
      </c>
      <c r="L2039" s="33">
        <f>IF($R$2012="","",INDEX(전체채점!O$3:O$62,$R$2012))</f>
        <v/>
      </c>
      <c r="M2039" s="33">
        <f>IF($R$2012="","",INDEX(전체채점!P$3:P$62,$R$2012))</f>
        <v/>
      </c>
      <c r="N2039" s="33">
        <f>IF($R$2012="","",INDEX(전체채점!Q$3:Q$62,$R$2012))</f>
        <v/>
      </c>
      <c r="O2039" s="33">
        <f>IF($R$2012="","",INDEX(전체채점!R$3:R$62,$R$2012))</f>
        <v/>
      </c>
      <c r="P2039" s="33">
        <f>IF($R$2012="","",INDEX(전체채점!S$3:S$62,$R$2012))</f>
        <v/>
      </c>
    </row>
    <row r="2040">
      <c r="A2040" s="52" t="inlineStr">
        <is>
          <t>정오</t>
        </is>
      </c>
      <c r="B2040" s="33">
        <f>IF($R$2012="","",INDEX(전체채점!AX$3:AX$62,$R$2012))</f>
        <v/>
      </c>
      <c r="C2040" s="33">
        <f>IF($R$2012="","",INDEX(전체채점!AY$3:AY$62,$R$2012))</f>
        <v/>
      </c>
      <c r="D2040" s="33">
        <f>IF($R$2012="","",INDEX(전체채점!AZ$3:AZ$62,$R$2012))</f>
        <v/>
      </c>
      <c r="E2040" s="33">
        <f>IF($R$2012="","",INDEX(전체채점!BA$3:BA$62,$R$2012))</f>
        <v/>
      </c>
      <c r="F2040" s="33">
        <f>IF($R$2012="","",INDEX(전체채점!BB$3:BB$62,$R$2012))</f>
        <v/>
      </c>
      <c r="G2040" s="33">
        <f>IF($R$2012="","",INDEX(전체채점!BC$3:BC$62,$R$2012))</f>
        <v/>
      </c>
      <c r="H2040" s="33">
        <f>IF($R$2012="","",INDEX(전체채점!BD$3:BD$62,$R$2012))</f>
        <v/>
      </c>
      <c r="I2040" s="33">
        <f>IF($R$2012="","",INDEX(전체채점!BE$3:BE$62,$R$2012))</f>
        <v/>
      </c>
      <c r="J2040" s="33">
        <f>IF($R$2012="","",INDEX(전체채점!BF$3:BF$62,$R$2012))</f>
        <v/>
      </c>
      <c r="K2040" s="33">
        <f>IF($R$2012="","",INDEX(전체채점!BG$3:BG$62,$R$2012))</f>
        <v/>
      </c>
      <c r="L2040" s="33">
        <f>IF($R$2012="","",INDEX(전체채점!BH$3:BH$62,$R$2012))</f>
        <v/>
      </c>
      <c r="M2040" s="33">
        <f>IF($R$2012="","",INDEX(전체채점!BI$3:BI$62,$R$2012))</f>
        <v/>
      </c>
      <c r="N2040" s="33">
        <f>IF($R$2012="","",INDEX(전체채점!BJ$3:BJ$62,$R$2012))</f>
        <v/>
      </c>
      <c r="O2040" s="33">
        <f>IF($R$2012="","",INDEX(전체채점!BK$3:BK$62,$R$2012))</f>
        <v/>
      </c>
      <c r="P2040" s="33">
        <f>IF($R$2012="","",INDEX(전체채점!BL$3:BL$62,$R$2012))</f>
        <v/>
      </c>
    </row>
    <row r="2041">
      <c r="A2041" s="50" t="inlineStr">
        <is>
          <t>문항 번호</t>
        </is>
      </c>
      <c r="B2041" s="51" t="n">
        <v>16</v>
      </c>
      <c r="C2041" s="51" t="n">
        <v>17</v>
      </c>
      <c r="D2041" s="51" t="n">
        <v>18</v>
      </c>
      <c r="E2041" s="51" t="n">
        <v>19</v>
      </c>
      <c r="F2041" s="51" t="n">
        <v>20</v>
      </c>
      <c r="G2041" s="51" t="n">
        <v>21</v>
      </c>
      <c r="H2041" s="51" t="n">
        <v>22</v>
      </c>
      <c r="I2041" s="51" t="n">
        <v>23</v>
      </c>
      <c r="J2041" s="51" t="n">
        <v>24</v>
      </c>
      <c r="K2041" s="51" t="n">
        <v>25</v>
      </c>
      <c r="L2041" s="51" t="n">
        <v>26</v>
      </c>
      <c r="M2041" s="51" t="n">
        <v>27</v>
      </c>
      <c r="N2041" s="51" t="n">
        <v>28</v>
      </c>
      <c r="O2041" s="51" t="n">
        <v>29</v>
      </c>
      <c r="P2041" s="51" t="n">
        <v>30</v>
      </c>
    </row>
    <row r="2042">
      <c r="A2042" s="52" t="inlineStr">
        <is>
          <t>정답</t>
        </is>
      </c>
      <c r="B2042" s="33">
        <f>IF($R$2013="","",IF($R$2013="언어와 매체",자동계산!$D$19,자동계산!$B$19))</f>
        <v/>
      </c>
      <c r="C2042" s="33">
        <f>IF($R$2013="","",IF($R$2013="언어와 매체",자동계산!$D$20,자동계산!$B$20))</f>
        <v/>
      </c>
      <c r="D2042" s="33">
        <f>IF($R$2013="","",IF($R$2013="언어와 매체",자동계산!$D$21,자동계산!$B$21))</f>
        <v/>
      </c>
      <c r="E2042" s="33">
        <f>IF($R$2013="","",IF($R$2013="언어와 매체",자동계산!$D$22,자동계산!$B$22))</f>
        <v/>
      </c>
      <c r="F2042" s="33">
        <f>IF($R$2013="","",IF($R$2013="언어와 매체",자동계산!$D$23,자동계산!$B$23))</f>
        <v/>
      </c>
      <c r="G2042" s="33">
        <f>IF($R$2013="","",IF($R$2013="언어와 매체",자동계산!$D$24,자동계산!$B$24))</f>
        <v/>
      </c>
      <c r="H2042" s="33">
        <f>IF($R$2013="","",IF($R$2013="언어와 매체",자동계산!$D$25,자동계산!$B$25))</f>
        <v/>
      </c>
      <c r="I2042" s="33">
        <f>IF($R$2013="","",IF($R$2013="언어와 매체",자동계산!$D$26,자동계산!$B$26))</f>
        <v/>
      </c>
      <c r="J2042" s="33">
        <f>IF($R$2013="","",IF($R$2013="언어와 매체",자동계산!$D$27,자동계산!$B$27))</f>
        <v/>
      </c>
      <c r="K2042" s="33">
        <f>IF($R$2013="","",IF($R$2013="언어와 매체",자동계산!$D$28,자동계산!$B$28))</f>
        <v/>
      </c>
      <c r="L2042" s="33">
        <f>IF($R$2013="","",IF($R$2013="언어와 매체",자동계산!$D$29,자동계산!$B$29))</f>
        <v/>
      </c>
      <c r="M2042" s="33">
        <f>IF($R$2013="","",IF($R$2013="언어와 매체",자동계산!$D$30,자동계산!$B$30))</f>
        <v/>
      </c>
      <c r="N2042" s="33">
        <f>IF($R$2013="","",IF($R$2013="언어와 매체",자동계산!$D$31,자동계산!$B$31))</f>
        <v/>
      </c>
      <c r="O2042" s="33">
        <f>IF($R$2013="","",IF($R$2013="언어와 매체",자동계산!$D$32,자동계산!$B$32))</f>
        <v/>
      </c>
      <c r="P2042" s="33">
        <f>IF($R$2013="","",IF($R$2013="언어와 매체",자동계산!$D$33,자동계산!$B$33))</f>
        <v/>
      </c>
    </row>
    <row r="2043">
      <c r="A2043" s="52" t="inlineStr">
        <is>
          <t>학생답안</t>
        </is>
      </c>
      <c r="B2043" s="33">
        <f>IF($R$2012="","",INDEX(전체채점!T$3:T$62,$R$2012))</f>
        <v/>
      </c>
      <c r="C2043" s="33">
        <f>IF($R$2012="","",INDEX(전체채점!U$3:U$62,$R$2012))</f>
        <v/>
      </c>
      <c r="D2043" s="33">
        <f>IF($R$2012="","",INDEX(전체채점!V$3:V$62,$R$2012))</f>
        <v/>
      </c>
      <c r="E2043" s="33">
        <f>IF($R$2012="","",INDEX(전체채점!W$3:W$62,$R$2012))</f>
        <v/>
      </c>
      <c r="F2043" s="33">
        <f>IF($R$2012="","",INDEX(전체채점!X$3:X$62,$R$2012))</f>
        <v/>
      </c>
      <c r="G2043" s="33">
        <f>IF($R$2012="","",INDEX(전체채점!Y$3:Y$62,$R$2012))</f>
        <v/>
      </c>
      <c r="H2043" s="33">
        <f>IF($R$2012="","",INDEX(전체채점!Z$3:Z$62,$R$2012))</f>
        <v/>
      </c>
      <c r="I2043" s="33">
        <f>IF($R$2012="","",INDEX(전체채점!AA$3:AA$62,$R$2012))</f>
        <v/>
      </c>
      <c r="J2043" s="33">
        <f>IF($R$2012="","",INDEX(전체채점!AB$3:AB$62,$R$2012))</f>
        <v/>
      </c>
      <c r="K2043" s="33">
        <f>IF($R$2012="","",INDEX(전체채점!AC$3:AC$62,$R$2012))</f>
        <v/>
      </c>
      <c r="L2043" s="33">
        <f>IF($R$2012="","",INDEX(전체채점!AD$3:AD$62,$R$2012))</f>
        <v/>
      </c>
      <c r="M2043" s="33">
        <f>IF($R$2012="","",INDEX(전체채점!AE$3:AE$62,$R$2012))</f>
        <v/>
      </c>
      <c r="N2043" s="33">
        <f>IF($R$2012="","",INDEX(전체채점!AF$3:AF$62,$R$2012))</f>
        <v/>
      </c>
      <c r="O2043" s="33">
        <f>IF($R$2012="","",INDEX(전체채점!AG$3:AG$62,$R$2012))</f>
        <v/>
      </c>
      <c r="P2043" s="33">
        <f>IF($R$2012="","",INDEX(전체채점!AH$3:AH$62,$R$2012))</f>
        <v/>
      </c>
    </row>
    <row r="2044">
      <c r="A2044" s="52" t="inlineStr">
        <is>
          <t>정오</t>
        </is>
      </c>
      <c r="B2044" s="33">
        <f>IF($R$2012="","",INDEX(전체채점!BM$3:BM$62,$R$2012))</f>
        <v/>
      </c>
      <c r="C2044" s="33">
        <f>IF($R$2012="","",INDEX(전체채점!BN$3:BN$62,$R$2012))</f>
        <v/>
      </c>
      <c r="D2044" s="33">
        <f>IF($R$2012="","",INDEX(전체채점!BO$3:BO$62,$R$2012))</f>
        <v/>
      </c>
      <c r="E2044" s="33">
        <f>IF($R$2012="","",INDEX(전체채점!BP$3:BP$62,$R$2012))</f>
        <v/>
      </c>
      <c r="F2044" s="33">
        <f>IF($R$2012="","",INDEX(전체채점!BQ$3:BQ$62,$R$2012))</f>
        <v/>
      </c>
      <c r="G2044" s="33">
        <f>IF($R$2012="","",INDEX(전체채점!BR$3:BR$62,$R$2012))</f>
        <v/>
      </c>
      <c r="H2044" s="33">
        <f>IF($R$2012="","",INDEX(전체채점!BS$3:BS$62,$R$2012))</f>
        <v/>
      </c>
      <c r="I2044" s="33">
        <f>IF($R$2012="","",INDEX(전체채점!BT$3:BT$62,$R$2012))</f>
        <v/>
      </c>
      <c r="J2044" s="33">
        <f>IF($R$2012="","",INDEX(전체채점!BU$3:BU$62,$R$2012))</f>
        <v/>
      </c>
      <c r="K2044" s="33">
        <f>IF($R$2012="","",INDEX(전체채점!BV$3:BV$62,$R$2012))</f>
        <v/>
      </c>
      <c r="L2044" s="33">
        <f>IF($R$2012="","",INDEX(전체채점!BW$3:BW$62,$R$2012))</f>
        <v/>
      </c>
      <c r="M2044" s="33">
        <f>IF($R$2012="","",INDEX(전체채점!BX$3:BX$62,$R$2012))</f>
        <v/>
      </c>
      <c r="N2044" s="33">
        <f>IF($R$2012="","",INDEX(전체채점!BY$3:BY$62,$R$2012))</f>
        <v/>
      </c>
      <c r="O2044" s="33">
        <f>IF($R$2012="","",INDEX(전체채점!BZ$3:BZ$62,$R$2012))</f>
        <v/>
      </c>
      <c r="P2044" s="33">
        <f>IF($R$2012="","",INDEX(전체채점!CA$3:CA$62,$R$2012))</f>
        <v/>
      </c>
    </row>
    <row r="2045">
      <c r="A2045" s="50" t="inlineStr">
        <is>
          <t>문항 번호</t>
        </is>
      </c>
      <c r="B2045" s="51" t="n">
        <v>31</v>
      </c>
      <c r="C2045" s="51" t="n">
        <v>32</v>
      </c>
      <c r="D2045" s="51" t="n">
        <v>33</v>
      </c>
      <c r="E2045" s="51" t="n">
        <v>34</v>
      </c>
      <c r="F2045" s="51" t="n">
        <v>35</v>
      </c>
      <c r="G2045" s="51" t="n">
        <v>36</v>
      </c>
      <c r="H2045" s="51" t="n">
        <v>37</v>
      </c>
      <c r="I2045" s="51" t="n">
        <v>38</v>
      </c>
      <c r="J2045" s="51" t="n">
        <v>39</v>
      </c>
      <c r="K2045" s="51" t="n">
        <v>40</v>
      </c>
      <c r="L2045" s="51" t="n">
        <v>41</v>
      </c>
      <c r="M2045" s="51" t="n">
        <v>42</v>
      </c>
      <c r="N2045" s="51" t="n">
        <v>43</v>
      </c>
      <c r="O2045" s="51" t="n">
        <v>44</v>
      </c>
      <c r="P2045" s="51" t="n">
        <v>45</v>
      </c>
    </row>
    <row r="2046">
      <c r="A2046" s="52" t="inlineStr">
        <is>
          <t>정답</t>
        </is>
      </c>
      <c r="B2046" s="33">
        <f>IF($R$2013="","",IF($R$2013="언어와 매체",자동계산!$D$34,자동계산!$B$34))</f>
        <v/>
      </c>
      <c r="C2046" s="33">
        <f>IF($R$2013="","",IF($R$2013="언어와 매체",자동계산!$D$35,자동계산!$B$35))</f>
        <v/>
      </c>
      <c r="D2046" s="33">
        <f>IF($R$2013="","",IF($R$2013="언어와 매체",자동계산!$D$36,자동계산!$B$36))</f>
        <v/>
      </c>
      <c r="E2046" s="33">
        <f>IF($R$2013="","",IF($R$2013="언어와 매체",자동계산!$D$37,자동계산!$B$37))</f>
        <v/>
      </c>
      <c r="F2046" s="33">
        <f>IF($R$2013="","",IF($R$2013="언어와 매체",자동계산!$D$38,자동계산!$B$38))</f>
        <v/>
      </c>
      <c r="G2046" s="33">
        <f>IF($R$2013="","",IF($R$2013="언어와 매체",자동계산!$D$39,자동계산!$B$39))</f>
        <v/>
      </c>
      <c r="H2046" s="33">
        <f>IF($R$2013="","",IF($R$2013="언어와 매체",자동계산!$D$40,자동계산!$B$40))</f>
        <v/>
      </c>
      <c r="I2046" s="33">
        <f>IF($R$2013="","",IF($R$2013="언어와 매체",자동계산!$D$41,자동계산!$B$41))</f>
        <v/>
      </c>
      <c r="J2046" s="33">
        <f>IF($R$2013="","",IF($R$2013="언어와 매체",자동계산!$D$42,자동계산!$B$42))</f>
        <v/>
      </c>
      <c r="K2046" s="33">
        <f>IF($R$2013="","",IF($R$2013="언어와 매체",자동계산!$D$43,자동계산!$B$43))</f>
        <v/>
      </c>
      <c r="L2046" s="33">
        <f>IF($R$2013="","",IF($R$2013="언어와 매체",자동계산!$D$44,자동계산!$B$44))</f>
        <v/>
      </c>
      <c r="M2046" s="33">
        <f>IF($R$2013="","",IF($R$2013="언어와 매체",자동계산!$D$45,자동계산!$B$45))</f>
        <v/>
      </c>
      <c r="N2046" s="33">
        <f>IF($R$2013="","",IF($R$2013="언어와 매체",자동계산!$D$46,자동계산!$B$46))</f>
        <v/>
      </c>
      <c r="O2046" s="33">
        <f>IF($R$2013="","",IF($R$2013="언어와 매체",자동계산!$D$47,자동계산!$B$47))</f>
        <v/>
      </c>
      <c r="P2046" s="33">
        <f>IF($R$2013="","",IF($R$2013="언어와 매체",자동계산!$D$48,자동계산!$B$48))</f>
        <v/>
      </c>
    </row>
    <row r="2047">
      <c r="A2047" s="52" t="inlineStr">
        <is>
          <t>학생답안</t>
        </is>
      </c>
      <c r="B2047" s="33">
        <f>IF($R$2012="","",INDEX(전체채점!AI$3:AI$62,$R$2012))</f>
        <v/>
      </c>
      <c r="C2047" s="33">
        <f>IF($R$2012="","",INDEX(전체채점!AJ$3:AJ$62,$R$2012))</f>
        <v/>
      </c>
      <c r="D2047" s="33">
        <f>IF($R$2012="","",INDEX(전체채점!AK$3:AK$62,$R$2012))</f>
        <v/>
      </c>
      <c r="E2047" s="33">
        <f>IF($R$2012="","",INDEX(전체채점!AL$3:AL$62,$R$2012))</f>
        <v/>
      </c>
      <c r="F2047" s="33">
        <f>IF($R$2012="","",INDEX(전체채점!AM$3:AM$62,$R$2012))</f>
        <v/>
      </c>
      <c r="G2047" s="33">
        <f>IF($R$2012="","",INDEX(전체채점!AN$3:AN$62,$R$2012))</f>
        <v/>
      </c>
      <c r="H2047" s="33">
        <f>IF($R$2012="","",INDEX(전체채점!AO$3:AO$62,$R$2012))</f>
        <v/>
      </c>
      <c r="I2047" s="33">
        <f>IF($R$2012="","",INDEX(전체채점!AP$3:AP$62,$R$2012))</f>
        <v/>
      </c>
      <c r="J2047" s="33">
        <f>IF($R$2012="","",INDEX(전체채점!AQ$3:AQ$62,$R$2012))</f>
        <v/>
      </c>
      <c r="K2047" s="33">
        <f>IF($R$2012="","",INDEX(전체채점!AR$3:AR$62,$R$2012))</f>
        <v/>
      </c>
      <c r="L2047" s="33">
        <f>IF($R$2012="","",INDEX(전체채점!AS$3:AS$62,$R$2012))</f>
        <v/>
      </c>
      <c r="M2047" s="33">
        <f>IF($R$2012="","",INDEX(전체채점!AT$3:AT$62,$R$2012))</f>
        <v/>
      </c>
      <c r="N2047" s="33">
        <f>IF($R$2012="","",INDEX(전체채점!AU$3:AU$62,$R$2012))</f>
        <v/>
      </c>
      <c r="O2047" s="33">
        <f>IF($R$2012="","",INDEX(전체채점!AV$3:AV$62,$R$2012))</f>
        <v/>
      </c>
      <c r="P2047" s="33">
        <f>IF($R$2012="","",INDEX(전체채점!AW$3:AW$62,$R$2012))</f>
        <v/>
      </c>
    </row>
    <row r="2048">
      <c r="A2048" s="52" t="inlineStr">
        <is>
          <t>정오</t>
        </is>
      </c>
      <c r="B2048" s="33">
        <f>IF($R$2012="","",INDEX(전체채점!CB$3:CB$62,$R$2012))</f>
        <v/>
      </c>
      <c r="C2048" s="33">
        <f>IF($R$2012="","",INDEX(전체채점!CC$3:CC$62,$R$2012))</f>
        <v/>
      </c>
      <c r="D2048" s="33">
        <f>IF($R$2012="","",INDEX(전체채점!CD$3:CD$62,$R$2012))</f>
        <v/>
      </c>
      <c r="E2048" s="33">
        <f>IF($R$2012="","",INDEX(전체채점!CE$3:CE$62,$R$2012))</f>
        <v/>
      </c>
      <c r="F2048" s="33">
        <f>IF($R$2012="","",INDEX(전체채점!CF$3:CF$62,$R$2012))</f>
        <v/>
      </c>
      <c r="G2048" s="33">
        <f>IF($R$2012="","",INDEX(전체채점!CG$3:CG$62,$R$2012))</f>
        <v/>
      </c>
      <c r="H2048" s="33">
        <f>IF($R$2012="","",INDEX(전체채점!CH$3:CH$62,$R$2012))</f>
        <v/>
      </c>
      <c r="I2048" s="33">
        <f>IF($R$2012="","",INDEX(전체채점!CI$3:CI$62,$R$2012))</f>
        <v/>
      </c>
      <c r="J2048" s="33">
        <f>IF($R$2012="","",INDEX(전체채점!CJ$3:CJ$62,$R$2012))</f>
        <v/>
      </c>
      <c r="K2048" s="33">
        <f>IF($R$2012="","",INDEX(전체채점!CK$3:CK$62,$R$2012))</f>
        <v/>
      </c>
      <c r="L2048" s="33">
        <f>IF($R$2012="","",INDEX(전체채점!CL$3:CL$62,$R$2012))</f>
        <v/>
      </c>
      <c r="M2048" s="33">
        <f>IF($R$2012="","",INDEX(전체채점!CM$3:CM$62,$R$2012))</f>
        <v/>
      </c>
      <c r="N2048" s="33">
        <f>IF($R$2012="","",INDEX(전체채점!CN$3:CN$62,$R$2012))</f>
        <v/>
      </c>
      <c r="O2048" s="33">
        <f>IF($R$2012="","",INDEX(전체채점!CO$3:CO$62,$R$2012))</f>
        <v/>
      </c>
      <c r="P2048" s="33">
        <f>IF($R$2012="","",INDEX(전체채점!CP$3:CP$62,$R$2012))</f>
        <v/>
      </c>
    </row>
    <row r="2051" ht="34" customHeight="1">
      <c r="A2051" s="36">
        <f>IF($R$2053="","",회차설정!$B$2&amp;" 성적표")</f>
        <v/>
      </c>
    </row>
    <row r="2053">
      <c r="A2053" s="12" t="inlineStr">
        <is>
          <t>1. 학생정보</t>
        </is>
      </c>
      <c r="R2053" s="37">
        <f>IF(답안입력!$A$53="","",51)</f>
        <v/>
      </c>
      <c r="S2053" s="37">
        <f>IF($R$2054="","",IFERROR(IF($R$2054="언어와 매체",MATCH(1,회차설정!$G$13:$G$27,0),MATCH(1,회차설정!$F$13:$F$27,0)),""))</f>
        <v/>
      </c>
    </row>
    <row r="2054">
      <c r="A2054" s="13" t="inlineStr">
        <is>
          <t>성명</t>
        </is>
      </c>
      <c r="B2054" s="7" t="n"/>
      <c r="C2054" s="8" t="n"/>
      <c r="D2054" s="13" t="inlineStr">
        <is>
          <t>선택과목</t>
        </is>
      </c>
      <c r="E2054" s="7" t="n"/>
      <c r="F2054" s="7" t="n"/>
      <c r="G2054" s="8" t="n"/>
      <c r="H2054" s="13" t="inlineStr">
        <is>
          <t>학년</t>
        </is>
      </c>
      <c r="I2054" s="7" t="n"/>
      <c r="J2054" s="7" t="n"/>
      <c r="K2054" s="8" t="n"/>
      <c r="L2054" s="13" t="inlineStr">
        <is>
          <t>시행일</t>
        </is>
      </c>
      <c r="M2054" s="7" t="n"/>
      <c r="N2054" s="7" t="n"/>
      <c r="O2054" s="7" t="n"/>
      <c r="P2054" s="8" t="n"/>
      <c r="R2054" s="37">
        <f>IF($R$2053="","",INDEX(전체채점!$B$3:$B$62,$R$2053))</f>
        <v/>
      </c>
      <c r="S2054" s="37">
        <f>IF($R$2054="","",IFERROR(IF($R$2054="언어와 매체",MATCH(2,회차설정!$G$13:$G$27,0),MATCH(2,회차설정!$F$13:$F$27,0)),""))</f>
        <v/>
      </c>
    </row>
    <row r="2055" ht="26" customHeight="1">
      <c r="A2055" s="39">
        <f>IF($R$2053="","",INDEX(답안입력!$A$3:$A$62,$R$2053))</f>
        <v/>
      </c>
      <c r="B2055" s="7" t="n"/>
      <c r="C2055" s="8" t="n"/>
      <c r="D2055" s="39">
        <f>IF($R$2053="","",INDEX(답안입력!$C$3:$C$62,$R$2053))</f>
        <v/>
      </c>
      <c r="E2055" s="7" t="n"/>
      <c r="F2055" s="7" t="n"/>
      <c r="G2055" s="8" t="n"/>
      <c r="H2055" s="39">
        <f>IF($R$2053="","",INDEX(답안입력!$B$3:$B$62,$R$2053))</f>
        <v/>
      </c>
      <c r="I2055" s="7" t="n"/>
      <c r="J2055" s="7" t="n"/>
      <c r="K2055" s="8" t="n"/>
      <c r="L2055" s="40">
        <f>회차설정!$B$3</f>
        <v/>
      </c>
      <c r="M2055" s="7" t="n"/>
      <c r="N2055" s="7" t="n"/>
      <c r="O2055" s="7" t="n"/>
      <c r="P2055" s="8" t="n"/>
      <c r="R2055" s="37">
        <f>IF($R$2054="언어와 매체",회차설정!$B$9,회차설정!$B$8)</f>
        <v/>
      </c>
      <c r="S2055" s="37">
        <f>IF($R$2054="","",IFERROR(IF($R$2054="언어와 매체",MATCH(3,회차설정!$G$13:$G$27,0),MATCH(3,회차설정!$F$13:$F$27,0)),""))</f>
        <v/>
      </c>
    </row>
    <row r="2056">
      <c r="R2056" s="37">
        <f>IF($R$2054="언어와 매체",회차설정!$C$9,회차설정!$C$8)</f>
        <v/>
      </c>
      <c r="S2056" s="37">
        <f>IF($R$2054="","",IFERROR(IF($R$2054="언어와 매체",MATCH(4,회차설정!$G$13:$G$27,0),MATCH(4,회차설정!$F$13:$F$27,0)),""))</f>
        <v/>
      </c>
    </row>
    <row r="2057">
      <c r="A2057" s="12" t="inlineStr">
        <is>
          <t>2. 성적</t>
        </is>
      </c>
      <c r="R2057" s="37">
        <f>IF($R$2054="언어와 매체",회차설정!$D$9,회차설정!$D$8)</f>
        <v/>
      </c>
      <c r="S2057" s="37">
        <f>IF($R$2054="","",IFERROR(IF($R$2054="언어와 매체",MATCH(5,회차설정!$G$13:$G$27,0),MATCH(5,회차설정!$F$13:$F$27,0)),""))</f>
        <v/>
      </c>
    </row>
    <row r="2058">
      <c r="A2058" s="13" t="inlineStr">
        <is>
          <t>점수 (100점 만점)</t>
        </is>
      </c>
      <c r="B2058" s="7" t="n"/>
      <c r="C2058" s="7" t="n"/>
      <c r="D2058" s="7" t="n"/>
      <c r="E2058" s="8" t="n"/>
      <c r="F2058" s="13" t="inlineStr">
        <is>
          <t>등급</t>
        </is>
      </c>
      <c r="G2058" s="7" t="n"/>
      <c r="H2058" s="8" t="n"/>
      <c r="I2058" s="13" t="inlineStr">
        <is>
          <t>등급컷</t>
        </is>
      </c>
      <c r="J2058" s="7" t="n"/>
      <c r="K2058" s="7" t="n"/>
      <c r="L2058" s="8" t="n"/>
      <c r="M2058" s="13" t="inlineStr">
        <is>
          <t>같은 선택과목 평균</t>
        </is>
      </c>
      <c r="N2058" s="7" t="n"/>
      <c r="O2058" s="7" t="n"/>
      <c r="P2058" s="8" t="n"/>
      <c r="R2058" s="37">
        <f>IF($R$2054="언어와 매체",회차설정!$E$9,회차설정!$E$8)</f>
        <v/>
      </c>
      <c r="S2058" s="37">
        <f>IF($R$2054="","",IFERROR(IF($R$2054="언어와 매체",MATCH(6,회차설정!$G$13:$G$27,0),MATCH(6,회차설정!$F$13:$F$27,0)),""))</f>
        <v/>
      </c>
    </row>
    <row r="2059" ht="34" customHeight="1">
      <c r="A2059" s="41">
        <f>IF($R$2053="","",INDEX(전체채점!$C$3:$C$62,$R$2053))</f>
        <v/>
      </c>
      <c r="B2059" s="7" t="n"/>
      <c r="C2059" s="7" t="n"/>
      <c r="D2059" s="7" t="n"/>
      <c r="E2059" s="8" t="n"/>
      <c r="F2059" s="42">
        <f>IF($R$2053="","",INDEX(전체채점!$D$3:$D$62,$R$2053))</f>
        <v/>
      </c>
      <c r="G2059" s="7" t="n"/>
      <c r="H2059" s="8" t="n"/>
      <c r="I2059" s="43">
        <f>IF($R$2053="","",$R$2055&amp;"-"&amp;$R$2056&amp;"-"&amp;$R$2057&amp;"-"&amp;$R$2058)</f>
        <v/>
      </c>
      <c r="J2059" s="7" t="n"/>
      <c r="K2059" s="7" t="n"/>
      <c r="L2059" s="8" t="n"/>
      <c r="M2059" s="44">
        <f>IFERROR(AVERAGEIF(전체채점!$B$3:$B$62,$R$2054,전체채점!$C$3:$C$62),"")</f>
        <v/>
      </c>
      <c r="N2059" s="7" t="n"/>
      <c r="O2059" s="7" t="n"/>
      <c r="P2059" s="8" t="n"/>
      <c r="S2059" s="37">
        <f>IF($R$2054="","",IFERROR(IF($R$2054="언어와 매체",MATCH(7,회차설정!$G$13:$G$27,0),MATCH(7,회차설정!$F$13:$F$27,0)),""))</f>
        <v/>
      </c>
    </row>
    <row r="2060">
      <c r="S2060" s="37">
        <f>IF($R$2054="","",IFERROR(IF($R$2054="언어와 매체",MATCH(8,회차설정!$G$13:$G$27,0),MATCH(8,회차설정!$F$13:$F$27,0)),""))</f>
        <v/>
      </c>
    </row>
    <row r="2061">
      <c r="A2061" s="12" t="inlineStr">
        <is>
          <t>3. 영역분류별 성취도 분석</t>
        </is>
      </c>
      <c r="F2061" s="45">
        <f>IF(OR($R$2053="",$E2075=""),"",IF($E2075=INDEX(전체채점!$C$3:$C$62,$R$2053),"","※ 회차설정의 영역 표를 확인하세요 — 영역 합계와 점수가 다릅니다"))</f>
        <v/>
      </c>
      <c r="S2061" s="37">
        <f>IF($R$2054="","",IFERROR(IF($R$2054="언어와 매체",MATCH(9,회차설정!$G$13:$G$27,0),MATCH(9,회차설정!$F$13:$F$27,0)),""))</f>
        <v/>
      </c>
    </row>
    <row r="2062">
      <c r="A2062" s="13" t="inlineStr">
        <is>
          <t>분류</t>
        </is>
      </c>
      <c r="B2062" s="13" t="inlineStr">
        <is>
          <t>영역</t>
        </is>
      </c>
      <c r="C2062" s="8" t="n"/>
      <c r="D2062" s="13" t="inlineStr">
        <is>
          <t>배점</t>
        </is>
      </c>
      <c r="E2062" s="13" t="inlineStr">
        <is>
          <t>득점</t>
        </is>
      </c>
      <c r="F2062" s="13" t="inlineStr">
        <is>
          <t>성취도(%)</t>
        </is>
      </c>
      <c r="G2062" s="8" t="n"/>
      <c r="H2062" s="13" t="inlineStr"/>
      <c r="I2062" s="7" t="n"/>
      <c r="J2062" s="7" t="n"/>
      <c r="K2062" s="7" t="n"/>
      <c r="L2062" s="7" t="n"/>
      <c r="M2062" s="7" t="n"/>
      <c r="N2062" s="7" t="n"/>
      <c r="O2062" s="7" t="n"/>
      <c r="P2062" s="8" t="n"/>
      <c r="S2062" s="37">
        <f>IF($R$2054="","",IFERROR(IF($R$2054="언어와 매체",MATCH(10,회차설정!$G$13:$G$27,0),MATCH(10,회차설정!$F$13:$F$27,0)),""))</f>
        <v/>
      </c>
    </row>
    <row r="2063">
      <c r="A2063" s="14">
        <f>IF($S$2053="","",INDEX(회차설정!$A$13:$A$27,$S$2053))</f>
        <v/>
      </c>
      <c r="B2063" s="14">
        <f>IF($S$2053="","",INDEX(회차설정!$B$13:$B$27,$S$2053))</f>
        <v/>
      </c>
      <c r="C2063" s="8" t="n"/>
      <c r="D2063" s="14">
        <f>IF($S$2053="","",IF($R$2054="언어와 매체",SUMPRODUCT((자동계산!$A$4:$A$48&gt;=INDEX(회차설정!$C$13:$C$27,$S$2053))*(자동계산!$A$4:$A$48&lt;=INDEX(회차설정!$D$13:$D$27,$S$2053))*자동계산!$E$4:$E$48),SUMPRODUCT((자동계산!$A$4:$A$48&gt;=INDEX(회차설정!$C$13:$C$27,$S$2053))*(자동계산!$A$4:$A$48&lt;=INDEX(회차설정!$D$13:$D$27,$S$2053))*자동계산!$C$4:$C$48)))</f>
        <v/>
      </c>
      <c r="E2063" s="14">
        <f>IF(OR($S$2053="",$R$2053=""),"",SUM(OFFSET(전체채점!$AW$2,$R$2053,INDEX(회차설정!$C$13:$C$27,$S$2053),1,INDEX(회차설정!$D$13:$D$27,$S$2053)-INDEX(회차설정!$C$13:$C$27,$S$2053)+1)))</f>
        <v/>
      </c>
      <c r="F2063" s="46">
        <f>IF(OR($S$2053="",$D2063=0,$D2063="",$E2063=""),"",$E2063/$D2063*100)</f>
        <v/>
      </c>
      <c r="G2063" s="8" t="n"/>
      <c r="H2063" s="47">
        <f>IF($F2063="","",REPT("■",ROUND($F2063/5,0)))</f>
        <v/>
      </c>
      <c r="I2063" s="7" t="n"/>
      <c r="J2063" s="7" t="n"/>
      <c r="K2063" s="7" t="n"/>
      <c r="L2063" s="7" t="n"/>
      <c r="M2063" s="7" t="n"/>
      <c r="N2063" s="7" t="n"/>
      <c r="O2063" s="7" t="n"/>
      <c r="P2063" s="8" t="n"/>
      <c r="S2063" s="37">
        <f>IF($R$2054="","",IFERROR(IF($R$2054="언어와 매체",MATCH(11,회차설정!$G$13:$G$27,0),MATCH(11,회차설정!$F$13:$F$27,0)),""))</f>
        <v/>
      </c>
    </row>
    <row r="2064">
      <c r="A2064" s="14">
        <f>IF($S$2054="","",INDEX(회차설정!$A$13:$A$27,$S$2054))</f>
        <v/>
      </c>
      <c r="B2064" s="14">
        <f>IF($S$2054="","",INDEX(회차설정!$B$13:$B$27,$S$2054))</f>
        <v/>
      </c>
      <c r="C2064" s="8" t="n"/>
      <c r="D2064" s="14">
        <f>IF($S$2054="","",IF($R$2054="언어와 매체",SUMPRODUCT((자동계산!$A$4:$A$48&gt;=INDEX(회차설정!$C$13:$C$27,$S$2054))*(자동계산!$A$4:$A$48&lt;=INDEX(회차설정!$D$13:$D$27,$S$2054))*자동계산!$E$4:$E$48),SUMPRODUCT((자동계산!$A$4:$A$48&gt;=INDEX(회차설정!$C$13:$C$27,$S$2054))*(자동계산!$A$4:$A$48&lt;=INDEX(회차설정!$D$13:$D$27,$S$2054))*자동계산!$C$4:$C$48)))</f>
        <v/>
      </c>
      <c r="E2064" s="14">
        <f>IF(OR($S$2054="",$R$2053=""),"",SUM(OFFSET(전체채점!$AW$2,$R$2053,INDEX(회차설정!$C$13:$C$27,$S$2054),1,INDEX(회차설정!$D$13:$D$27,$S$2054)-INDEX(회차설정!$C$13:$C$27,$S$2054)+1)))</f>
        <v/>
      </c>
      <c r="F2064" s="46">
        <f>IF(OR($S$2054="",$D2064=0,$D2064="",$E2064=""),"",$E2064/$D2064*100)</f>
        <v/>
      </c>
      <c r="G2064" s="8" t="n"/>
      <c r="H2064" s="47">
        <f>IF($F2064="","",REPT("■",ROUND($F2064/5,0)))</f>
        <v/>
      </c>
      <c r="I2064" s="7" t="n"/>
      <c r="J2064" s="7" t="n"/>
      <c r="K2064" s="7" t="n"/>
      <c r="L2064" s="7" t="n"/>
      <c r="M2064" s="7" t="n"/>
      <c r="N2064" s="7" t="n"/>
      <c r="O2064" s="7" t="n"/>
      <c r="P2064" s="8" t="n"/>
      <c r="S2064" s="37">
        <f>IF($R$2054="","",IFERROR(IF($R$2054="언어와 매체",MATCH(12,회차설정!$G$13:$G$27,0),MATCH(12,회차설정!$F$13:$F$27,0)),""))</f>
        <v/>
      </c>
    </row>
    <row r="2065">
      <c r="A2065" s="14">
        <f>IF($S$2055="","",INDEX(회차설정!$A$13:$A$27,$S$2055))</f>
        <v/>
      </c>
      <c r="B2065" s="14">
        <f>IF($S$2055="","",INDEX(회차설정!$B$13:$B$27,$S$2055))</f>
        <v/>
      </c>
      <c r="C2065" s="8" t="n"/>
      <c r="D2065" s="14">
        <f>IF($S$2055="","",IF($R$2054="언어와 매체",SUMPRODUCT((자동계산!$A$4:$A$48&gt;=INDEX(회차설정!$C$13:$C$27,$S$2055))*(자동계산!$A$4:$A$48&lt;=INDEX(회차설정!$D$13:$D$27,$S$2055))*자동계산!$E$4:$E$48),SUMPRODUCT((자동계산!$A$4:$A$48&gt;=INDEX(회차설정!$C$13:$C$27,$S$2055))*(자동계산!$A$4:$A$48&lt;=INDEX(회차설정!$D$13:$D$27,$S$2055))*자동계산!$C$4:$C$48)))</f>
        <v/>
      </c>
      <c r="E2065" s="14">
        <f>IF(OR($S$2055="",$R$2053=""),"",SUM(OFFSET(전체채점!$AW$2,$R$2053,INDEX(회차설정!$C$13:$C$27,$S$2055),1,INDEX(회차설정!$D$13:$D$27,$S$2055)-INDEX(회차설정!$C$13:$C$27,$S$2055)+1)))</f>
        <v/>
      </c>
      <c r="F2065" s="46">
        <f>IF(OR($S$2055="",$D2065=0,$D2065="",$E2065=""),"",$E2065/$D2065*100)</f>
        <v/>
      </c>
      <c r="G2065" s="8" t="n"/>
      <c r="H2065" s="47">
        <f>IF($F2065="","",REPT("■",ROUND($F2065/5,0)))</f>
        <v/>
      </c>
      <c r="I2065" s="7" t="n"/>
      <c r="J2065" s="7" t="n"/>
      <c r="K2065" s="7" t="n"/>
      <c r="L2065" s="7" t="n"/>
      <c r="M2065" s="7" t="n"/>
      <c r="N2065" s="7" t="n"/>
      <c r="O2065" s="7" t="n"/>
      <c r="P2065" s="8" t="n"/>
    </row>
    <row r="2066">
      <c r="A2066" s="14">
        <f>IF($S$2056="","",INDEX(회차설정!$A$13:$A$27,$S$2056))</f>
        <v/>
      </c>
      <c r="B2066" s="14">
        <f>IF($S$2056="","",INDEX(회차설정!$B$13:$B$27,$S$2056))</f>
        <v/>
      </c>
      <c r="C2066" s="8" t="n"/>
      <c r="D2066" s="14">
        <f>IF($S$2056="","",IF($R$2054="언어와 매체",SUMPRODUCT((자동계산!$A$4:$A$48&gt;=INDEX(회차설정!$C$13:$C$27,$S$2056))*(자동계산!$A$4:$A$48&lt;=INDEX(회차설정!$D$13:$D$27,$S$2056))*자동계산!$E$4:$E$48),SUMPRODUCT((자동계산!$A$4:$A$48&gt;=INDEX(회차설정!$C$13:$C$27,$S$2056))*(자동계산!$A$4:$A$48&lt;=INDEX(회차설정!$D$13:$D$27,$S$2056))*자동계산!$C$4:$C$48)))</f>
        <v/>
      </c>
      <c r="E2066" s="14">
        <f>IF(OR($S$2056="",$R$2053=""),"",SUM(OFFSET(전체채점!$AW$2,$R$2053,INDEX(회차설정!$C$13:$C$27,$S$2056),1,INDEX(회차설정!$D$13:$D$27,$S$2056)-INDEX(회차설정!$C$13:$C$27,$S$2056)+1)))</f>
        <v/>
      </c>
      <c r="F2066" s="46">
        <f>IF(OR($S$2056="",$D2066=0,$D2066="",$E2066=""),"",$E2066/$D2066*100)</f>
        <v/>
      </c>
      <c r="G2066" s="8" t="n"/>
      <c r="H2066" s="47">
        <f>IF($F2066="","",REPT("■",ROUND($F2066/5,0)))</f>
        <v/>
      </c>
      <c r="I2066" s="7" t="n"/>
      <c r="J2066" s="7" t="n"/>
      <c r="K2066" s="7" t="n"/>
      <c r="L2066" s="7" t="n"/>
      <c r="M2066" s="7" t="n"/>
      <c r="N2066" s="7" t="n"/>
      <c r="O2066" s="7" t="n"/>
      <c r="P2066" s="8" t="n"/>
    </row>
    <row r="2067">
      <c r="A2067" s="14">
        <f>IF($S$2057="","",INDEX(회차설정!$A$13:$A$27,$S$2057))</f>
        <v/>
      </c>
      <c r="B2067" s="14">
        <f>IF($S$2057="","",INDEX(회차설정!$B$13:$B$27,$S$2057))</f>
        <v/>
      </c>
      <c r="C2067" s="8" t="n"/>
      <c r="D2067" s="14">
        <f>IF($S$2057="","",IF($R$2054="언어와 매체",SUMPRODUCT((자동계산!$A$4:$A$48&gt;=INDEX(회차설정!$C$13:$C$27,$S$2057))*(자동계산!$A$4:$A$48&lt;=INDEX(회차설정!$D$13:$D$27,$S$2057))*자동계산!$E$4:$E$48),SUMPRODUCT((자동계산!$A$4:$A$48&gt;=INDEX(회차설정!$C$13:$C$27,$S$2057))*(자동계산!$A$4:$A$48&lt;=INDEX(회차설정!$D$13:$D$27,$S$2057))*자동계산!$C$4:$C$48)))</f>
        <v/>
      </c>
      <c r="E2067" s="14">
        <f>IF(OR($S$2057="",$R$2053=""),"",SUM(OFFSET(전체채점!$AW$2,$R$2053,INDEX(회차설정!$C$13:$C$27,$S$2057),1,INDEX(회차설정!$D$13:$D$27,$S$2057)-INDEX(회차설정!$C$13:$C$27,$S$2057)+1)))</f>
        <v/>
      </c>
      <c r="F2067" s="46">
        <f>IF(OR($S$2057="",$D2067=0,$D2067="",$E2067=""),"",$E2067/$D2067*100)</f>
        <v/>
      </c>
      <c r="G2067" s="8" t="n"/>
      <c r="H2067" s="47">
        <f>IF($F2067="","",REPT("■",ROUND($F2067/5,0)))</f>
        <v/>
      </c>
      <c r="I2067" s="7" t="n"/>
      <c r="J2067" s="7" t="n"/>
      <c r="K2067" s="7" t="n"/>
      <c r="L2067" s="7" t="n"/>
      <c r="M2067" s="7" t="n"/>
      <c r="N2067" s="7" t="n"/>
      <c r="O2067" s="7" t="n"/>
      <c r="P2067" s="8" t="n"/>
    </row>
    <row r="2068">
      <c r="A2068" s="14">
        <f>IF($S$2058="","",INDEX(회차설정!$A$13:$A$27,$S$2058))</f>
        <v/>
      </c>
      <c r="B2068" s="14">
        <f>IF($S$2058="","",INDEX(회차설정!$B$13:$B$27,$S$2058))</f>
        <v/>
      </c>
      <c r="C2068" s="8" t="n"/>
      <c r="D2068" s="14">
        <f>IF($S$2058="","",IF($R$2054="언어와 매체",SUMPRODUCT((자동계산!$A$4:$A$48&gt;=INDEX(회차설정!$C$13:$C$27,$S$2058))*(자동계산!$A$4:$A$48&lt;=INDEX(회차설정!$D$13:$D$27,$S$2058))*자동계산!$E$4:$E$48),SUMPRODUCT((자동계산!$A$4:$A$48&gt;=INDEX(회차설정!$C$13:$C$27,$S$2058))*(자동계산!$A$4:$A$48&lt;=INDEX(회차설정!$D$13:$D$27,$S$2058))*자동계산!$C$4:$C$48)))</f>
        <v/>
      </c>
      <c r="E2068" s="14">
        <f>IF(OR($S$2058="",$R$2053=""),"",SUM(OFFSET(전체채점!$AW$2,$R$2053,INDEX(회차설정!$C$13:$C$27,$S$2058),1,INDEX(회차설정!$D$13:$D$27,$S$2058)-INDEX(회차설정!$C$13:$C$27,$S$2058)+1)))</f>
        <v/>
      </c>
      <c r="F2068" s="46">
        <f>IF(OR($S$2058="",$D2068=0,$D2068="",$E2068=""),"",$E2068/$D2068*100)</f>
        <v/>
      </c>
      <c r="G2068" s="8" t="n"/>
      <c r="H2068" s="47">
        <f>IF($F2068="","",REPT("■",ROUND($F2068/5,0)))</f>
        <v/>
      </c>
      <c r="I2068" s="7" t="n"/>
      <c r="J2068" s="7" t="n"/>
      <c r="K2068" s="7" t="n"/>
      <c r="L2068" s="7" t="n"/>
      <c r="M2068" s="7" t="n"/>
      <c r="N2068" s="7" t="n"/>
      <c r="O2068" s="7" t="n"/>
      <c r="P2068" s="8" t="n"/>
    </row>
    <row r="2069">
      <c r="A2069" s="14">
        <f>IF($S$2059="","",INDEX(회차설정!$A$13:$A$27,$S$2059))</f>
        <v/>
      </c>
      <c r="B2069" s="14">
        <f>IF($S$2059="","",INDEX(회차설정!$B$13:$B$27,$S$2059))</f>
        <v/>
      </c>
      <c r="C2069" s="8" t="n"/>
      <c r="D2069" s="14">
        <f>IF($S$2059="","",IF($R$2054="언어와 매체",SUMPRODUCT((자동계산!$A$4:$A$48&gt;=INDEX(회차설정!$C$13:$C$27,$S$2059))*(자동계산!$A$4:$A$48&lt;=INDEX(회차설정!$D$13:$D$27,$S$2059))*자동계산!$E$4:$E$48),SUMPRODUCT((자동계산!$A$4:$A$48&gt;=INDEX(회차설정!$C$13:$C$27,$S$2059))*(자동계산!$A$4:$A$48&lt;=INDEX(회차설정!$D$13:$D$27,$S$2059))*자동계산!$C$4:$C$48)))</f>
        <v/>
      </c>
      <c r="E2069" s="14">
        <f>IF(OR($S$2059="",$R$2053=""),"",SUM(OFFSET(전체채점!$AW$2,$R$2053,INDEX(회차설정!$C$13:$C$27,$S$2059),1,INDEX(회차설정!$D$13:$D$27,$S$2059)-INDEX(회차설정!$C$13:$C$27,$S$2059)+1)))</f>
        <v/>
      </c>
      <c r="F2069" s="46">
        <f>IF(OR($S$2059="",$D2069=0,$D2069="",$E2069=""),"",$E2069/$D2069*100)</f>
        <v/>
      </c>
      <c r="G2069" s="8" t="n"/>
      <c r="H2069" s="47">
        <f>IF($F2069="","",REPT("■",ROUND($F2069/5,0)))</f>
        <v/>
      </c>
      <c r="I2069" s="7" t="n"/>
      <c r="J2069" s="7" t="n"/>
      <c r="K2069" s="7" t="n"/>
      <c r="L2069" s="7" t="n"/>
      <c r="M2069" s="7" t="n"/>
      <c r="N2069" s="7" t="n"/>
      <c r="O2069" s="7" t="n"/>
      <c r="P2069" s="8" t="n"/>
    </row>
    <row r="2070">
      <c r="A2070" s="14">
        <f>IF($S$2060="","",INDEX(회차설정!$A$13:$A$27,$S$2060))</f>
        <v/>
      </c>
      <c r="B2070" s="14">
        <f>IF($S$2060="","",INDEX(회차설정!$B$13:$B$27,$S$2060))</f>
        <v/>
      </c>
      <c r="C2070" s="8" t="n"/>
      <c r="D2070" s="14">
        <f>IF($S$2060="","",IF($R$2054="언어와 매체",SUMPRODUCT((자동계산!$A$4:$A$48&gt;=INDEX(회차설정!$C$13:$C$27,$S$2060))*(자동계산!$A$4:$A$48&lt;=INDEX(회차설정!$D$13:$D$27,$S$2060))*자동계산!$E$4:$E$48),SUMPRODUCT((자동계산!$A$4:$A$48&gt;=INDEX(회차설정!$C$13:$C$27,$S$2060))*(자동계산!$A$4:$A$48&lt;=INDEX(회차설정!$D$13:$D$27,$S$2060))*자동계산!$C$4:$C$48)))</f>
        <v/>
      </c>
      <c r="E2070" s="14">
        <f>IF(OR($S$2060="",$R$2053=""),"",SUM(OFFSET(전체채점!$AW$2,$R$2053,INDEX(회차설정!$C$13:$C$27,$S$2060),1,INDEX(회차설정!$D$13:$D$27,$S$2060)-INDEX(회차설정!$C$13:$C$27,$S$2060)+1)))</f>
        <v/>
      </c>
      <c r="F2070" s="46">
        <f>IF(OR($S$2060="",$D2070=0,$D2070="",$E2070=""),"",$E2070/$D2070*100)</f>
        <v/>
      </c>
      <c r="G2070" s="8" t="n"/>
      <c r="H2070" s="47">
        <f>IF($F2070="","",REPT("■",ROUND($F2070/5,0)))</f>
        <v/>
      </c>
      <c r="I2070" s="7" t="n"/>
      <c r="J2070" s="7" t="n"/>
      <c r="K2070" s="7" t="n"/>
      <c r="L2070" s="7" t="n"/>
      <c r="M2070" s="7" t="n"/>
      <c r="N2070" s="7" t="n"/>
      <c r="O2070" s="7" t="n"/>
      <c r="P2070" s="8" t="n"/>
    </row>
    <row r="2071">
      <c r="A2071" s="14">
        <f>IF($S$2061="","",INDEX(회차설정!$A$13:$A$27,$S$2061))</f>
        <v/>
      </c>
      <c r="B2071" s="14">
        <f>IF($S$2061="","",INDEX(회차설정!$B$13:$B$27,$S$2061))</f>
        <v/>
      </c>
      <c r="C2071" s="8" t="n"/>
      <c r="D2071" s="14">
        <f>IF($S$2061="","",IF($R$2054="언어와 매체",SUMPRODUCT((자동계산!$A$4:$A$48&gt;=INDEX(회차설정!$C$13:$C$27,$S$2061))*(자동계산!$A$4:$A$48&lt;=INDEX(회차설정!$D$13:$D$27,$S$2061))*자동계산!$E$4:$E$48),SUMPRODUCT((자동계산!$A$4:$A$48&gt;=INDEX(회차설정!$C$13:$C$27,$S$2061))*(자동계산!$A$4:$A$48&lt;=INDEX(회차설정!$D$13:$D$27,$S$2061))*자동계산!$C$4:$C$48)))</f>
        <v/>
      </c>
      <c r="E2071" s="14">
        <f>IF(OR($S$2061="",$R$2053=""),"",SUM(OFFSET(전체채점!$AW$2,$R$2053,INDEX(회차설정!$C$13:$C$27,$S$2061),1,INDEX(회차설정!$D$13:$D$27,$S$2061)-INDEX(회차설정!$C$13:$C$27,$S$2061)+1)))</f>
        <v/>
      </c>
      <c r="F2071" s="46">
        <f>IF(OR($S$2061="",$D2071=0,$D2071="",$E2071=""),"",$E2071/$D2071*100)</f>
        <v/>
      </c>
      <c r="G2071" s="8" t="n"/>
      <c r="H2071" s="47">
        <f>IF($F2071="","",REPT("■",ROUND($F2071/5,0)))</f>
        <v/>
      </c>
      <c r="I2071" s="7" t="n"/>
      <c r="J2071" s="7" t="n"/>
      <c r="K2071" s="7" t="n"/>
      <c r="L2071" s="7" t="n"/>
      <c r="M2071" s="7" t="n"/>
      <c r="N2071" s="7" t="n"/>
      <c r="O2071" s="7" t="n"/>
      <c r="P2071" s="8" t="n"/>
    </row>
    <row r="2072">
      <c r="A2072" s="14">
        <f>IF($S$2062="","",INDEX(회차설정!$A$13:$A$27,$S$2062))</f>
        <v/>
      </c>
      <c r="B2072" s="14">
        <f>IF($S$2062="","",INDEX(회차설정!$B$13:$B$27,$S$2062))</f>
        <v/>
      </c>
      <c r="C2072" s="8" t="n"/>
      <c r="D2072" s="14">
        <f>IF($S$2062="","",IF($R$2054="언어와 매체",SUMPRODUCT((자동계산!$A$4:$A$48&gt;=INDEX(회차설정!$C$13:$C$27,$S$2062))*(자동계산!$A$4:$A$48&lt;=INDEX(회차설정!$D$13:$D$27,$S$2062))*자동계산!$E$4:$E$48),SUMPRODUCT((자동계산!$A$4:$A$48&gt;=INDEX(회차설정!$C$13:$C$27,$S$2062))*(자동계산!$A$4:$A$48&lt;=INDEX(회차설정!$D$13:$D$27,$S$2062))*자동계산!$C$4:$C$48)))</f>
        <v/>
      </c>
      <c r="E2072" s="14">
        <f>IF(OR($S$2062="",$R$2053=""),"",SUM(OFFSET(전체채점!$AW$2,$R$2053,INDEX(회차설정!$C$13:$C$27,$S$2062),1,INDEX(회차설정!$D$13:$D$27,$S$2062)-INDEX(회차설정!$C$13:$C$27,$S$2062)+1)))</f>
        <v/>
      </c>
      <c r="F2072" s="46">
        <f>IF(OR($S$2062="",$D2072=0,$D2072="",$E2072=""),"",$E2072/$D2072*100)</f>
        <v/>
      </c>
      <c r="G2072" s="8" t="n"/>
      <c r="H2072" s="47">
        <f>IF($F2072="","",REPT("■",ROUND($F2072/5,0)))</f>
        <v/>
      </c>
      <c r="I2072" s="7" t="n"/>
      <c r="J2072" s="7" t="n"/>
      <c r="K2072" s="7" t="n"/>
      <c r="L2072" s="7" t="n"/>
      <c r="M2072" s="7" t="n"/>
      <c r="N2072" s="7" t="n"/>
      <c r="O2072" s="7" t="n"/>
      <c r="P2072" s="8" t="n"/>
    </row>
    <row r="2073">
      <c r="A2073" s="14">
        <f>IF($S$2063="","",INDEX(회차설정!$A$13:$A$27,$S$2063))</f>
        <v/>
      </c>
      <c r="B2073" s="14">
        <f>IF($S$2063="","",INDEX(회차설정!$B$13:$B$27,$S$2063))</f>
        <v/>
      </c>
      <c r="C2073" s="8" t="n"/>
      <c r="D2073" s="14">
        <f>IF($S$2063="","",IF($R$2054="언어와 매체",SUMPRODUCT((자동계산!$A$4:$A$48&gt;=INDEX(회차설정!$C$13:$C$27,$S$2063))*(자동계산!$A$4:$A$48&lt;=INDEX(회차설정!$D$13:$D$27,$S$2063))*자동계산!$E$4:$E$48),SUMPRODUCT((자동계산!$A$4:$A$48&gt;=INDEX(회차설정!$C$13:$C$27,$S$2063))*(자동계산!$A$4:$A$48&lt;=INDEX(회차설정!$D$13:$D$27,$S$2063))*자동계산!$C$4:$C$48)))</f>
        <v/>
      </c>
      <c r="E2073" s="14">
        <f>IF(OR($S$2063="",$R$2053=""),"",SUM(OFFSET(전체채점!$AW$2,$R$2053,INDEX(회차설정!$C$13:$C$27,$S$2063),1,INDEX(회차설정!$D$13:$D$27,$S$2063)-INDEX(회차설정!$C$13:$C$27,$S$2063)+1)))</f>
        <v/>
      </c>
      <c r="F2073" s="46">
        <f>IF(OR($S$2063="",$D2073=0,$D2073="",$E2073=""),"",$E2073/$D2073*100)</f>
        <v/>
      </c>
      <c r="G2073" s="8" t="n"/>
      <c r="H2073" s="47">
        <f>IF($F2073="","",REPT("■",ROUND($F2073/5,0)))</f>
        <v/>
      </c>
      <c r="I2073" s="7" t="n"/>
      <c r="J2073" s="7" t="n"/>
      <c r="K2073" s="7" t="n"/>
      <c r="L2073" s="7" t="n"/>
      <c r="M2073" s="7" t="n"/>
      <c r="N2073" s="7" t="n"/>
      <c r="O2073" s="7" t="n"/>
      <c r="P2073" s="8" t="n"/>
    </row>
    <row r="2074">
      <c r="A2074" s="14">
        <f>IF($S$2064="","",INDEX(회차설정!$A$13:$A$27,$S$2064))</f>
        <v/>
      </c>
      <c r="B2074" s="14">
        <f>IF($S$2064="","",INDEX(회차설정!$B$13:$B$27,$S$2064))</f>
        <v/>
      </c>
      <c r="C2074" s="8" t="n"/>
      <c r="D2074" s="14">
        <f>IF($S$2064="","",IF($R$2054="언어와 매체",SUMPRODUCT((자동계산!$A$4:$A$48&gt;=INDEX(회차설정!$C$13:$C$27,$S$2064))*(자동계산!$A$4:$A$48&lt;=INDEX(회차설정!$D$13:$D$27,$S$2064))*자동계산!$E$4:$E$48),SUMPRODUCT((자동계산!$A$4:$A$48&gt;=INDEX(회차설정!$C$13:$C$27,$S$2064))*(자동계산!$A$4:$A$48&lt;=INDEX(회차설정!$D$13:$D$27,$S$2064))*자동계산!$C$4:$C$48)))</f>
        <v/>
      </c>
      <c r="E2074" s="14">
        <f>IF(OR($S$2064="",$R$2053=""),"",SUM(OFFSET(전체채점!$AW$2,$R$2053,INDEX(회차설정!$C$13:$C$27,$S$2064),1,INDEX(회차설정!$D$13:$D$27,$S$2064)-INDEX(회차설정!$C$13:$C$27,$S$2064)+1)))</f>
        <v/>
      </c>
      <c r="F2074" s="46">
        <f>IF(OR($S$2064="",$D2074=0,$D2074="",$E2074=""),"",$E2074/$D2074*100)</f>
        <v/>
      </c>
      <c r="G2074" s="8" t="n"/>
      <c r="H2074" s="47">
        <f>IF($F2074="","",REPT("■",ROUND($F2074/5,0)))</f>
        <v/>
      </c>
      <c r="I2074" s="7" t="n"/>
      <c r="J2074" s="7" t="n"/>
      <c r="K2074" s="7" t="n"/>
      <c r="L2074" s="7" t="n"/>
      <c r="M2074" s="7" t="n"/>
      <c r="N2074" s="7" t="n"/>
      <c r="O2074" s="7" t="n"/>
      <c r="P2074" s="8" t="n"/>
    </row>
    <row r="2075">
      <c r="A2075" s="5">
        <f>IF($R$2053="","","합계")</f>
        <v/>
      </c>
      <c r="B2075" s="7" t="n"/>
      <c r="C2075" s="8" t="n"/>
      <c r="D2075" s="5">
        <f>IF($R$2053="","",SUM(D2063:D2074))</f>
        <v/>
      </c>
      <c r="E2075" s="5">
        <f>IF($R$2053="","",SUM(E2063:E2074))</f>
        <v/>
      </c>
      <c r="F2075" s="48">
        <f>IF(OR($D2075=0,$D2075=""),"",$E2075/$D2075*100)</f>
        <v/>
      </c>
      <c r="G2075" s="8" t="n"/>
      <c r="H2075" s="49">
        <f>IF($F2075="","",REPT("■",ROUND($F2075/5,0)))</f>
        <v/>
      </c>
      <c r="I2075" s="7" t="n"/>
      <c r="J2075" s="7" t="n"/>
      <c r="K2075" s="7" t="n"/>
      <c r="L2075" s="7" t="n"/>
      <c r="M2075" s="7" t="n"/>
      <c r="N2075" s="7" t="n"/>
      <c r="O2075" s="7" t="n"/>
      <c r="P2075" s="8" t="n"/>
    </row>
    <row r="2077">
      <c r="A2077" s="12" t="inlineStr">
        <is>
          <t>4. 문항 채점표</t>
        </is>
      </c>
    </row>
    <row r="2078">
      <c r="A2078" s="50" t="inlineStr">
        <is>
          <t>문항 번호</t>
        </is>
      </c>
      <c r="B2078" s="51" t="n">
        <v>1</v>
      </c>
      <c r="C2078" s="51" t="n">
        <v>2</v>
      </c>
      <c r="D2078" s="51" t="n">
        <v>3</v>
      </c>
      <c r="E2078" s="51" t="n">
        <v>4</v>
      </c>
      <c r="F2078" s="51" t="n">
        <v>5</v>
      </c>
      <c r="G2078" s="51" t="n">
        <v>6</v>
      </c>
      <c r="H2078" s="51" t="n">
        <v>7</v>
      </c>
      <c r="I2078" s="51" t="n">
        <v>8</v>
      </c>
      <c r="J2078" s="51" t="n">
        <v>9</v>
      </c>
      <c r="K2078" s="51" t="n">
        <v>10</v>
      </c>
      <c r="L2078" s="51" t="n">
        <v>11</v>
      </c>
      <c r="M2078" s="51" t="n">
        <v>12</v>
      </c>
      <c r="N2078" s="51" t="n">
        <v>13</v>
      </c>
      <c r="O2078" s="51" t="n">
        <v>14</v>
      </c>
      <c r="P2078" s="51" t="n">
        <v>15</v>
      </c>
    </row>
    <row r="2079">
      <c r="A2079" s="52" t="inlineStr">
        <is>
          <t>정답</t>
        </is>
      </c>
      <c r="B2079" s="33">
        <f>IF($R$2054="","",IF($R$2054="언어와 매체",자동계산!$D$4,자동계산!$B$4))</f>
        <v/>
      </c>
      <c r="C2079" s="33">
        <f>IF($R$2054="","",IF($R$2054="언어와 매체",자동계산!$D$5,자동계산!$B$5))</f>
        <v/>
      </c>
      <c r="D2079" s="33">
        <f>IF($R$2054="","",IF($R$2054="언어와 매체",자동계산!$D$6,자동계산!$B$6))</f>
        <v/>
      </c>
      <c r="E2079" s="33">
        <f>IF($R$2054="","",IF($R$2054="언어와 매체",자동계산!$D$7,자동계산!$B$7))</f>
        <v/>
      </c>
      <c r="F2079" s="33">
        <f>IF($R$2054="","",IF($R$2054="언어와 매체",자동계산!$D$8,자동계산!$B$8))</f>
        <v/>
      </c>
      <c r="G2079" s="33">
        <f>IF($R$2054="","",IF($R$2054="언어와 매체",자동계산!$D$9,자동계산!$B$9))</f>
        <v/>
      </c>
      <c r="H2079" s="33">
        <f>IF($R$2054="","",IF($R$2054="언어와 매체",자동계산!$D$10,자동계산!$B$10))</f>
        <v/>
      </c>
      <c r="I2079" s="33">
        <f>IF($R$2054="","",IF($R$2054="언어와 매체",자동계산!$D$11,자동계산!$B$11))</f>
        <v/>
      </c>
      <c r="J2079" s="33">
        <f>IF($R$2054="","",IF($R$2054="언어와 매체",자동계산!$D$12,자동계산!$B$12))</f>
        <v/>
      </c>
      <c r="K2079" s="33">
        <f>IF($R$2054="","",IF($R$2054="언어와 매체",자동계산!$D$13,자동계산!$B$13))</f>
        <v/>
      </c>
      <c r="L2079" s="33">
        <f>IF($R$2054="","",IF($R$2054="언어와 매체",자동계산!$D$14,자동계산!$B$14))</f>
        <v/>
      </c>
      <c r="M2079" s="33">
        <f>IF($R$2054="","",IF($R$2054="언어와 매체",자동계산!$D$15,자동계산!$B$15))</f>
        <v/>
      </c>
      <c r="N2079" s="33">
        <f>IF($R$2054="","",IF($R$2054="언어와 매체",자동계산!$D$16,자동계산!$B$16))</f>
        <v/>
      </c>
      <c r="O2079" s="33">
        <f>IF($R$2054="","",IF($R$2054="언어와 매체",자동계산!$D$17,자동계산!$B$17))</f>
        <v/>
      </c>
      <c r="P2079" s="33">
        <f>IF($R$2054="","",IF($R$2054="언어와 매체",자동계산!$D$18,자동계산!$B$18))</f>
        <v/>
      </c>
    </row>
    <row r="2080">
      <c r="A2080" s="52" t="inlineStr">
        <is>
          <t>학생답안</t>
        </is>
      </c>
      <c r="B2080" s="33">
        <f>IF($R$2053="","",INDEX(전체채점!E$3:E$62,$R$2053))</f>
        <v/>
      </c>
      <c r="C2080" s="33">
        <f>IF($R$2053="","",INDEX(전체채점!F$3:F$62,$R$2053))</f>
        <v/>
      </c>
      <c r="D2080" s="33">
        <f>IF($R$2053="","",INDEX(전체채점!G$3:G$62,$R$2053))</f>
        <v/>
      </c>
      <c r="E2080" s="33">
        <f>IF($R$2053="","",INDEX(전체채점!H$3:H$62,$R$2053))</f>
        <v/>
      </c>
      <c r="F2080" s="33">
        <f>IF($R$2053="","",INDEX(전체채점!I$3:I$62,$R$2053))</f>
        <v/>
      </c>
      <c r="G2080" s="33">
        <f>IF($R$2053="","",INDEX(전체채점!J$3:J$62,$R$2053))</f>
        <v/>
      </c>
      <c r="H2080" s="33">
        <f>IF($R$2053="","",INDEX(전체채점!K$3:K$62,$R$2053))</f>
        <v/>
      </c>
      <c r="I2080" s="33">
        <f>IF($R$2053="","",INDEX(전체채점!L$3:L$62,$R$2053))</f>
        <v/>
      </c>
      <c r="J2080" s="33">
        <f>IF($R$2053="","",INDEX(전체채점!M$3:M$62,$R$2053))</f>
        <v/>
      </c>
      <c r="K2080" s="33">
        <f>IF($R$2053="","",INDEX(전체채점!N$3:N$62,$R$2053))</f>
        <v/>
      </c>
      <c r="L2080" s="33">
        <f>IF($R$2053="","",INDEX(전체채점!O$3:O$62,$R$2053))</f>
        <v/>
      </c>
      <c r="M2080" s="33">
        <f>IF($R$2053="","",INDEX(전체채점!P$3:P$62,$R$2053))</f>
        <v/>
      </c>
      <c r="N2080" s="33">
        <f>IF($R$2053="","",INDEX(전체채점!Q$3:Q$62,$R$2053))</f>
        <v/>
      </c>
      <c r="O2080" s="33">
        <f>IF($R$2053="","",INDEX(전체채점!R$3:R$62,$R$2053))</f>
        <v/>
      </c>
      <c r="P2080" s="33">
        <f>IF($R$2053="","",INDEX(전체채점!S$3:S$62,$R$2053))</f>
        <v/>
      </c>
    </row>
    <row r="2081">
      <c r="A2081" s="52" t="inlineStr">
        <is>
          <t>정오</t>
        </is>
      </c>
      <c r="B2081" s="33">
        <f>IF($R$2053="","",INDEX(전체채점!AX$3:AX$62,$R$2053))</f>
        <v/>
      </c>
      <c r="C2081" s="33">
        <f>IF($R$2053="","",INDEX(전체채점!AY$3:AY$62,$R$2053))</f>
        <v/>
      </c>
      <c r="D2081" s="33">
        <f>IF($R$2053="","",INDEX(전체채점!AZ$3:AZ$62,$R$2053))</f>
        <v/>
      </c>
      <c r="E2081" s="33">
        <f>IF($R$2053="","",INDEX(전체채점!BA$3:BA$62,$R$2053))</f>
        <v/>
      </c>
      <c r="F2081" s="33">
        <f>IF($R$2053="","",INDEX(전체채점!BB$3:BB$62,$R$2053))</f>
        <v/>
      </c>
      <c r="G2081" s="33">
        <f>IF($R$2053="","",INDEX(전체채점!BC$3:BC$62,$R$2053))</f>
        <v/>
      </c>
      <c r="H2081" s="33">
        <f>IF($R$2053="","",INDEX(전체채점!BD$3:BD$62,$R$2053))</f>
        <v/>
      </c>
      <c r="I2081" s="33">
        <f>IF($R$2053="","",INDEX(전체채점!BE$3:BE$62,$R$2053))</f>
        <v/>
      </c>
      <c r="J2081" s="33">
        <f>IF($R$2053="","",INDEX(전체채점!BF$3:BF$62,$R$2053))</f>
        <v/>
      </c>
      <c r="K2081" s="33">
        <f>IF($R$2053="","",INDEX(전체채점!BG$3:BG$62,$R$2053))</f>
        <v/>
      </c>
      <c r="L2081" s="33">
        <f>IF($R$2053="","",INDEX(전체채점!BH$3:BH$62,$R$2053))</f>
        <v/>
      </c>
      <c r="M2081" s="33">
        <f>IF($R$2053="","",INDEX(전체채점!BI$3:BI$62,$R$2053))</f>
        <v/>
      </c>
      <c r="N2081" s="33">
        <f>IF($R$2053="","",INDEX(전체채점!BJ$3:BJ$62,$R$2053))</f>
        <v/>
      </c>
      <c r="O2081" s="33">
        <f>IF($R$2053="","",INDEX(전체채점!BK$3:BK$62,$R$2053))</f>
        <v/>
      </c>
      <c r="P2081" s="33">
        <f>IF($R$2053="","",INDEX(전체채점!BL$3:BL$62,$R$2053))</f>
        <v/>
      </c>
    </row>
    <row r="2082">
      <c r="A2082" s="50" t="inlineStr">
        <is>
          <t>문항 번호</t>
        </is>
      </c>
      <c r="B2082" s="51" t="n">
        <v>16</v>
      </c>
      <c r="C2082" s="51" t="n">
        <v>17</v>
      </c>
      <c r="D2082" s="51" t="n">
        <v>18</v>
      </c>
      <c r="E2082" s="51" t="n">
        <v>19</v>
      </c>
      <c r="F2082" s="51" t="n">
        <v>20</v>
      </c>
      <c r="G2082" s="51" t="n">
        <v>21</v>
      </c>
      <c r="H2082" s="51" t="n">
        <v>22</v>
      </c>
      <c r="I2082" s="51" t="n">
        <v>23</v>
      </c>
      <c r="J2082" s="51" t="n">
        <v>24</v>
      </c>
      <c r="K2082" s="51" t="n">
        <v>25</v>
      </c>
      <c r="L2082" s="51" t="n">
        <v>26</v>
      </c>
      <c r="M2082" s="51" t="n">
        <v>27</v>
      </c>
      <c r="N2082" s="51" t="n">
        <v>28</v>
      </c>
      <c r="O2082" s="51" t="n">
        <v>29</v>
      </c>
      <c r="P2082" s="51" t="n">
        <v>30</v>
      </c>
    </row>
    <row r="2083">
      <c r="A2083" s="52" t="inlineStr">
        <is>
          <t>정답</t>
        </is>
      </c>
      <c r="B2083" s="33">
        <f>IF($R$2054="","",IF($R$2054="언어와 매체",자동계산!$D$19,자동계산!$B$19))</f>
        <v/>
      </c>
      <c r="C2083" s="33">
        <f>IF($R$2054="","",IF($R$2054="언어와 매체",자동계산!$D$20,자동계산!$B$20))</f>
        <v/>
      </c>
      <c r="D2083" s="33">
        <f>IF($R$2054="","",IF($R$2054="언어와 매체",자동계산!$D$21,자동계산!$B$21))</f>
        <v/>
      </c>
      <c r="E2083" s="33">
        <f>IF($R$2054="","",IF($R$2054="언어와 매체",자동계산!$D$22,자동계산!$B$22))</f>
        <v/>
      </c>
      <c r="F2083" s="33">
        <f>IF($R$2054="","",IF($R$2054="언어와 매체",자동계산!$D$23,자동계산!$B$23))</f>
        <v/>
      </c>
      <c r="G2083" s="33">
        <f>IF($R$2054="","",IF($R$2054="언어와 매체",자동계산!$D$24,자동계산!$B$24))</f>
        <v/>
      </c>
      <c r="H2083" s="33">
        <f>IF($R$2054="","",IF($R$2054="언어와 매체",자동계산!$D$25,자동계산!$B$25))</f>
        <v/>
      </c>
      <c r="I2083" s="33">
        <f>IF($R$2054="","",IF($R$2054="언어와 매체",자동계산!$D$26,자동계산!$B$26))</f>
        <v/>
      </c>
      <c r="J2083" s="33">
        <f>IF($R$2054="","",IF($R$2054="언어와 매체",자동계산!$D$27,자동계산!$B$27))</f>
        <v/>
      </c>
      <c r="K2083" s="33">
        <f>IF($R$2054="","",IF($R$2054="언어와 매체",자동계산!$D$28,자동계산!$B$28))</f>
        <v/>
      </c>
      <c r="L2083" s="33">
        <f>IF($R$2054="","",IF($R$2054="언어와 매체",자동계산!$D$29,자동계산!$B$29))</f>
        <v/>
      </c>
      <c r="M2083" s="33">
        <f>IF($R$2054="","",IF($R$2054="언어와 매체",자동계산!$D$30,자동계산!$B$30))</f>
        <v/>
      </c>
      <c r="N2083" s="33">
        <f>IF($R$2054="","",IF($R$2054="언어와 매체",자동계산!$D$31,자동계산!$B$31))</f>
        <v/>
      </c>
      <c r="O2083" s="33">
        <f>IF($R$2054="","",IF($R$2054="언어와 매체",자동계산!$D$32,자동계산!$B$32))</f>
        <v/>
      </c>
      <c r="P2083" s="33">
        <f>IF($R$2054="","",IF($R$2054="언어와 매체",자동계산!$D$33,자동계산!$B$33))</f>
        <v/>
      </c>
    </row>
    <row r="2084">
      <c r="A2084" s="52" t="inlineStr">
        <is>
          <t>학생답안</t>
        </is>
      </c>
      <c r="B2084" s="33">
        <f>IF($R$2053="","",INDEX(전체채점!T$3:T$62,$R$2053))</f>
        <v/>
      </c>
      <c r="C2084" s="33">
        <f>IF($R$2053="","",INDEX(전체채점!U$3:U$62,$R$2053))</f>
        <v/>
      </c>
      <c r="D2084" s="33">
        <f>IF($R$2053="","",INDEX(전체채점!V$3:V$62,$R$2053))</f>
        <v/>
      </c>
      <c r="E2084" s="33">
        <f>IF($R$2053="","",INDEX(전체채점!W$3:W$62,$R$2053))</f>
        <v/>
      </c>
      <c r="F2084" s="33">
        <f>IF($R$2053="","",INDEX(전체채점!X$3:X$62,$R$2053))</f>
        <v/>
      </c>
      <c r="G2084" s="33">
        <f>IF($R$2053="","",INDEX(전체채점!Y$3:Y$62,$R$2053))</f>
        <v/>
      </c>
      <c r="H2084" s="33">
        <f>IF($R$2053="","",INDEX(전체채점!Z$3:Z$62,$R$2053))</f>
        <v/>
      </c>
      <c r="I2084" s="33">
        <f>IF($R$2053="","",INDEX(전체채점!AA$3:AA$62,$R$2053))</f>
        <v/>
      </c>
      <c r="J2084" s="33">
        <f>IF($R$2053="","",INDEX(전체채점!AB$3:AB$62,$R$2053))</f>
        <v/>
      </c>
      <c r="K2084" s="33">
        <f>IF($R$2053="","",INDEX(전체채점!AC$3:AC$62,$R$2053))</f>
        <v/>
      </c>
      <c r="L2084" s="33">
        <f>IF($R$2053="","",INDEX(전체채점!AD$3:AD$62,$R$2053))</f>
        <v/>
      </c>
      <c r="M2084" s="33">
        <f>IF($R$2053="","",INDEX(전체채점!AE$3:AE$62,$R$2053))</f>
        <v/>
      </c>
      <c r="N2084" s="33">
        <f>IF($R$2053="","",INDEX(전체채점!AF$3:AF$62,$R$2053))</f>
        <v/>
      </c>
      <c r="O2084" s="33">
        <f>IF($R$2053="","",INDEX(전체채점!AG$3:AG$62,$R$2053))</f>
        <v/>
      </c>
      <c r="P2084" s="33">
        <f>IF($R$2053="","",INDEX(전체채점!AH$3:AH$62,$R$2053))</f>
        <v/>
      </c>
    </row>
    <row r="2085">
      <c r="A2085" s="52" t="inlineStr">
        <is>
          <t>정오</t>
        </is>
      </c>
      <c r="B2085" s="33">
        <f>IF($R$2053="","",INDEX(전체채점!BM$3:BM$62,$R$2053))</f>
        <v/>
      </c>
      <c r="C2085" s="33">
        <f>IF($R$2053="","",INDEX(전체채점!BN$3:BN$62,$R$2053))</f>
        <v/>
      </c>
      <c r="D2085" s="33">
        <f>IF($R$2053="","",INDEX(전체채점!BO$3:BO$62,$R$2053))</f>
        <v/>
      </c>
      <c r="E2085" s="33">
        <f>IF($R$2053="","",INDEX(전체채점!BP$3:BP$62,$R$2053))</f>
        <v/>
      </c>
      <c r="F2085" s="33">
        <f>IF($R$2053="","",INDEX(전체채점!BQ$3:BQ$62,$R$2053))</f>
        <v/>
      </c>
      <c r="G2085" s="33">
        <f>IF($R$2053="","",INDEX(전체채점!BR$3:BR$62,$R$2053))</f>
        <v/>
      </c>
      <c r="H2085" s="33">
        <f>IF($R$2053="","",INDEX(전체채점!BS$3:BS$62,$R$2053))</f>
        <v/>
      </c>
      <c r="I2085" s="33">
        <f>IF($R$2053="","",INDEX(전체채점!BT$3:BT$62,$R$2053))</f>
        <v/>
      </c>
      <c r="J2085" s="33">
        <f>IF($R$2053="","",INDEX(전체채점!BU$3:BU$62,$R$2053))</f>
        <v/>
      </c>
      <c r="K2085" s="33">
        <f>IF($R$2053="","",INDEX(전체채점!BV$3:BV$62,$R$2053))</f>
        <v/>
      </c>
      <c r="L2085" s="33">
        <f>IF($R$2053="","",INDEX(전체채점!BW$3:BW$62,$R$2053))</f>
        <v/>
      </c>
      <c r="M2085" s="33">
        <f>IF($R$2053="","",INDEX(전체채점!BX$3:BX$62,$R$2053))</f>
        <v/>
      </c>
      <c r="N2085" s="33">
        <f>IF($R$2053="","",INDEX(전체채점!BY$3:BY$62,$R$2053))</f>
        <v/>
      </c>
      <c r="O2085" s="33">
        <f>IF($R$2053="","",INDEX(전체채점!BZ$3:BZ$62,$R$2053))</f>
        <v/>
      </c>
      <c r="P2085" s="33">
        <f>IF($R$2053="","",INDEX(전체채점!CA$3:CA$62,$R$2053))</f>
        <v/>
      </c>
    </row>
    <row r="2086">
      <c r="A2086" s="50" t="inlineStr">
        <is>
          <t>문항 번호</t>
        </is>
      </c>
      <c r="B2086" s="51" t="n">
        <v>31</v>
      </c>
      <c r="C2086" s="51" t="n">
        <v>32</v>
      </c>
      <c r="D2086" s="51" t="n">
        <v>33</v>
      </c>
      <c r="E2086" s="51" t="n">
        <v>34</v>
      </c>
      <c r="F2086" s="51" t="n">
        <v>35</v>
      </c>
      <c r="G2086" s="51" t="n">
        <v>36</v>
      </c>
      <c r="H2086" s="51" t="n">
        <v>37</v>
      </c>
      <c r="I2086" s="51" t="n">
        <v>38</v>
      </c>
      <c r="J2086" s="51" t="n">
        <v>39</v>
      </c>
      <c r="K2086" s="51" t="n">
        <v>40</v>
      </c>
      <c r="L2086" s="51" t="n">
        <v>41</v>
      </c>
      <c r="M2086" s="51" t="n">
        <v>42</v>
      </c>
      <c r="N2086" s="51" t="n">
        <v>43</v>
      </c>
      <c r="O2086" s="51" t="n">
        <v>44</v>
      </c>
      <c r="P2086" s="51" t="n">
        <v>45</v>
      </c>
    </row>
    <row r="2087">
      <c r="A2087" s="52" t="inlineStr">
        <is>
          <t>정답</t>
        </is>
      </c>
      <c r="B2087" s="33">
        <f>IF($R$2054="","",IF($R$2054="언어와 매체",자동계산!$D$34,자동계산!$B$34))</f>
        <v/>
      </c>
      <c r="C2087" s="33">
        <f>IF($R$2054="","",IF($R$2054="언어와 매체",자동계산!$D$35,자동계산!$B$35))</f>
        <v/>
      </c>
      <c r="D2087" s="33">
        <f>IF($R$2054="","",IF($R$2054="언어와 매체",자동계산!$D$36,자동계산!$B$36))</f>
        <v/>
      </c>
      <c r="E2087" s="33">
        <f>IF($R$2054="","",IF($R$2054="언어와 매체",자동계산!$D$37,자동계산!$B$37))</f>
        <v/>
      </c>
      <c r="F2087" s="33">
        <f>IF($R$2054="","",IF($R$2054="언어와 매체",자동계산!$D$38,자동계산!$B$38))</f>
        <v/>
      </c>
      <c r="G2087" s="33">
        <f>IF($R$2054="","",IF($R$2054="언어와 매체",자동계산!$D$39,자동계산!$B$39))</f>
        <v/>
      </c>
      <c r="H2087" s="33">
        <f>IF($R$2054="","",IF($R$2054="언어와 매체",자동계산!$D$40,자동계산!$B$40))</f>
        <v/>
      </c>
      <c r="I2087" s="33">
        <f>IF($R$2054="","",IF($R$2054="언어와 매체",자동계산!$D$41,자동계산!$B$41))</f>
        <v/>
      </c>
      <c r="J2087" s="33">
        <f>IF($R$2054="","",IF($R$2054="언어와 매체",자동계산!$D$42,자동계산!$B$42))</f>
        <v/>
      </c>
      <c r="K2087" s="33">
        <f>IF($R$2054="","",IF($R$2054="언어와 매체",자동계산!$D$43,자동계산!$B$43))</f>
        <v/>
      </c>
      <c r="L2087" s="33">
        <f>IF($R$2054="","",IF($R$2054="언어와 매체",자동계산!$D$44,자동계산!$B$44))</f>
        <v/>
      </c>
      <c r="M2087" s="33">
        <f>IF($R$2054="","",IF($R$2054="언어와 매체",자동계산!$D$45,자동계산!$B$45))</f>
        <v/>
      </c>
      <c r="N2087" s="33">
        <f>IF($R$2054="","",IF($R$2054="언어와 매체",자동계산!$D$46,자동계산!$B$46))</f>
        <v/>
      </c>
      <c r="O2087" s="33">
        <f>IF($R$2054="","",IF($R$2054="언어와 매체",자동계산!$D$47,자동계산!$B$47))</f>
        <v/>
      </c>
      <c r="P2087" s="33">
        <f>IF($R$2054="","",IF($R$2054="언어와 매체",자동계산!$D$48,자동계산!$B$48))</f>
        <v/>
      </c>
    </row>
    <row r="2088">
      <c r="A2088" s="52" t="inlineStr">
        <is>
          <t>학생답안</t>
        </is>
      </c>
      <c r="B2088" s="33">
        <f>IF($R$2053="","",INDEX(전체채점!AI$3:AI$62,$R$2053))</f>
        <v/>
      </c>
      <c r="C2088" s="33">
        <f>IF($R$2053="","",INDEX(전체채점!AJ$3:AJ$62,$R$2053))</f>
        <v/>
      </c>
      <c r="D2088" s="33">
        <f>IF($R$2053="","",INDEX(전체채점!AK$3:AK$62,$R$2053))</f>
        <v/>
      </c>
      <c r="E2088" s="33">
        <f>IF($R$2053="","",INDEX(전체채점!AL$3:AL$62,$R$2053))</f>
        <v/>
      </c>
      <c r="F2088" s="33">
        <f>IF($R$2053="","",INDEX(전체채점!AM$3:AM$62,$R$2053))</f>
        <v/>
      </c>
      <c r="G2088" s="33">
        <f>IF($R$2053="","",INDEX(전체채점!AN$3:AN$62,$R$2053))</f>
        <v/>
      </c>
      <c r="H2088" s="33">
        <f>IF($R$2053="","",INDEX(전체채점!AO$3:AO$62,$R$2053))</f>
        <v/>
      </c>
      <c r="I2088" s="33">
        <f>IF($R$2053="","",INDEX(전체채점!AP$3:AP$62,$R$2053))</f>
        <v/>
      </c>
      <c r="J2088" s="33">
        <f>IF($R$2053="","",INDEX(전체채점!AQ$3:AQ$62,$R$2053))</f>
        <v/>
      </c>
      <c r="K2088" s="33">
        <f>IF($R$2053="","",INDEX(전체채점!AR$3:AR$62,$R$2053))</f>
        <v/>
      </c>
      <c r="L2088" s="33">
        <f>IF($R$2053="","",INDEX(전체채점!AS$3:AS$62,$R$2053))</f>
        <v/>
      </c>
      <c r="M2088" s="33">
        <f>IF($R$2053="","",INDEX(전체채점!AT$3:AT$62,$R$2053))</f>
        <v/>
      </c>
      <c r="N2088" s="33">
        <f>IF($R$2053="","",INDEX(전체채점!AU$3:AU$62,$R$2053))</f>
        <v/>
      </c>
      <c r="O2088" s="33">
        <f>IF($R$2053="","",INDEX(전체채점!AV$3:AV$62,$R$2053))</f>
        <v/>
      </c>
      <c r="P2088" s="33">
        <f>IF($R$2053="","",INDEX(전체채점!AW$3:AW$62,$R$2053))</f>
        <v/>
      </c>
    </row>
    <row r="2089">
      <c r="A2089" s="52" t="inlineStr">
        <is>
          <t>정오</t>
        </is>
      </c>
      <c r="B2089" s="33">
        <f>IF($R$2053="","",INDEX(전체채점!CB$3:CB$62,$R$2053))</f>
        <v/>
      </c>
      <c r="C2089" s="33">
        <f>IF($R$2053="","",INDEX(전체채점!CC$3:CC$62,$R$2053))</f>
        <v/>
      </c>
      <c r="D2089" s="33">
        <f>IF($R$2053="","",INDEX(전체채점!CD$3:CD$62,$R$2053))</f>
        <v/>
      </c>
      <c r="E2089" s="33">
        <f>IF($R$2053="","",INDEX(전체채점!CE$3:CE$62,$R$2053))</f>
        <v/>
      </c>
      <c r="F2089" s="33">
        <f>IF($R$2053="","",INDEX(전체채점!CF$3:CF$62,$R$2053))</f>
        <v/>
      </c>
      <c r="G2089" s="33">
        <f>IF($R$2053="","",INDEX(전체채점!CG$3:CG$62,$R$2053))</f>
        <v/>
      </c>
      <c r="H2089" s="33">
        <f>IF($R$2053="","",INDEX(전체채점!CH$3:CH$62,$R$2053))</f>
        <v/>
      </c>
      <c r="I2089" s="33">
        <f>IF($R$2053="","",INDEX(전체채점!CI$3:CI$62,$R$2053))</f>
        <v/>
      </c>
      <c r="J2089" s="33">
        <f>IF($R$2053="","",INDEX(전체채점!CJ$3:CJ$62,$R$2053))</f>
        <v/>
      </c>
      <c r="K2089" s="33">
        <f>IF($R$2053="","",INDEX(전체채점!CK$3:CK$62,$R$2053))</f>
        <v/>
      </c>
      <c r="L2089" s="33">
        <f>IF($R$2053="","",INDEX(전체채점!CL$3:CL$62,$R$2053))</f>
        <v/>
      </c>
      <c r="M2089" s="33">
        <f>IF($R$2053="","",INDEX(전체채점!CM$3:CM$62,$R$2053))</f>
        <v/>
      </c>
      <c r="N2089" s="33">
        <f>IF($R$2053="","",INDEX(전체채점!CN$3:CN$62,$R$2053))</f>
        <v/>
      </c>
      <c r="O2089" s="33">
        <f>IF($R$2053="","",INDEX(전체채점!CO$3:CO$62,$R$2053))</f>
        <v/>
      </c>
      <c r="P2089" s="33">
        <f>IF($R$2053="","",INDEX(전체채점!CP$3:CP$62,$R$2053))</f>
        <v/>
      </c>
    </row>
    <row r="2092" ht="34" customHeight="1">
      <c r="A2092" s="36">
        <f>IF($R$2094="","",회차설정!$B$2&amp;" 성적표")</f>
        <v/>
      </c>
    </row>
    <row r="2094">
      <c r="A2094" s="12" t="inlineStr">
        <is>
          <t>1. 학생정보</t>
        </is>
      </c>
      <c r="R2094" s="37">
        <f>IF(답안입력!$A$54="","",52)</f>
        <v/>
      </c>
      <c r="S2094" s="37">
        <f>IF($R$2095="","",IFERROR(IF($R$2095="언어와 매체",MATCH(1,회차설정!$G$13:$G$27,0),MATCH(1,회차설정!$F$13:$F$27,0)),""))</f>
        <v/>
      </c>
    </row>
    <row r="2095">
      <c r="A2095" s="13" t="inlineStr">
        <is>
          <t>성명</t>
        </is>
      </c>
      <c r="B2095" s="7" t="n"/>
      <c r="C2095" s="8" t="n"/>
      <c r="D2095" s="13" t="inlineStr">
        <is>
          <t>선택과목</t>
        </is>
      </c>
      <c r="E2095" s="7" t="n"/>
      <c r="F2095" s="7" t="n"/>
      <c r="G2095" s="8" t="n"/>
      <c r="H2095" s="13" t="inlineStr">
        <is>
          <t>학년</t>
        </is>
      </c>
      <c r="I2095" s="7" t="n"/>
      <c r="J2095" s="7" t="n"/>
      <c r="K2095" s="8" t="n"/>
      <c r="L2095" s="13" t="inlineStr">
        <is>
          <t>시행일</t>
        </is>
      </c>
      <c r="M2095" s="7" t="n"/>
      <c r="N2095" s="7" t="n"/>
      <c r="O2095" s="7" t="n"/>
      <c r="P2095" s="8" t="n"/>
      <c r="R2095" s="37">
        <f>IF($R$2094="","",INDEX(전체채점!$B$3:$B$62,$R$2094))</f>
        <v/>
      </c>
      <c r="S2095" s="37">
        <f>IF($R$2095="","",IFERROR(IF($R$2095="언어와 매체",MATCH(2,회차설정!$G$13:$G$27,0),MATCH(2,회차설정!$F$13:$F$27,0)),""))</f>
        <v/>
      </c>
    </row>
    <row r="2096" ht="26" customHeight="1">
      <c r="A2096" s="39">
        <f>IF($R$2094="","",INDEX(답안입력!$A$3:$A$62,$R$2094))</f>
        <v/>
      </c>
      <c r="B2096" s="7" t="n"/>
      <c r="C2096" s="8" t="n"/>
      <c r="D2096" s="39">
        <f>IF($R$2094="","",INDEX(답안입력!$C$3:$C$62,$R$2094))</f>
        <v/>
      </c>
      <c r="E2096" s="7" t="n"/>
      <c r="F2096" s="7" t="n"/>
      <c r="G2096" s="8" t="n"/>
      <c r="H2096" s="39">
        <f>IF($R$2094="","",INDEX(답안입력!$B$3:$B$62,$R$2094))</f>
        <v/>
      </c>
      <c r="I2096" s="7" t="n"/>
      <c r="J2096" s="7" t="n"/>
      <c r="K2096" s="8" t="n"/>
      <c r="L2096" s="40">
        <f>회차설정!$B$3</f>
        <v/>
      </c>
      <c r="M2096" s="7" t="n"/>
      <c r="N2096" s="7" t="n"/>
      <c r="O2096" s="7" t="n"/>
      <c r="P2096" s="8" t="n"/>
      <c r="R2096" s="37">
        <f>IF($R$2095="언어와 매체",회차설정!$B$9,회차설정!$B$8)</f>
        <v/>
      </c>
      <c r="S2096" s="37">
        <f>IF($R$2095="","",IFERROR(IF($R$2095="언어와 매체",MATCH(3,회차설정!$G$13:$G$27,0),MATCH(3,회차설정!$F$13:$F$27,0)),""))</f>
        <v/>
      </c>
    </row>
    <row r="2097">
      <c r="R2097" s="37">
        <f>IF($R$2095="언어와 매체",회차설정!$C$9,회차설정!$C$8)</f>
        <v/>
      </c>
      <c r="S2097" s="37">
        <f>IF($R$2095="","",IFERROR(IF($R$2095="언어와 매체",MATCH(4,회차설정!$G$13:$G$27,0),MATCH(4,회차설정!$F$13:$F$27,0)),""))</f>
        <v/>
      </c>
    </row>
    <row r="2098">
      <c r="A2098" s="12" t="inlineStr">
        <is>
          <t>2. 성적</t>
        </is>
      </c>
      <c r="R2098" s="37">
        <f>IF($R$2095="언어와 매체",회차설정!$D$9,회차설정!$D$8)</f>
        <v/>
      </c>
      <c r="S2098" s="37">
        <f>IF($R$2095="","",IFERROR(IF($R$2095="언어와 매체",MATCH(5,회차설정!$G$13:$G$27,0),MATCH(5,회차설정!$F$13:$F$27,0)),""))</f>
        <v/>
      </c>
    </row>
    <row r="2099">
      <c r="A2099" s="13" t="inlineStr">
        <is>
          <t>점수 (100점 만점)</t>
        </is>
      </c>
      <c r="B2099" s="7" t="n"/>
      <c r="C2099" s="7" t="n"/>
      <c r="D2099" s="7" t="n"/>
      <c r="E2099" s="8" t="n"/>
      <c r="F2099" s="13" t="inlineStr">
        <is>
          <t>등급</t>
        </is>
      </c>
      <c r="G2099" s="7" t="n"/>
      <c r="H2099" s="8" t="n"/>
      <c r="I2099" s="13" t="inlineStr">
        <is>
          <t>등급컷</t>
        </is>
      </c>
      <c r="J2099" s="7" t="n"/>
      <c r="K2099" s="7" t="n"/>
      <c r="L2099" s="8" t="n"/>
      <c r="M2099" s="13" t="inlineStr">
        <is>
          <t>같은 선택과목 평균</t>
        </is>
      </c>
      <c r="N2099" s="7" t="n"/>
      <c r="O2099" s="7" t="n"/>
      <c r="P2099" s="8" t="n"/>
      <c r="R2099" s="37">
        <f>IF($R$2095="언어와 매체",회차설정!$E$9,회차설정!$E$8)</f>
        <v/>
      </c>
      <c r="S2099" s="37">
        <f>IF($R$2095="","",IFERROR(IF($R$2095="언어와 매체",MATCH(6,회차설정!$G$13:$G$27,0),MATCH(6,회차설정!$F$13:$F$27,0)),""))</f>
        <v/>
      </c>
    </row>
    <row r="2100" ht="34" customHeight="1">
      <c r="A2100" s="41">
        <f>IF($R$2094="","",INDEX(전체채점!$C$3:$C$62,$R$2094))</f>
        <v/>
      </c>
      <c r="B2100" s="7" t="n"/>
      <c r="C2100" s="7" t="n"/>
      <c r="D2100" s="7" t="n"/>
      <c r="E2100" s="8" t="n"/>
      <c r="F2100" s="42">
        <f>IF($R$2094="","",INDEX(전체채점!$D$3:$D$62,$R$2094))</f>
        <v/>
      </c>
      <c r="G2100" s="7" t="n"/>
      <c r="H2100" s="8" t="n"/>
      <c r="I2100" s="43">
        <f>IF($R$2094="","",$R$2096&amp;"-"&amp;$R$2097&amp;"-"&amp;$R$2098&amp;"-"&amp;$R$2099)</f>
        <v/>
      </c>
      <c r="J2100" s="7" t="n"/>
      <c r="K2100" s="7" t="n"/>
      <c r="L2100" s="8" t="n"/>
      <c r="M2100" s="44">
        <f>IFERROR(AVERAGEIF(전체채점!$B$3:$B$62,$R$2095,전체채점!$C$3:$C$62),"")</f>
        <v/>
      </c>
      <c r="N2100" s="7" t="n"/>
      <c r="O2100" s="7" t="n"/>
      <c r="P2100" s="8" t="n"/>
      <c r="S2100" s="37">
        <f>IF($R$2095="","",IFERROR(IF($R$2095="언어와 매체",MATCH(7,회차설정!$G$13:$G$27,0),MATCH(7,회차설정!$F$13:$F$27,0)),""))</f>
        <v/>
      </c>
    </row>
    <row r="2101">
      <c r="S2101" s="37">
        <f>IF($R$2095="","",IFERROR(IF($R$2095="언어와 매체",MATCH(8,회차설정!$G$13:$G$27,0),MATCH(8,회차설정!$F$13:$F$27,0)),""))</f>
        <v/>
      </c>
    </row>
    <row r="2102">
      <c r="A2102" s="12" t="inlineStr">
        <is>
          <t>3. 영역분류별 성취도 분석</t>
        </is>
      </c>
      <c r="F2102" s="45">
        <f>IF(OR($R$2094="",$E2116=""),"",IF($E2116=INDEX(전체채점!$C$3:$C$62,$R$2094),"","※ 회차설정의 영역 표를 확인하세요 — 영역 합계와 점수가 다릅니다"))</f>
        <v/>
      </c>
      <c r="S2102" s="37">
        <f>IF($R$2095="","",IFERROR(IF($R$2095="언어와 매체",MATCH(9,회차설정!$G$13:$G$27,0),MATCH(9,회차설정!$F$13:$F$27,0)),""))</f>
        <v/>
      </c>
    </row>
    <row r="2103">
      <c r="A2103" s="13" t="inlineStr">
        <is>
          <t>분류</t>
        </is>
      </c>
      <c r="B2103" s="13" t="inlineStr">
        <is>
          <t>영역</t>
        </is>
      </c>
      <c r="C2103" s="8" t="n"/>
      <c r="D2103" s="13" t="inlineStr">
        <is>
          <t>배점</t>
        </is>
      </c>
      <c r="E2103" s="13" t="inlineStr">
        <is>
          <t>득점</t>
        </is>
      </c>
      <c r="F2103" s="13" t="inlineStr">
        <is>
          <t>성취도(%)</t>
        </is>
      </c>
      <c r="G2103" s="8" t="n"/>
      <c r="H2103" s="13" t="inlineStr"/>
      <c r="I2103" s="7" t="n"/>
      <c r="J2103" s="7" t="n"/>
      <c r="K2103" s="7" t="n"/>
      <c r="L2103" s="7" t="n"/>
      <c r="M2103" s="7" t="n"/>
      <c r="N2103" s="7" t="n"/>
      <c r="O2103" s="7" t="n"/>
      <c r="P2103" s="8" t="n"/>
      <c r="S2103" s="37">
        <f>IF($R$2095="","",IFERROR(IF($R$2095="언어와 매체",MATCH(10,회차설정!$G$13:$G$27,0),MATCH(10,회차설정!$F$13:$F$27,0)),""))</f>
        <v/>
      </c>
    </row>
    <row r="2104">
      <c r="A2104" s="14">
        <f>IF($S$2094="","",INDEX(회차설정!$A$13:$A$27,$S$2094))</f>
        <v/>
      </c>
      <c r="B2104" s="14">
        <f>IF($S$2094="","",INDEX(회차설정!$B$13:$B$27,$S$2094))</f>
        <v/>
      </c>
      <c r="C2104" s="8" t="n"/>
      <c r="D2104" s="14">
        <f>IF($S$2094="","",IF($R$2095="언어와 매체",SUMPRODUCT((자동계산!$A$4:$A$48&gt;=INDEX(회차설정!$C$13:$C$27,$S$2094))*(자동계산!$A$4:$A$48&lt;=INDEX(회차설정!$D$13:$D$27,$S$2094))*자동계산!$E$4:$E$48),SUMPRODUCT((자동계산!$A$4:$A$48&gt;=INDEX(회차설정!$C$13:$C$27,$S$2094))*(자동계산!$A$4:$A$48&lt;=INDEX(회차설정!$D$13:$D$27,$S$2094))*자동계산!$C$4:$C$48)))</f>
        <v/>
      </c>
      <c r="E2104" s="14">
        <f>IF(OR($S$2094="",$R$2094=""),"",SUM(OFFSET(전체채점!$AW$2,$R$2094,INDEX(회차설정!$C$13:$C$27,$S$2094),1,INDEX(회차설정!$D$13:$D$27,$S$2094)-INDEX(회차설정!$C$13:$C$27,$S$2094)+1)))</f>
        <v/>
      </c>
      <c r="F2104" s="46">
        <f>IF(OR($S$2094="",$D2104=0,$D2104="",$E2104=""),"",$E2104/$D2104*100)</f>
        <v/>
      </c>
      <c r="G2104" s="8" t="n"/>
      <c r="H2104" s="47">
        <f>IF($F2104="","",REPT("■",ROUND($F2104/5,0)))</f>
        <v/>
      </c>
      <c r="I2104" s="7" t="n"/>
      <c r="J2104" s="7" t="n"/>
      <c r="K2104" s="7" t="n"/>
      <c r="L2104" s="7" t="n"/>
      <c r="M2104" s="7" t="n"/>
      <c r="N2104" s="7" t="n"/>
      <c r="O2104" s="7" t="n"/>
      <c r="P2104" s="8" t="n"/>
      <c r="S2104" s="37">
        <f>IF($R$2095="","",IFERROR(IF($R$2095="언어와 매체",MATCH(11,회차설정!$G$13:$G$27,0),MATCH(11,회차설정!$F$13:$F$27,0)),""))</f>
        <v/>
      </c>
    </row>
    <row r="2105">
      <c r="A2105" s="14">
        <f>IF($S$2095="","",INDEX(회차설정!$A$13:$A$27,$S$2095))</f>
        <v/>
      </c>
      <c r="B2105" s="14">
        <f>IF($S$2095="","",INDEX(회차설정!$B$13:$B$27,$S$2095))</f>
        <v/>
      </c>
      <c r="C2105" s="8" t="n"/>
      <c r="D2105" s="14">
        <f>IF($S$2095="","",IF($R$2095="언어와 매체",SUMPRODUCT((자동계산!$A$4:$A$48&gt;=INDEX(회차설정!$C$13:$C$27,$S$2095))*(자동계산!$A$4:$A$48&lt;=INDEX(회차설정!$D$13:$D$27,$S$2095))*자동계산!$E$4:$E$48),SUMPRODUCT((자동계산!$A$4:$A$48&gt;=INDEX(회차설정!$C$13:$C$27,$S$2095))*(자동계산!$A$4:$A$48&lt;=INDEX(회차설정!$D$13:$D$27,$S$2095))*자동계산!$C$4:$C$48)))</f>
        <v/>
      </c>
      <c r="E2105" s="14">
        <f>IF(OR($S$2095="",$R$2094=""),"",SUM(OFFSET(전체채점!$AW$2,$R$2094,INDEX(회차설정!$C$13:$C$27,$S$2095),1,INDEX(회차설정!$D$13:$D$27,$S$2095)-INDEX(회차설정!$C$13:$C$27,$S$2095)+1)))</f>
        <v/>
      </c>
      <c r="F2105" s="46">
        <f>IF(OR($S$2095="",$D2105=0,$D2105="",$E2105=""),"",$E2105/$D2105*100)</f>
        <v/>
      </c>
      <c r="G2105" s="8" t="n"/>
      <c r="H2105" s="47">
        <f>IF($F2105="","",REPT("■",ROUND($F2105/5,0)))</f>
        <v/>
      </c>
      <c r="I2105" s="7" t="n"/>
      <c r="J2105" s="7" t="n"/>
      <c r="K2105" s="7" t="n"/>
      <c r="L2105" s="7" t="n"/>
      <c r="M2105" s="7" t="n"/>
      <c r="N2105" s="7" t="n"/>
      <c r="O2105" s="7" t="n"/>
      <c r="P2105" s="8" t="n"/>
      <c r="S2105" s="37">
        <f>IF($R$2095="","",IFERROR(IF($R$2095="언어와 매체",MATCH(12,회차설정!$G$13:$G$27,0),MATCH(12,회차설정!$F$13:$F$27,0)),""))</f>
        <v/>
      </c>
    </row>
    <row r="2106">
      <c r="A2106" s="14">
        <f>IF($S$2096="","",INDEX(회차설정!$A$13:$A$27,$S$2096))</f>
        <v/>
      </c>
      <c r="B2106" s="14">
        <f>IF($S$2096="","",INDEX(회차설정!$B$13:$B$27,$S$2096))</f>
        <v/>
      </c>
      <c r="C2106" s="8" t="n"/>
      <c r="D2106" s="14">
        <f>IF($S$2096="","",IF($R$2095="언어와 매체",SUMPRODUCT((자동계산!$A$4:$A$48&gt;=INDEX(회차설정!$C$13:$C$27,$S$2096))*(자동계산!$A$4:$A$48&lt;=INDEX(회차설정!$D$13:$D$27,$S$2096))*자동계산!$E$4:$E$48),SUMPRODUCT((자동계산!$A$4:$A$48&gt;=INDEX(회차설정!$C$13:$C$27,$S$2096))*(자동계산!$A$4:$A$48&lt;=INDEX(회차설정!$D$13:$D$27,$S$2096))*자동계산!$C$4:$C$48)))</f>
        <v/>
      </c>
      <c r="E2106" s="14">
        <f>IF(OR($S$2096="",$R$2094=""),"",SUM(OFFSET(전체채점!$AW$2,$R$2094,INDEX(회차설정!$C$13:$C$27,$S$2096),1,INDEX(회차설정!$D$13:$D$27,$S$2096)-INDEX(회차설정!$C$13:$C$27,$S$2096)+1)))</f>
        <v/>
      </c>
      <c r="F2106" s="46">
        <f>IF(OR($S$2096="",$D2106=0,$D2106="",$E2106=""),"",$E2106/$D2106*100)</f>
        <v/>
      </c>
      <c r="G2106" s="8" t="n"/>
      <c r="H2106" s="47">
        <f>IF($F2106="","",REPT("■",ROUND($F2106/5,0)))</f>
        <v/>
      </c>
      <c r="I2106" s="7" t="n"/>
      <c r="J2106" s="7" t="n"/>
      <c r="K2106" s="7" t="n"/>
      <c r="L2106" s="7" t="n"/>
      <c r="M2106" s="7" t="n"/>
      <c r="N2106" s="7" t="n"/>
      <c r="O2106" s="7" t="n"/>
      <c r="P2106" s="8" t="n"/>
    </row>
    <row r="2107">
      <c r="A2107" s="14">
        <f>IF($S$2097="","",INDEX(회차설정!$A$13:$A$27,$S$2097))</f>
        <v/>
      </c>
      <c r="B2107" s="14">
        <f>IF($S$2097="","",INDEX(회차설정!$B$13:$B$27,$S$2097))</f>
        <v/>
      </c>
      <c r="C2107" s="8" t="n"/>
      <c r="D2107" s="14">
        <f>IF($S$2097="","",IF($R$2095="언어와 매체",SUMPRODUCT((자동계산!$A$4:$A$48&gt;=INDEX(회차설정!$C$13:$C$27,$S$2097))*(자동계산!$A$4:$A$48&lt;=INDEX(회차설정!$D$13:$D$27,$S$2097))*자동계산!$E$4:$E$48),SUMPRODUCT((자동계산!$A$4:$A$48&gt;=INDEX(회차설정!$C$13:$C$27,$S$2097))*(자동계산!$A$4:$A$48&lt;=INDEX(회차설정!$D$13:$D$27,$S$2097))*자동계산!$C$4:$C$48)))</f>
        <v/>
      </c>
      <c r="E2107" s="14">
        <f>IF(OR($S$2097="",$R$2094=""),"",SUM(OFFSET(전체채점!$AW$2,$R$2094,INDEX(회차설정!$C$13:$C$27,$S$2097),1,INDEX(회차설정!$D$13:$D$27,$S$2097)-INDEX(회차설정!$C$13:$C$27,$S$2097)+1)))</f>
        <v/>
      </c>
      <c r="F2107" s="46">
        <f>IF(OR($S$2097="",$D2107=0,$D2107="",$E2107=""),"",$E2107/$D2107*100)</f>
        <v/>
      </c>
      <c r="G2107" s="8" t="n"/>
      <c r="H2107" s="47">
        <f>IF($F2107="","",REPT("■",ROUND($F2107/5,0)))</f>
        <v/>
      </c>
      <c r="I2107" s="7" t="n"/>
      <c r="J2107" s="7" t="n"/>
      <c r="K2107" s="7" t="n"/>
      <c r="L2107" s="7" t="n"/>
      <c r="M2107" s="7" t="n"/>
      <c r="N2107" s="7" t="n"/>
      <c r="O2107" s="7" t="n"/>
      <c r="P2107" s="8" t="n"/>
    </row>
    <row r="2108">
      <c r="A2108" s="14">
        <f>IF($S$2098="","",INDEX(회차설정!$A$13:$A$27,$S$2098))</f>
        <v/>
      </c>
      <c r="B2108" s="14">
        <f>IF($S$2098="","",INDEX(회차설정!$B$13:$B$27,$S$2098))</f>
        <v/>
      </c>
      <c r="C2108" s="8" t="n"/>
      <c r="D2108" s="14">
        <f>IF($S$2098="","",IF($R$2095="언어와 매체",SUMPRODUCT((자동계산!$A$4:$A$48&gt;=INDEX(회차설정!$C$13:$C$27,$S$2098))*(자동계산!$A$4:$A$48&lt;=INDEX(회차설정!$D$13:$D$27,$S$2098))*자동계산!$E$4:$E$48),SUMPRODUCT((자동계산!$A$4:$A$48&gt;=INDEX(회차설정!$C$13:$C$27,$S$2098))*(자동계산!$A$4:$A$48&lt;=INDEX(회차설정!$D$13:$D$27,$S$2098))*자동계산!$C$4:$C$48)))</f>
        <v/>
      </c>
      <c r="E2108" s="14">
        <f>IF(OR($S$2098="",$R$2094=""),"",SUM(OFFSET(전체채점!$AW$2,$R$2094,INDEX(회차설정!$C$13:$C$27,$S$2098),1,INDEX(회차설정!$D$13:$D$27,$S$2098)-INDEX(회차설정!$C$13:$C$27,$S$2098)+1)))</f>
        <v/>
      </c>
      <c r="F2108" s="46">
        <f>IF(OR($S$2098="",$D2108=0,$D2108="",$E2108=""),"",$E2108/$D2108*100)</f>
        <v/>
      </c>
      <c r="G2108" s="8" t="n"/>
      <c r="H2108" s="47">
        <f>IF($F2108="","",REPT("■",ROUND($F2108/5,0)))</f>
        <v/>
      </c>
      <c r="I2108" s="7" t="n"/>
      <c r="J2108" s="7" t="n"/>
      <c r="K2108" s="7" t="n"/>
      <c r="L2108" s="7" t="n"/>
      <c r="M2108" s="7" t="n"/>
      <c r="N2108" s="7" t="n"/>
      <c r="O2108" s="7" t="n"/>
      <c r="P2108" s="8" t="n"/>
    </row>
    <row r="2109">
      <c r="A2109" s="14">
        <f>IF($S$2099="","",INDEX(회차설정!$A$13:$A$27,$S$2099))</f>
        <v/>
      </c>
      <c r="B2109" s="14">
        <f>IF($S$2099="","",INDEX(회차설정!$B$13:$B$27,$S$2099))</f>
        <v/>
      </c>
      <c r="C2109" s="8" t="n"/>
      <c r="D2109" s="14">
        <f>IF($S$2099="","",IF($R$2095="언어와 매체",SUMPRODUCT((자동계산!$A$4:$A$48&gt;=INDEX(회차설정!$C$13:$C$27,$S$2099))*(자동계산!$A$4:$A$48&lt;=INDEX(회차설정!$D$13:$D$27,$S$2099))*자동계산!$E$4:$E$48),SUMPRODUCT((자동계산!$A$4:$A$48&gt;=INDEX(회차설정!$C$13:$C$27,$S$2099))*(자동계산!$A$4:$A$48&lt;=INDEX(회차설정!$D$13:$D$27,$S$2099))*자동계산!$C$4:$C$48)))</f>
        <v/>
      </c>
      <c r="E2109" s="14">
        <f>IF(OR($S$2099="",$R$2094=""),"",SUM(OFFSET(전체채점!$AW$2,$R$2094,INDEX(회차설정!$C$13:$C$27,$S$2099),1,INDEX(회차설정!$D$13:$D$27,$S$2099)-INDEX(회차설정!$C$13:$C$27,$S$2099)+1)))</f>
        <v/>
      </c>
      <c r="F2109" s="46">
        <f>IF(OR($S$2099="",$D2109=0,$D2109="",$E2109=""),"",$E2109/$D2109*100)</f>
        <v/>
      </c>
      <c r="G2109" s="8" t="n"/>
      <c r="H2109" s="47">
        <f>IF($F2109="","",REPT("■",ROUND($F2109/5,0)))</f>
        <v/>
      </c>
      <c r="I2109" s="7" t="n"/>
      <c r="J2109" s="7" t="n"/>
      <c r="K2109" s="7" t="n"/>
      <c r="L2109" s="7" t="n"/>
      <c r="M2109" s="7" t="n"/>
      <c r="N2109" s="7" t="n"/>
      <c r="O2109" s="7" t="n"/>
      <c r="P2109" s="8" t="n"/>
    </row>
    <row r="2110">
      <c r="A2110" s="14">
        <f>IF($S$2100="","",INDEX(회차설정!$A$13:$A$27,$S$2100))</f>
        <v/>
      </c>
      <c r="B2110" s="14">
        <f>IF($S$2100="","",INDEX(회차설정!$B$13:$B$27,$S$2100))</f>
        <v/>
      </c>
      <c r="C2110" s="8" t="n"/>
      <c r="D2110" s="14">
        <f>IF($S$2100="","",IF($R$2095="언어와 매체",SUMPRODUCT((자동계산!$A$4:$A$48&gt;=INDEX(회차설정!$C$13:$C$27,$S$2100))*(자동계산!$A$4:$A$48&lt;=INDEX(회차설정!$D$13:$D$27,$S$2100))*자동계산!$E$4:$E$48),SUMPRODUCT((자동계산!$A$4:$A$48&gt;=INDEX(회차설정!$C$13:$C$27,$S$2100))*(자동계산!$A$4:$A$48&lt;=INDEX(회차설정!$D$13:$D$27,$S$2100))*자동계산!$C$4:$C$48)))</f>
        <v/>
      </c>
      <c r="E2110" s="14">
        <f>IF(OR($S$2100="",$R$2094=""),"",SUM(OFFSET(전체채점!$AW$2,$R$2094,INDEX(회차설정!$C$13:$C$27,$S$2100),1,INDEX(회차설정!$D$13:$D$27,$S$2100)-INDEX(회차설정!$C$13:$C$27,$S$2100)+1)))</f>
        <v/>
      </c>
      <c r="F2110" s="46">
        <f>IF(OR($S$2100="",$D2110=0,$D2110="",$E2110=""),"",$E2110/$D2110*100)</f>
        <v/>
      </c>
      <c r="G2110" s="8" t="n"/>
      <c r="H2110" s="47">
        <f>IF($F2110="","",REPT("■",ROUND($F2110/5,0)))</f>
        <v/>
      </c>
      <c r="I2110" s="7" t="n"/>
      <c r="J2110" s="7" t="n"/>
      <c r="K2110" s="7" t="n"/>
      <c r="L2110" s="7" t="n"/>
      <c r="M2110" s="7" t="n"/>
      <c r="N2110" s="7" t="n"/>
      <c r="O2110" s="7" t="n"/>
      <c r="P2110" s="8" t="n"/>
    </row>
    <row r="2111">
      <c r="A2111" s="14">
        <f>IF($S$2101="","",INDEX(회차설정!$A$13:$A$27,$S$2101))</f>
        <v/>
      </c>
      <c r="B2111" s="14">
        <f>IF($S$2101="","",INDEX(회차설정!$B$13:$B$27,$S$2101))</f>
        <v/>
      </c>
      <c r="C2111" s="8" t="n"/>
      <c r="D2111" s="14">
        <f>IF($S$2101="","",IF($R$2095="언어와 매체",SUMPRODUCT((자동계산!$A$4:$A$48&gt;=INDEX(회차설정!$C$13:$C$27,$S$2101))*(자동계산!$A$4:$A$48&lt;=INDEX(회차설정!$D$13:$D$27,$S$2101))*자동계산!$E$4:$E$48),SUMPRODUCT((자동계산!$A$4:$A$48&gt;=INDEX(회차설정!$C$13:$C$27,$S$2101))*(자동계산!$A$4:$A$48&lt;=INDEX(회차설정!$D$13:$D$27,$S$2101))*자동계산!$C$4:$C$48)))</f>
        <v/>
      </c>
      <c r="E2111" s="14">
        <f>IF(OR($S$2101="",$R$2094=""),"",SUM(OFFSET(전체채점!$AW$2,$R$2094,INDEX(회차설정!$C$13:$C$27,$S$2101),1,INDEX(회차설정!$D$13:$D$27,$S$2101)-INDEX(회차설정!$C$13:$C$27,$S$2101)+1)))</f>
        <v/>
      </c>
      <c r="F2111" s="46">
        <f>IF(OR($S$2101="",$D2111=0,$D2111="",$E2111=""),"",$E2111/$D2111*100)</f>
        <v/>
      </c>
      <c r="G2111" s="8" t="n"/>
      <c r="H2111" s="47">
        <f>IF($F2111="","",REPT("■",ROUND($F2111/5,0)))</f>
        <v/>
      </c>
      <c r="I2111" s="7" t="n"/>
      <c r="J2111" s="7" t="n"/>
      <c r="K2111" s="7" t="n"/>
      <c r="L2111" s="7" t="n"/>
      <c r="M2111" s="7" t="n"/>
      <c r="N2111" s="7" t="n"/>
      <c r="O2111" s="7" t="n"/>
      <c r="P2111" s="8" t="n"/>
    </row>
    <row r="2112">
      <c r="A2112" s="14">
        <f>IF($S$2102="","",INDEX(회차설정!$A$13:$A$27,$S$2102))</f>
        <v/>
      </c>
      <c r="B2112" s="14">
        <f>IF($S$2102="","",INDEX(회차설정!$B$13:$B$27,$S$2102))</f>
        <v/>
      </c>
      <c r="C2112" s="8" t="n"/>
      <c r="D2112" s="14">
        <f>IF($S$2102="","",IF($R$2095="언어와 매체",SUMPRODUCT((자동계산!$A$4:$A$48&gt;=INDEX(회차설정!$C$13:$C$27,$S$2102))*(자동계산!$A$4:$A$48&lt;=INDEX(회차설정!$D$13:$D$27,$S$2102))*자동계산!$E$4:$E$48),SUMPRODUCT((자동계산!$A$4:$A$48&gt;=INDEX(회차설정!$C$13:$C$27,$S$2102))*(자동계산!$A$4:$A$48&lt;=INDEX(회차설정!$D$13:$D$27,$S$2102))*자동계산!$C$4:$C$48)))</f>
        <v/>
      </c>
      <c r="E2112" s="14">
        <f>IF(OR($S$2102="",$R$2094=""),"",SUM(OFFSET(전체채점!$AW$2,$R$2094,INDEX(회차설정!$C$13:$C$27,$S$2102),1,INDEX(회차설정!$D$13:$D$27,$S$2102)-INDEX(회차설정!$C$13:$C$27,$S$2102)+1)))</f>
        <v/>
      </c>
      <c r="F2112" s="46">
        <f>IF(OR($S$2102="",$D2112=0,$D2112="",$E2112=""),"",$E2112/$D2112*100)</f>
        <v/>
      </c>
      <c r="G2112" s="8" t="n"/>
      <c r="H2112" s="47">
        <f>IF($F2112="","",REPT("■",ROUND($F2112/5,0)))</f>
        <v/>
      </c>
      <c r="I2112" s="7" t="n"/>
      <c r="J2112" s="7" t="n"/>
      <c r="K2112" s="7" t="n"/>
      <c r="L2112" s="7" t="n"/>
      <c r="M2112" s="7" t="n"/>
      <c r="N2112" s="7" t="n"/>
      <c r="O2112" s="7" t="n"/>
      <c r="P2112" s="8" t="n"/>
    </row>
    <row r="2113">
      <c r="A2113" s="14">
        <f>IF($S$2103="","",INDEX(회차설정!$A$13:$A$27,$S$2103))</f>
        <v/>
      </c>
      <c r="B2113" s="14">
        <f>IF($S$2103="","",INDEX(회차설정!$B$13:$B$27,$S$2103))</f>
        <v/>
      </c>
      <c r="C2113" s="8" t="n"/>
      <c r="D2113" s="14">
        <f>IF($S$2103="","",IF($R$2095="언어와 매체",SUMPRODUCT((자동계산!$A$4:$A$48&gt;=INDEX(회차설정!$C$13:$C$27,$S$2103))*(자동계산!$A$4:$A$48&lt;=INDEX(회차설정!$D$13:$D$27,$S$2103))*자동계산!$E$4:$E$48),SUMPRODUCT((자동계산!$A$4:$A$48&gt;=INDEX(회차설정!$C$13:$C$27,$S$2103))*(자동계산!$A$4:$A$48&lt;=INDEX(회차설정!$D$13:$D$27,$S$2103))*자동계산!$C$4:$C$48)))</f>
        <v/>
      </c>
      <c r="E2113" s="14">
        <f>IF(OR($S$2103="",$R$2094=""),"",SUM(OFFSET(전체채점!$AW$2,$R$2094,INDEX(회차설정!$C$13:$C$27,$S$2103),1,INDEX(회차설정!$D$13:$D$27,$S$2103)-INDEX(회차설정!$C$13:$C$27,$S$2103)+1)))</f>
        <v/>
      </c>
      <c r="F2113" s="46">
        <f>IF(OR($S$2103="",$D2113=0,$D2113="",$E2113=""),"",$E2113/$D2113*100)</f>
        <v/>
      </c>
      <c r="G2113" s="8" t="n"/>
      <c r="H2113" s="47">
        <f>IF($F2113="","",REPT("■",ROUND($F2113/5,0)))</f>
        <v/>
      </c>
      <c r="I2113" s="7" t="n"/>
      <c r="J2113" s="7" t="n"/>
      <c r="K2113" s="7" t="n"/>
      <c r="L2113" s="7" t="n"/>
      <c r="M2113" s="7" t="n"/>
      <c r="N2113" s="7" t="n"/>
      <c r="O2113" s="7" t="n"/>
      <c r="P2113" s="8" t="n"/>
    </row>
    <row r="2114">
      <c r="A2114" s="14">
        <f>IF($S$2104="","",INDEX(회차설정!$A$13:$A$27,$S$2104))</f>
        <v/>
      </c>
      <c r="B2114" s="14">
        <f>IF($S$2104="","",INDEX(회차설정!$B$13:$B$27,$S$2104))</f>
        <v/>
      </c>
      <c r="C2114" s="8" t="n"/>
      <c r="D2114" s="14">
        <f>IF($S$2104="","",IF($R$2095="언어와 매체",SUMPRODUCT((자동계산!$A$4:$A$48&gt;=INDEX(회차설정!$C$13:$C$27,$S$2104))*(자동계산!$A$4:$A$48&lt;=INDEX(회차설정!$D$13:$D$27,$S$2104))*자동계산!$E$4:$E$48),SUMPRODUCT((자동계산!$A$4:$A$48&gt;=INDEX(회차설정!$C$13:$C$27,$S$2104))*(자동계산!$A$4:$A$48&lt;=INDEX(회차설정!$D$13:$D$27,$S$2104))*자동계산!$C$4:$C$48)))</f>
        <v/>
      </c>
      <c r="E2114" s="14">
        <f>IF(OR($S$2104="",$R$2094=""),"",SUM(OFFSET(전체채점!$AW$2,$R$2094,INDEX(회차설정!$C$13:$C$27,$S$2104),1,INDEX(회차설정!$D$13:$D$27,$S$2104)-INDEX(회차설정!$C$13:$C$27,$S$2104)+1)))</f>
        <v/>
      </c>
      <c r="F2114" s="46">
        <f>IF(OR($S$2104="",$D2114=0,$D2114="",$E2114=""),"",$E2114/$D2114*100)</f>
        <v/>
      </c>
      <c r="G2114" s="8" t="n"/>
      <c r="H2114" s="47">
        <f>IF($F2114="","",REPT("■",ROUND($F2114/5,0)))</f>
        <v/>
      </c>
      <c r="I2114" s="7" t="n"/>
      <c r="J2114" s="7" t="n"/>
      <c r="K2114" s="7" t="n"/>
      <c r="L2114" s="7" t="n"/>
      <c r="M2114" s="7" t="n"/>
      <c r="N2114" s="7" t="n"/>
      <c r="O2114" s="7" t="n"/>
      <c r="P2114" s="8" t="n"/>
    </row>
    <row r="2115">
      <c r="A2115" s="14">
        <f>IF($S$2105="","",INDEX(회차설정!$A$13:$A$27,$S$2105))</f>
        <v/>
      </c>
      <c r="B2115" s="14">
        <f>IF($S$2105="","",INDEX(회차설정!$B$13:$B$27,$S$2105))</f>
        <v/>
      </c>
      <c r="C2115" s="8" t="n"/>
      <c r="D2115" s="14">
        <f>IF($S$2105="","",IF($R$2095="언어와 매체",SUMPRODUCT((자동계산!$A$4:$A$48&gt;=INDEX(회차설정!$C$13:$C$27,$S$2105))*(자동계산!$A$4:$A$48&lt;=INDEX(회차설정!$D$13:$D$27,$S$2105))*자동계산!$E$4:$E$48),SUMPRODUCT((자동계산!$A$4:$A$48&gt;=INDEX(회차설정!$C$13:$C$27,$S$2105))*(자동계산!$A$4:$A$48&lt;=INDEX(회차설정!$D$13:$D$27,$S$2105))*자동계산!$C$4:$C$48)))</f>
        <v/>
      </c>
      <c r="E2115" s="14">
        <f>IF(OR($S$2105="",$R$2094=""),"",SUM(OFFSET(전체채점!$AW$2,$R$2094,INDEX(회차설정!$C$13:$C$27,$S$2105),1,INDEX(회차설정!$D$13:$D$27,$S$2105)-INDEX(회차설정!$C$13:$C$27,$S$2105)+1)))</f>
        <v/>
      </c>
      <c r="F2115" s="46">
        <f>IF(OR($S$2105="",$D2115=0,$D2115="",$E2115=""),"",$E2115/$D2115*100)</f>
        <v/>
      </c>
      <c r="G2115" s="8" t="n"/>
      <c r="H2115" s="47">
        <f>IF($F2115="","",REPT("■",ROUND($F2115/5,0)))</f>
        <v/>
      </c>
      <c r="I2115" s="7" t="n"/>
      <c r="J2115" s="7" t="n"/>
      <c r="K2115" s="7" t="n"/>
      <c r="L2115" s="7" t="n"/>
      <c r="M2115" s="7" t="n"/>
      <c r="N2115" s="7" t="n"/>
      <c r="O2115" s="7" t="n"/>
      <c r="P2115" s="8" t="n"/>
    </row>
    <row r="2116">
      <c r="A2116" s="5">
        <f>IF($R$2094="","","합계")</f>
        <v/>
      </c>
      <c r="B2116" s="7" t="n"/>
      <c r="C2116" s="8" t="n"/>
      <c r="D2116" s="5">
        <f>IF($R$2094="","",SUM(D2104:D2115))</f>
        <v/>
      </c>
      <c r="E2116" s="5">
        <f>IF($R$2094="","",SUM(E2104:E2115))</f>
        <v/>
      </c>
      <c r="F2116" s="48">
        <f>IF(OR($D2116=0,$D2116=""),"",$E2116/$D2116*100)</f>
        <v/>
      </c>
      <c r="G2116" s="8" t="n"/>
      <c r="H2116" s="49">
        <f>IF($F2116="","",REPT("■",ROUND($F2116/5,0)))</f>
        <v/>
      </c>
      <c r="I2116" s="7" t="n"/>
      <c r="J2116" s="7" t="n"/>
      <c r="K2116" s="7" t="n"/>
      <c r="L2116" s="7" t="n"/>
      <c r="M2116" s="7" t="n"/>
      <c r="N2116" s="7" t="n"/>
      <c r="O2116" s="7" t="n"/>
      <c r="P2116" s="8" t="n"/>
    </row>
    <row r="2118">
      <c r="A2118" s="12" t="inlineStr">
        <is>
          <t>4. 문항 채점표</t>
        </is>
      </c>
    </row>
    <row r="2119">
      <c r="A2119" s="50" t="inlineStr">
        <is>
          <t>문항 번호</t>
        </is>
      </c>
      <c r="B2119" s="51" t="n">
        <v>1</v>
      </c>
      <c r="C2119" s="51" t="n">
        <v>2</v>
      </c>
      <c r="D2119" s="51" t="n">
        <v>3</v>
      </c>
      <c r="E2119" s="51" t="n">
        <v>4</v>
      </c>
      <c r="F2119" s="51" t="n">
        <v>5</v>
      </c>
      <c r="G2119" s="51" t="n">
        <v>6</v>
      </c>
      <c r="H2119" s="51" t="n">
        <v>7</v>
      </c>
      <c r="I2119" s="51" t="n">
        <v>8</v>
      </c>
      <c r="J2119" s="51" t="n">
        <v>9</v>
      </c>
      <c r="K2119" s="51" t="n">
        <v>10</v>
      </c>
      <c r="L2119" s="51" t="n">
        <v>11</v>
      </c>
      <c r="M2119" s="51" t="n">
        <v>12</v>
      </c>
      <c r="N2119" s="51" t="n">
        <v>13</v>
      </c>
      <c r="O2119" s="51" t="n">
        <v>14</v>
      </c>
      <c r="P2119" s="51" t="n">
        <v>15</v>
      </c>
    </row>
    <row r="2120">
      <c r="A2120" s="52" t="inlineStr">
        <is>
          <t>정답</t>
        </is>
      </c>
      <c r="B2120" s="33">
        <f>IF($R$2095="","",IF($R$2095="언어와 매체",자동계산!$D$4,자동계산!$B$4))</f>
        <v/>
      </c>
      <c r="C2120" s="33">
        <f>IF($R$2095="","",IF($R$2095="언어와 매체",자동계산!$D$5,자동계산!$B$5))</f>
        <v/>
      </c>
      <c r="D2120" s="33">
        <f>IF($R$2095="","",IF($R$2095="언어와 매체",자동계산!$D$6,자동계산!$B$6))</f>
        <v/>
      </c>
      <c r="E2120" s="33">
        <f>IF($R$2095="","",IF($R$2095="언어와 매체",자동계산!$D$7,자동계산!$B$7))</f>
        <v/>
      </c>
      <c r="F2120" s="33">
        <f>IF($R$2095="","",IF($R$2095="언어와 매체",자동계산!$D$8,자동계산!$B$8))</f>
        <v/>
      </c>
      <c r="G2120" s="33">
        <f>IF($R$2095="","",IF($R$2095="언어와 매체",자동계산!$D$9,자동계산!$B$9))</f>
        <v/>
      </c>
      <c r="H2120" s="33">
        <f>IF($R$2095="","",IF($R$2095="언어와 매체",자동계산!$D$10,자동계산!$B$10))</f>
        <v/>
      </c>
      <c r="I2120" s="33">
        <f>IF($R$2095="","",IF($R$2095="언어와 매체",자동계산!$D$11,자동계산!$B$11))</f>
        <v/>
      </c>
      <c r="J2120" s="33">
        <f>IF($R$2095="","",IF($R$2095="언어와 매체",자동계산!$D$12,자동계산!$B$12))</f>
        <v/>
      </c>
      <c r="K2120" s="33">
        <f>IF($R$2095="","",IF($R$2095="언어와 매체",자동계산!$D$13,자동계산!$B$13))</f>
        <v/>
      </c>
      <c r="L2120" s="33">
        <f>IF($R$2095="","",IF($R$2095="언어와 매체",자동계산!$D$14,자동계산!$B$14))</f>
        <v/>
      </c>
      <c r="M2120" s="33">
        <f>IF($R$2095="","",IF($R$2095="언어와 매체",자동계산!$D$15,자동계산!$B$15))</f>
        <v/>
      </c>
      <c r="N2120" s="33">
        <f>IF($R$2095="","",IF($R$2095="언어와 매체",자동계산!$D$16,자동계산!$B$16))</f>
        <v/>
      </c>
      <c r="O2120" s="33">
        <f>IF($R$2095="","",IF($R$2095="언어와 매체",자동계산!$D$17,자동계산!$B$17))</f>
        <v/>
      </c>
      <c r="P2120" s="33">
        <f>IF($R$2095="","",IF($R$2095="언어와 매체",자동계산!$D$18,자동계산!$B$18))</f>
        <v/>
      </c>
    </row>
    <row r="2121">
      <c r="A2121" s="52" t="inlineStr">
        <is>
          <t>학생답안</t>
        </is>
      </c>
      <c r="B2121" s="33">
        <f>IF($R$2094="","",INDEX(전체채점!E$3:E$62,$R$2094))</f>
        <v/>
      </c>
      <c r="C2121" s="33">
        <f>IF($R$2094="","",INDEX(전체채점!F$3:F$62,$R$2094))</f>
        <v/>
      </c>
      <c r="D2121" s="33">
        <f>IF($R$2094="","",INDEX(전체채점!G$3:G$62,$R$2094))</f>
        <v/>
      </c>
      <c r="E2121" s="33">
        <f>IF($R$2094="","",INDEX(전체채점!H$3:H$62,$R$2094))</f>
        <v/>
      </c>
      <c r="F2121" s="33">
        <f>IF($R$2094="","",INDEX(전체채점!I$3:I$62,$R$2094))</f>
        <v/>
      </c>
      <c r="G2121" s="33">
        <f>IF($R$2094="","",INDEX(전체채점!J$3:J$62,$R$2094))</f>
        <v/>
      </c>
      <c r="H2121" s="33">
        <f>IF($R$2094="","",INDEX(전체채점!K$3:K$62,$R$2094))</f>
        <v/>
      </c>
      <c r="I2121" s="33">
        <f>IF($R$2094="","",INDEX(전체채점!L$3:L$62,$R$2094))</f>
        <v/>
      </c>
      <c r="J2121" s="33">
        <f>IF($R$2094="","",INDEX(전체채점!M$3:M$62,$R$2094))</f>
        <v/>
      </c>
      <c r="K2121" s="33">
        <f>IF($R$2094="","",INDEX(전체채점!N$3:N$62,$R$2094))</f>
        <v/>
      </c>
      <c r="L2121" s="33">
        <f>IF($R$2094="","",INDEX(전체채점!O$3:O$62,$R$2094))</f>
        <v/>
      </c>
      <c r="M2121" s="33">
        <f>IF($R$2094="","",INDEX(전체채점!P$3:P$62,$R$2094))</f>
        <v/>
      </c>
      <c r="N2121" s="33">
        <f>IF($R$2094="","",INDEX(전체채점!Q$3:Q$62,$R$2094))</f>
        <v/>
      </c>
      <c r="O2121" s="33">
        <f>IF($R$2094="","",INDEX(전체채점!R$3:R$62,$R$2094))</f>
        <v/>
      </c>
      <c r="P2121" s="33">
        <f>IF($R$2094="","",INDEX(전체채점!S$3:S$62,$R$2094))</f>
        <v/>
      </c>
    </row>
    <row r="2122">
      <c r="A2122" s="52" t="inlineStr">
        <is>
          <t>정오</t>
        </is>
      </c>
      <c r="B2122" s="33">
        <f>IF($R$2094="","",INDEX(전체채점!AX$3:AX$62,$R$2094))</f>
        <v/>
      </c>
      <c r="C2122" s="33">
        <f>IF($R$2094="","",INDEX(전체채점!AY$3:AY$62,$R$2094))</f>
        <v/>
      </c>
      <c r="D2122" s="33">
        <f>IF($R$2094="","",INDEX(전체채점!AZ$3:AZ$62,$R$2094))</f>
        <v/>
      </c>
      <c r="E2122" s="33">
        <f>IF($R$2094="","",INDEX(전체채점!BA$3:BA$62,$R$2094))</f>
        <v/>
      </c>
      <c r="F2122" s="33">
        <f>IF($R$2094="","",INDEX(전체채점!BB$3:BB$62,$R$2094))</f>
        <v/>
      </c>
      <c r="G2122" s="33">
        <f>IF($R$2094="","",INDEX(전체채점!BC$3:BC$62,$R$2094))</f>
        <v/>
      </c>
      <c r="H2122" s="33">
        <f>IF($R$2094="","",INDEX(전체채점!BD$3:BD$62,$R$2094))</f>
        <v/>
      </c>
      <c r="I2122" s="33">
        <f>IF($R$2094="","",INDEX(전체채점!BE$3:BE$62,$R$2094))</f>
        <v/>
      </c>
      <c r="J2122" s="33">
        <f>IF($R$2094="","",INDEX(전체채점!BF$3:BF$62,$R$2094))</f>
        <v/>
      </c>
      <c r="K2122" s="33">
        <f>IF($R$2094="","",INDEX(전체채점!BG$3:BG$62,$R$2094))</f>
        <v/>
      </c>
      <c r="L2122" s="33">
        <f>IF($R$2094="","",INDEX(전체채점!BH$3:BH$62,$R$2094))</f>
        <v/>
      </c>
      <c r="M2122" s="33">
        <f>IF($R$2094="","",INDEX(전체채점!BI$3:BI$62,$R$2094))</f>
        <v/>
      </c>
      <c r="N2122" s="33">
        <f>IF($R$2094="","",INDEX(전체채점!BJ$3:BJ$62,$R$2094))</f>
        <v/>
      </c>
      <c r="O2122" s="33">
        <f>IF($R$2094="","",INDEX(전체채점!BK$3:BK$62,$R$2094))</f>
        <v/>
      </c>
      <c r="P2122" s="33">
        <f>IF($R$2094="","",INDEX(전체채점!BL$3:BL$62,$R$2094))</f>
        <v/>
      </c>
    </row>
    <row r="2123">
      <c r="A2123" s="50" t="inlineStr">
        <is>
          <t>문항 번호</t>
        </is>
      </c>
      <c r="B2123" s="51" t="n">
        <v>16</v>
      </c>
      <c r="C2123" s="51" t="n">
        <v>17</v>
      </c>
      <c r="D2123" s="51" t="n">
        <v>18</v>
      </c>
      <c r="E2123" s="51" t="n">
        <v>19</v>
      </c>
      <c r="F2123" s="51" t="n">
        <v>20</v>
      </c>
      <c r="G2123" s="51" t="n">
        <v>21</v>
      </c>
      <c r="H2123" s="51" t="n">
        <v>22</v>
      </c>
      <c r="I2123" s="51" t="n">
        <v>23</v>
      </c>
      <c r="J2123" s="51" t="n">
        <v>24</v>
      </c>
      <c r="K2123" s="51" t="n">
        <v>25</v>
      </c>
      <c r="L2123" s="51" t="n">
        <v>26</v>
      </c>
      <c r="M2123" s="51" t="n">
        <v>27</v>
      </c>
      <c r="N2123" s="51" t="n">
        <v>28</v>
      </c>
      <c r="O2123" s="51" t="n">
        <v>29</v>
      </c>
      <c r="P2123" s="51" t="n">
        <v>30</v>
      </c>
    </row>
    <row r="2124">
      <c r="A2124" s="52" t="inlineStr">
        <is>
          <t>정답</t>
        </is>
      </c>
      <c r="B2124" s="33">
        <f>IF($R$2095="","",IF($R$2095="언어와 매체",자동계산!$D$19,자동계산!$B$19))</f>
        <v/>
      </c>
      <c r="C2124" s="33">
        <f>IF($R$2095="","",IF($R$2095="언어와 매체",자동계산!$D$20,자동계산!$B$20))</f>
        <v/>
      </c>
      <c r="D2124" s="33">
        <f>IF($R$2095="","",IF($R$2095="언어와 매체",자동계산!$D$21,자동계산!$B$21))</f>
        <v/>
      </c>
      <c r="E2124" s="33">
        <f>IF($R$2095="","",IF($R$2095="언어와 매체",자동계산!$D$22,자동계산!$B$22))</f>
        <v/>
      </c>
      <c r="F2124" s="33">
        <f>IF($R$2095="","",IF($R$2095="언어와 매체",자동계산!$D$23,자동계산!$B$23))</f>
        <v/>
      </c>
      <c r="G2124" s="33">
        <f>IF($R$2095="","",IF($R$2095="언어와 매체",자동계산!$D$24,자동계산!$B$24))</f>
        <v/>
      </c>
      <c r="H2124" s="33">
        <f>IF($R$2095="","",IF($R$2095="언어와 매체",자동계산!$D$25,자동계산!$B$25))</f>
        <v/>
      </c>
      <c r="I2124" s="33">
        <f>IF($R$2095="","",IF($R$2095="언어와 매체",자동계산!$D$26,자동계산!$B$26))</f>
        <v/>
      </c>
      <c r="J2124" s="33">
        <f>IF($R$2095="","",IF($R$2095="언어와 매체",자동계산!$D$27,자동계산!$B$27))</f>
        <v/>
      </c>
      <c r="K2124" s="33">
        <f>IF($R$2095="","",IF($R$2095="언어와 매체",자동계산!$D$28,자동계산!$B$28))</f>
        <v/>
      </c>
      <c r="L2124" s="33">
        <f>IF($R$2095="","",IF($R$2095="언어와 매체",자동계산!$D$29,자동계산!$B$29))</f>
        <v/>
      </c>
      <c r="M2124" s="33">
        <f>IF($R$2095="","",IF($R$2095="언어와 매체",자동계산!$D$30,자동계산!$B$30))</f>
        <v/>
      </c>
      <c r="N2124" s="33">
        <f>IF($R$2095="","",IF($R$2095="언어와 매체",자동계산!$D$31,자동계산!$B$31))</f>
        <v/>
      </c>
      <c r="O2124" s="33">
        <f>IF($R$2095="","",IF($R$2095="언어와 매체",자동계산!$D$32,자동계산!$B$32))</f>
        <v/>
      </c>
      <c r="P2124" s="33">
        <f>IF($R$2095="","",IF($R$2095="언어와 매체",자동계산!$D$33,자동계산!$B$33))</f>
        <v/>
      </c>
    </row>
    <row r="2125">
      <c r="A2125" s="52" t="inlineStr">
        <is>
          <t>학생답안</t>
        </is>
      </c>
      <c r="B2125" s="33">
        <f>IF($R$2094="","",INDEX(전체채점!T$3:T$62,$R$2094))</f>
        <v/>
      </c>
      <c r="C2125" s="33">
        <f>IF($R$2094="","",INDEX(전체채점!U$3:U$62,$R$2094))</f>
        <v/>
      </c>
      <c r="D2125" s="33">
        <f>IF($R$2094="","",INDEX(전체채점!V$3:V$62,$R$2094))</f>
        <v/>
      </c>
      <c r="E2125" s="33">
        <f>IF($R$2094="","",INDEX(전체채점!W$3:W$62,$R$2094))</f>
        <v/>
      </c>
      <c r="F2125" s="33">
        <f>IF($R$2094="","",INDEX(전체채점!X$3:X$62,$R$2094))</f>
        <v/>
      </c>
      <c r="G2125" s="33">
        <f>IF($R$2094="","",INDEX(전체채점!Y$3:Y$62,$R$2094))</f>
        <v/>
      </c>
      <c r="H2125" s="33">
        <f>IF($R$2094="","",INDEX(전체채점!Z$3:Z$62,$R$2094))</f>
        <v/>
      </c>
      <c r="I2125" s="33">
        <f>IF($R$2094="","",INDEX(전체채점!AA$3:AA$62,$R$2094))</f>
        <v/>
      </c>
      <c r="J2125" s="33">
        <f>IF($R$2094="","",INDEX(전체채점!AB$3:AB$62,$R$2094))</f>
        <v/>
      </c>
      <c r="K2125" s="33">
        <f>IF($R$2094="","",INDEX(전체채점!AC$3:AC$62,$R$2094))</f>
        <v/>
      </c>
      <c r="L2125" s="33">
        <f>IF($R$2094="","",INDEX(전체채점!AD$3:AD$62,$R$2094))</f>
        <v/>
      </c>
      <c r="M2125" s="33">
        <f>IF($R$2094="","",INDEX(전체채점!AE$3:AE$62,$R$2094))</f>
        <v/>
      </c>
      <c r="N2125" s="33">
        <f>IF($R$2094="","",INDEX(전체채점!AF$3:AF$62,$R$2094))</f>
        <v/>
      </c>
      <c r="O2125" s="33">
        <f>IF($R$2094="","",INDEX(전체채점!AG$3:AG$62,$R$2094))</f>
        <v/>
      </c>
      <c r="P2125" s="33">
        <f>IF($R$2094="","",INDEX(전체채점!AH$3:AH$62,$R$2094))</f>
        <v/>
      </c>
    </row>
    <row r="2126">
      <c r="A2126" s="52" t="inlineStr">
        <is>
          <t>정오</t>
        </is>
      </c>
      <c r="B2126" s="33">
        <f>IF($R$2094="","",INDEX(전체채점!BM$3:BM$62,$R$2094))</f>
        <v/>
      </c>
      <c r="C2126" s="33">
        <f>IF($R$2094="","",INDEX(전체채점!BN$3:BN$62,$R$2094))</f>
        <v/>
      </c>
      <c r="D2126" s="33">
        <f>IF($R$2094="","",INDEX(전체채점!BO$3:BO$62,$R$2094))</f>
        <v/>
      </c>
      <c r="E2126" s="33">
        <f>IF($R$2094="","",INDEX(전체채점!BP$3:BP$62,$R$2094))</f>
        <v/>
      </c>
      <c r="F2126" s="33">
        <f>IF($R$2094="","",INDEX(전체채점!BQ$3:BQ$62,$R$2094))</f>
        <v/>
      </c>
      <c r="G2126" s="33">
        <f>IF($R$2094="","",INDEX(전체채점!BR$3:BR$62,$R$2094))</f>
        <v/>
      </c>
      <c r="H2126" s="33">
        <f>IF($R$2094="","",INDEX(전체채점!BS$3:BS$62,$R$2094))</f>
        <v/>
      </c>
      <c r="I2126" s="33">
        <f>IF($R$2094="","",INDEX(전체채점!BT$3:BT$62,$R$2094))</f>
        <v/>
      </c>
      <c r="J2126" s="33">
        <f>IF($R$2094="","",INDEX(전체채점!BU$3:BU$62,$R$2094))</f>
        <v/>
      </c>
      <c r="K2126" s="33">
        <f>IF($R$2094="","",INDEX(전체채점!BV$3:BV$62,$R$2094))</f>
        <v/>
      </c>
      <c r="L2126" s="33">
        <f>IF($R$2094="","",INDEX(전체채점!BW$3:BW$62,$R$2094))</f>
        <v/>
      </c>
      <c r="M2126" s="33">
        <f>IF($R$2094="","",INDEX(전체채점!BX$3:BX$62,$R$2094))</f>
        <v/>
      </c>
      <c r="N2126" s="33">
        <f>IF($R$2094="","",INDEX(전체채점!BY$3:BY$62,$R$2094))</f>
        <v/>
      </c>
      <c r="O2126" s="33">
        <f>IF($R$2094="","",INDEX(전체채점!BZ$3:BZ$62,$R$2094))</f>
        <v/>
      </c>
      <c r="P2126" s="33">
        <f>IF($R$2094="","",INDEX(전체채점!CA$3:CA$62,$R$2094))</f>
        <v/>
      </c>
    </row>
    <row r="2127">
      <c r="A2127" s="50" t="inlineStr">
        <is>
          <t>문항 번호</t>
        </is>
      </c>
      <c r="B2127" s="51" t="n">
        <v>31</v>
      </c>
      <c r="C2127" s="51" t="n">
        <v>32</v>
      </c>
      <c r="D2127" s="51" t="n">
        <v>33</v>
      </c>
      <c r="E2127" s="51" t="n">
        <v>34</v>
      </c>
      <c r="F2127" s="51" t="n">
        <v>35</v>
      </c>
      <c r="G2127" s="51" t="n">
        <v>36</v>
      </c>
      <c r="H2127" s="51" t="n">
        <v>37</v>
      </c>
      <c r="I2127" s="51" t="n">
        <v>38</v>
      </c>
      <c r="J2127" s="51" t="n">
        <v>39</v>
      </c>
      <c r="K2127" s="51" t="n">
        <v>40</v>
      </c>
      <c r="L2127" s="51" t="n">
        <v>41</v>
      </c>
      <c r="M2127" s="51" t="n">
        <v>42</v>
      </c>
      <c r="N2127" s="51" t="n">
        <v>43</v>
      </c>
      <c r="O2127" s="51" t="n">
        <v>44</v>
      </c>
      <c r="P2127" s="51" t="n">
        <v>45</v>
      </c>
    </row>
    <row r="2128">
      <c r="A2128" s="52" t="inlineStr">
        <is>
          <t>정답</t>
        </is>
      </c>
      <c r="B2128" s="33">
        <f>IF($R$2095="","",IF($R$2095="언어와 매체",자동계산!$D$34,자동계산!$B$34))</f>
        <v/>
      </c>
      <c r="C2128" s="33">
        <f>IF($R$2095="","",IF($R$2095="언어와 매체",자동계산!$D$35,자동계산!$B$35))</f>
        <v/>
      </c>
      <c r="D2128" s="33">
        <f>IF($R$2095="","",IF($R$2095="언어와 매체",자동계산!$D$36,자동계산!$B$36))</f>
        <v/>
      </c>
      <c r="E2128" s="33">
        <f>IF($R$2095="","",IF($R$2095="언어와 매체",자동계산!$D$37,자동계산!$B$37))</f>
        <v/>
      </c>
      <c r="F2128" s="33">
        <f>IF($R$2095="","",IF($R$2095="언어와 매체",자동계산!$D$38,자동계산!$B$38))</f>
        <v/>
      </c>
      <c r="G2128" s="33">
        <f>IF($R$2095="","",IF($R$2095="언어와 매체",자동계산!$D$39,자동계산!$B$39))</f>
        <v/>
      </c>
      <c r="H2128" s="33">
        <f>IF($R$2095="","",IF($R$2095="언어와 매체",자동계산!$D$40,자동계산!$B$40))</f>
        <v/>
      </c>
      <c r="I2128" s="33">
        <f>IF($R$2095="","",IF($R$2095="언어와 매체",자동계산!$D$41,자동계산!$B$41))</f>
        <v/>
      </c>
      <c r="J2128" s="33">
        <f>IF($R$2095="","",IF($R$2095="언어와 매체",자동계산!$D$42,자동계산!$B$42))</f>
        <v/>
      </c>
      <c r="K2128" s="33">
        <f>IF($R$2095="","",IF($R$2095="언어와 매체",자동계산!$D$43,자동계산!$B$43))</f>
        <v/>
      </c>
      <c r="L2128" s="33">
        <f>IF($R$2095="","",IF($R$2095="언어와 매체",자동계산!$D$44,자동계산!$B$44))</f>
        <v/>
      </c>
      <c r="M2128" s="33">
        <f>IF($R$2095="","",IF($R$2095="언어와 매체",자동계산!$D$45,자동계산!$B$45))</f>
        <v/>
      </c>
      <c r="N2128" s="33">
        <f>IF($R$2095="","",IF($R$2095="언어와 매체",자동계산!$D$46,자동계산!$B$46))</f>
        <v/>
      </c>
      <c r="O2128" s="33">
        <f>IF($R$2095="","",IF($R$2095="언어와 매체",자동계산!$D$47,자동계산!$B$47))</f>
        <v/>
      </c>
      <c r="P2128" s="33">
        <f>IF($R$2095="","",IF($R$2095="언어와 매체",자동계산!$D$48,자동계산!$B$48))</f>
        <v/>
      </c>
    </row>
    <row r="2129">
      <c r="A2129" s="52" t="inlineStr">
        <is>
          <t>학생답안</t>
        </is>
      </c>
      <c r="B2129" s="33">
        <f>IF($R$2094="","",INDEX(전체채점!AI$3:AI$62,$R$2094))</f>
        <v/>
      </c>
      <c r="C2129" s="33">
        <f>IF($R$2094="","",INDEX(전체채점!AJ$3:AJ$62,$R$2094))</f>
        <v/>
      </c>
      <c r="D2129" s="33">
        <f>IF($R$2094="","",INDEX(전체채점!AK$3:AK$62,$R$2094))</f>
        <v/>
      </c>
      <c r="E2129" s="33">
        <f>IF($R$2094="","",INDEX(전체채점!AL$3:AL$62,$R$2094))</f>
        <v/>
      </c>
      <c r="F2129" s="33">
        <f>IF($R$2094="","",INDEX(전체채점!AM$3:AM$62,$R$2094))</f>
        <v/>
      </c>
      <c r="G2129" s="33">
        <f>IF($R$2094="","",INDEX(전체채점!AN$3:AN$62,$R$2094))</f>
        <v/>
      </c>
      <c r="H2129" s="33">
        <f>IF($R$2094="","",INDEX(전체채점!AO$3:AO$62,$R$2094))</f>
        <v/>
      </c>
      <c r="I2129" s="33">
        <f>IF($R$2094="","",INDEX(전체채점!AP$3:AP$62,$R$2094))</f>
        <v/>
      </c>
      <c r="J2129" s="33">
        <f>IF($R$2094="","",INDEX(전체채점!AQ$3:AQ$62,$R$2094))</f>
        <v/>
      </c>
      <c r="K2129" s="33">
        <f>IF($R$2094="","",INDEX(전체채점!AR$3:AR$62,$R$2094))</f>
        <v/>
      </c>
      <c r="L2129" s="33">
        <f>IF($R$2094="","",INDEX(전체채점!AS$3:AS$62,$R$2094))</f>
        <v/>
      </c>
      <c r="M2129" s="33">
        <f>IF($R$2094="","",INDEX(전체채점!AT$3:AT$62,$R$2094))</f>
        <v/>
      </c>
      <c r="N2129" s="33">
        <f>IF($R$2094="","",INDEX(전체채점!AU$3:AU$62,$R$2094))</f>
        <v/>
      </c>
      <c r="O2129" s="33">
        <f>IF($R$2094="","",INDEX(전체채점!AV$3:AV$62,$R$2094))</f>
        <v/>
      </c>
      <c r="P2129" s="33">
        <f>IF($R$2094="","",INDEX(전체채점!AW$3:AW$62,$R$2094))</f>
        <v/>
      </c>
    </row>
    <row r="2130">
      <c r="A2130" s="52" t="inlineStr">
        <is>
          <t>정오</t>
        </is>
      </c>
      <c r="B2130" s="33">
        <f>IF($R$2094="","",INDEX(전체채점!CB$3:CB$62,$R$2094))</f>
        <v/>
      </c>
      <c r="C2130" s="33">
        <f>IF($R$2094="","",INDEX(전체채점!CC$3:CC$62,$R$2094))</f>
        <v/>
      </c>
      <c r="D2130" s="33">
        <f>IF($R$2094="","",INDEX(전체채점!CD$3:CD$62,$R$2094))</f>
        <v/>
      </c>
      <c r="E2130" s="33">
        <f>IF($R$2094="","",INDEX(전체채점!CE$3:CE$62,$R$2094))</f>
        <v/>
      </c>
      <c r="F2130" s="33">
        <f>IF($R$2094="","",INDEX(전체채점!CF$3:CF$62,$R$2094))</f>
        <v/>
      </c>
      <c r="G2130" s="33">
        <f>IF($R$2094="","",INDEX(전체채점!CG$3:CG$62,$R$2094))</f>
        <v/>
      </c>
      <c r="H2130" s="33">
        <f>IF($R$2094="","",INDEX(전체채점!CH$3:CH$62,$R$2094))</f>
        <v/>
      </c>
      <c r="I2130" s="33">
        <f>IF($R$2094="","",INDEX(전체채점!CI$3:CI$62,$R$2094))</f>
        <v/>
      </c>
      <c r="J2130" s="33">
        <f>IF($R$2094="","",INDEX(전체채점!CJ$3:CJ$62,$R$2094))</f>
        <v/>
      </c>
      <c r="K2130" s="33">
        <f>IF($R$2094="","",INDEX(전체채점!CK$3:CK$62,$R$2094))</f>
        <v/>
      </c>
      <c r="L2130" s="33">
        <f>IF($R$2094="","",INDEX(전체채점!CL$3:CL$62,$R$2094))</f>
        <v/>
      </c>
      <c r="M2130" s="33">
        <f>IF($R$2094="","",INDEX(전체채점!CM$3:CM$62,$R$2094))</f>
        <v/>
      </c>
      <c r="N2130" s="33">
        <f>IF($R$2094="","",INDEX(전체채점!CN$3:CN$62,$R$2094))</f>
        <v/>
      </c>
      <c r="O2130" s="33">
        <f>IF($R$2094="","",INDEX(전체채점!CO$3:CO$62,$R$2094))</f>
        <v/>
      </c>
      <c r="P2130" s="33">
        <f>IF($R$2094="","",INDEX(전체채점!CP$3:CP$62,$R$2094))</f>
        <v/>
      </c>
    </row>
    <row r="2133" ht="34" customHeight="1">
      <c r="A2133" s="36">
        <f>IF($R$2135="","",회차설정!$B$2&amp;" 성적표")</f>
        <v/>
      </c>
    </row>
    <row r="2135">
      <c r="A2135" s="12" t="inlineStr">
        <is>
          <t>1. 학생정보</t>
        </is>
      </c>
      <c r="R2135" s="37">
        <f>IF(답안입력!$A$55="","",53)</f>
        <v/>
      </c>
      <c r="S2135" s="37">
        <f>IF($R$2136="","",IFERROR(IF($R$2136="언어와 매체",MATCH(1,회차설정!$G$13:$G$27,0),MATCH(1,회차설정!$F$13:$F$27,0)),""))</f>
        <v/>
      </c>
    </row>
    <row r="2136">
      <c r="A2136" s="13" t="inlineStr">
        <is>
          <t>성명</t>
        </is>
      </c>
      <c r="B2136" s="7" t="n"/>
      <c r="C2136" s="8" t="n"/>
      <c r="D2136" s="13" t="inlineStr">
        <is>
          <t>선택과목</t>
        </is>
      </c>
      <c r="E2136" s="7" t="n"/>
      <c r="F2136" s="7" t="n"/>
      <c r="G2136" s="8" t="n"/>
      <c r="H2136" s="13" t="inlineStr">
        <is>
          <t>학년</t>
        </is>
      </c>
      <c r="I2136" s="7" t="n"/>
      <c r="J2136" s="7" t="n"/>
      <c r="K2136" s="8" t="n"/>
      <c r="L2136" s="13" t="inlineStr">
        <is>
          <t>시행일</t>
        </is>
      </c>
      <c r="M2136" s="7" t="n"/>
      <c r="N2136" s="7" t="n"/>
      <c r="O2136" s="7" t="n"/>
      <c r="P2136" s="8" t="n"/>
      <c r="R2136" s="37">
        <f>IF($R$2135="","",INDEX(전체채점!$B$3:$B$62,$R$2135))</f>
        <v/>
      </c>
      <c r="S2136" s="37">
        <f>IF($R$2136="","",IFERROR(IF($R$2136="언어와 매체",MATCH(2,회차설정!$G$13:$G$27,0),MATCH(2,회차설정!$F$13:$F$27,0)),""))</f>
        <v/>
      </c>
    </row>
    <row r="2137" ht="26" customHeight="1">
      <c r="A2137" s="39">
        <f>IF($R$2135="","",INDEX(답안입력!$A$3:$A$62,$R$2135))</f>
        <v/>
      </c>
      <c r="B2137" s="7" t="n"/>
      <c r="C2137" s="8" t="n"/>
      <c r="D2137" s="39">
        <f>IF($R$2135="","",INDEX(답안입력!$C$3:$C$62,$R$2135))</f>
        <v/>
      </c>
      <c r="E2137" s="7" t="n"/>
      <c r="F2137" s="7" t="n"/>
      <c r="G2137" s="8" t="n"/>
      <c r="H2137" s="39">
        <f>IF($R$2135="","",INDEX(답안입력!$B$3:$B$62,$R$2135))</f>
        <v/>
      </c>
      <c r="I2137" s="7" t="n"/>
      <c r="J2137" s="7" t="n"/>
      <c r="K2137" s="8" t="n"/>
      <c r="L2137" s="40">
        <f>회차설정!$B$3</f>
        <v/>
      </c>
      <c r="M2137" s="7" t="n"/>
      <c r="N2137" s="7" t="n"/>
      <c r="O2137" s="7" t="n"/>
      <c r="P2137" s="8" t="n"/>
      <c r="R2137" s="37">
        <f>IF($R$2136="언어와 매체",회차설정!$B$9,회차설정!$B$8)</f>
        <v/>
      </c>
      <c r="S2137" s="37">
        <f>IF($R$2136="","",IFERROR(IF($R$2136="언어와 매체",MATCH(3,회차설정!$G$13:$G$27,0),MATCH(3,회차설정!$F$13:$F$27,0)),""))</f>
        <v/>
      </c>
    </row>
    <row r="2138">
      <c r="R2138" s="37">
        <f>IF($R$2136="언어와 매체",회차설정!$C$9,회차설정!$C$8)</f>
        <v/>
      </c>
      <c r="S2138" s="37">
        <f>IF($R$2136="","",IFERROR(IF($R$2136="언어와 매체",MATCH(4,회차설정!$G$13:$G$27,0),MATCH(4,회차설정!$F$13:$F$27,0)),""))</f>
        <v/>
      </c>
    </row>
    <row r="2139">
      <c r="A2139" s="12" t="inlineStr">
        <is>
          <t>2. 성적</t>
        </is>
      </c>
      <c r="R2139" s="37">
        <f>IF($R$2136="언어와 매체",회차설정!$D$9,회차설정!$D$8)</f>
        <v/>
      </c>
      <c r="S2139" s="37">
        <f>IF($R$2136="","",IFERROR(IF($R$2136="언어와 매체",MATCH(5,회차설정!$G$13:$G$27,0),MATCH(5,회차설정!$F$13:$F$27,0)),""))</f>
        <v/>
      </c>
    </row>
    <row r="2140">
      <c r="A2140" s="13" t="inlineStr">
        <is>
          <t>점수 (100점 만점)</t>
        </is>
      </c>
      <c r="B2140" s="7" t="n"/>
      <c r="C2140" s="7" t="n"/>
      <c r="D2140" s="7" t="n"/>
      <c r="E2140" s="8" t="n"/>
      <c r="F2140" s="13" t="inlineStr">
        <is>
          <t>등급</t>
        </is>
      </c>
      <c r="G2140" s="7" t="n"/>
      <c r="H2140" s="8" t="n"/>
      <c r="I2140" s="13" t="inlineStr">
        <is>
          <t>등급컷</t>
        </is>
      </c>
      <c r="J2140" s="7" t="n"/>
      <c r="K2140" s="7" t="n"/>
      <c r="L2140" s="8" t="n"/>
      <c r="M2140" s="13" t="inlineStr">
        <is>
          <t>같은 선택과목 평균</t>
        </is>
      </c>
      <c r="N2140" s="7" t="n"/>
      <c r="O2140" s="7" t="n"/>
      <c r="P2140" s="8" t="n"/>
      <c r="R2140" s="37">
        <f>IF($R$2136="언어와 매체",회차설정!$E$9,회차설정!$E$8)</f>
        <v/>
      </c>
      <c r="S2140" s="37">
        <f>IF($R$2136="","",IFERROR(IF($R$2136="언어와 매체",MATCH(6,회차설정!$G$13:$G$27,0),MATCH(6,회차설정!$F$13:$F$27,0)),""))</f>
        <v/>
      </c>
    </row>
    <row r="2141" ht="34" customHeight="1">
      <c r="A2141" s="41">
        <f>IF($R$2135="","",INDEX(전체채점!$C$3:$C$62,$R$2135))</f>
        <v/>
      </c>
      <c r="B2141" s="7" t="n"/>
      <c r="C2141" s="7" t="n"/>
      <c r="D2141" s="7" t="n"/>
      <c r="E2141" s="8" t="n"/>
      <c r="F2141" s="42">
        <f>IF($R$2135="","",INDEX(전체채점!$D$3:$D$62,$R$2135))</f>
        <v/>
      </c>
      <c r="G2141" s="7" t="n"/>
      <c r="H2141" s="8" t="n"/>
      <c r="I2141" s="43">
        <f>IF($R$2135="","",$R$2137&amp;"-"&amp;$R$2138&amp;"-"&amp;$R$2139&amp;"-"&amp;$R$2140)</f>
        <v/>
      </c>
      <c r="J2141" s="7" t="n"/>
      <c r="K2141" s="7" t="n"/>
      <c r="L2141" s="8" t="n"/>
      <c r="M2141" s="44">
        <f>IFERROR(AVERAGEIF(전체채점!$B$3:$B$62,$R$2136,전체채점!$C$3:$C$62),"")</f>
        <v/>
      </c>
      <c r="N2141" s="7" t="n"/>
      <c r="O2141" s="7" t="n"/>
      <c r="P2141" s="8" t="n"/>
      <c r="S2141" s="37">
        <f>IF($R$2136="","",IFERROR(IF($R$2136="언어와 매체",MATCH(7,회차설정!$G$13:$G$27,0),MATCH(7,회차설정!$F$13:$F$27,0)),""))</f>
        <v/>
      </c>
    </row>
    <row r="2142">
      <c r="S2142" s="37">
        <f>IF($R$2136="","",IFERROR(IF($R$2136="언어와 매체",MATCH(8,회차설정!$G$13:$G$27,0),MATCH(8,회차설정!$F$13:$F$27,0)),""))</f>
        <v/>
      </c>
    </row>
    <row r="2143">
      <c r="A2143" s="12" t="inlineStr">
        <is>
          <t>3. 영역분류별 성취도 분석</t>
        </is>
      </c>
      <c r="F2143" s="45">
        <f>IF(OR($R$2135="",$E2157=""),"",IF($E2157=INDEX(전체채점!$C$3:$C$62,$R$2135),"","※ 회차설정의 영역 표를 확인하세요 — 영역 합계와 점수가 다릅니다"))</f>
        <v/>
      </c>
      <c r="S2143" s="37">
        <f>IF($R$2136="","",IFERROR(IF($R$2136="언어와 매체",MATCH(9,회차설정!$G$13:$G$27,0),MATCH(9,회차설정!$F$13:$F$27,0)),""))</f>
        <v/>
      </c>
    </row>
    <row r="2144">
      <c r="A2144" s="13" t="inlineStr">
        <is>
          <t>분류</t>
        </is>
      </c>
      <c r="B2144" s="13" t="inlineStr">
        <is>
          <t>영역</t>
        </is>
      </c>
      <c r="C2144" s="8" t="n"/>
      <c r="D2144" s="13" t="inlineStr">
        <is>
          <t>배점</t>
        </is>
      </c>
      <c r="E2144" s="13" t="inlineStr">
        <is>
          <t>득점</t>
        </is>
      </c>
      <c r="F2144" s="13" t="inlineStr">
        <is>
          <t>성취도(%)</t>
        </is>
      </c>
      <c r="G2144" s="8" t="n"/>
      <c r="H2144" s="13" t="inlineStr"/>
      <c r="I2144" s="7" t="n"/>
      <c r="J2144" s="7" t="n"/>
      <c r="K2144" s="7" t="n"/>
      <c r="L2144" s="7" t="n"/>
      <c r="M2144" s="7" t="n"/>
      <c r="N2144" s="7" t="n"/>
      <c r="O2144" s="7" t="n"/>
      <c r="P2144" s="8" t="n"/>
      <c r="S2144" s="37">
        <f>IF($R$2136="","",IFERROR(IF($R$2136="언어와 매체",MATCH(10,회차설정!$G$13:$G$27,0),MATCH(10,회차설정!$F$13:$F$27,0)),""))</f>
        <v/>
      </c>
    </row>
    <row r="2145">
      <c r="A2145" s="14">
        <f>IF($S$2135="","",INDEX(회차설정!$A$13:$A$27,$S$2135))</f>
        <v/>
      </c>
      <c r="B2145" s="14">
        <f>IF($S$2135="","",INDEX(회차설정!$B$13:$B$27,$S$2135))</f>
        <v/>
      </c>
      <c r="C2145" s="8" t="n"/>
      <c r="D2145" s="14">
        <f>IF($S$2135="","",IF($R$2136="언어와 매체",SUMPRODUCT((자동계산!$A$4:$A$48&gt;=INDEX(회차설정!$C$13:$C$27,$S$2135))*(자동계산!$A$4:$A$48&lt;=INDEX(회차설정!$D$13:$D$27,$S$2135))*자동계산!$E$4:$E$48),SUMPRODUCT((자동계산!$A$4:$A$48&gt;=INDEX(회차설정!$C$13:$C$27,$S$2135))*(자동계산!$A$4:$A$48&lt;=INDEX(회차설정!$D$13:$D$27,$S$2135))*자동계산!$C$4:$C$48)))</f>
        <v/>
      </c>
      <c r="E2145" s="14">
        <f>IF(OR($S$2135="",$R$2135=""),"",SUM(OFFSET(전체채점!$AW$2,$R$2135,INDEX(회차설정!$C$13:$C$27,$S$2135),1,INDEX(회차설정!$D$13:$D$27,$S$2135)-INDEX(회차설정!$C$13:$C$27,$S$2135)+1)))</f>
        <v/>
      </c>
      <c r="F2145" s="46">
        <f>IF(OR($S$2135="",$D2145=0,$D2145="",$E2145=""),"",$E2145/$D2145*100)</f>
        <v/>
      </c>
      <c r="G2145" s="8" t="n"/>
      <c r="H2145" s="47">
        <f>IF($F2145="","",REPT("■",ROUND($F2145/5,0)))</f>
        <v/>
      </c>
      <c r="I2145" s="7" t="n"/>
      <c r="J2145" s="7" t="n"/>
      <c r="K2145" s="7" t="n"/>
      <c r="L2145" s="7" t="n"/>
      <c r="M2145" s="7" t="n"/>
      <c r="N2145" s="7" t="n"/>
      <c r="O2145" s="7" t="n"/>
      <c r="P2145" s="8" t="n"/>
      <c r="S2145" s="37">
        <f>IF($R$2136="","",IFERROR(IF($R$2136="언어와 매체",MATCH(11,회차설정!$G$13:$G$27,0),MATCH(11,회차설정!$F$13:$F$27,0)),""))</f>
        <v/>
      </c>
    </row>
    <row r="2146">
      <c r="A2146" s="14">
        <f>IF($S$2136="","",INDEX(회차설정!$A$13:$A$27,$S$2136))</f>
        <v/>
      </c>
      <c r="B2146" s="14">
        <f>IF($S$2136="","",INDEX(회차설정!$B$13:$B$27,$S$2136))</f>
        <v/>
      </c>
      <c r="C2146" s="8" t="n"/>
      <c r="D2146" s="14">
        <f>IF($S$2136="","",IF($R$2136="언어와 매체",SUMPRODUCT((자동계산!$A$4:$A$48&gt;=INDEX(회차설정!$C$13:$C$27,$S$2136))*(자동계산!$A$4:$A$48&lt;=INDEX(회차설정!$D$13:$D$27,$S$2136))*자동계산!$E$4:$E$48),SUMPRODUCT((자동계산!$A$4:$A$48&gt;=INDEX(회차설정!$C$13:$C$27,$S$2136))*(자동계산!$A$4:$A$48&lt;=INDEX(회차설정!$D$13:$D$27,$S$2136))*자동계산!$C$4:$C$48)))</f>
        <v/>
      </c>
      <c r="E2146" s="14">
        <f>IF(OR($S$2136="",$R$2135=""),"",SUM(OFFSET(전체채점!$AW$2,$R$2135,INDEX(회차설정!$C$13:$C$27,$S$2136),1,INDEX(회차설정!$D$13:$D$27,$S$2136)-INDEX(회차설정!$C$13:$C$27,$S$2136)+1)))</f>
        <v/>
      </c>
      <c r="F2146" s="46">
        <f>IF(OR($S$2136="",$D2146=0,$D2146="",$E2146=""),"",$E2146/$D2146*100)</f>
        <v/>
      </c>
      <c r="G2146" s="8" t="n"/>
      <c r="H2146" s="47">
        <f>IF($F2146="","",REPT("■",ROUND($F2146/5,0)))</f>
        <v/>
      </c>
      <c r="I2146" s="7" t="n"/>
      <c r="J2146" s="7" t="n"/>
      <c r="K2146" s="7" t="n"/>
      <c r="L2146" s="7" t="n"/>
      <c r="M2146" s="7" t="n"/>
      <c r="N2146" s="7" t="n"/>
      <c r="O2146" s="7" t="n"/>
      <c r="P2146" s="8" t="n"/>
      <c r="S2146" s="37">
        <f>IF($R$2136="","",IFERROR(IF($R$2136="언어와 매체",MATCH(12,회차설정!$G$13:$G$27,0),MATCH(12,회차설정!$F$13:$F$27,0)),""))</f>
        <v/>
      </c>
    </row>
    <row r="2147">
      <c r="A2147" s="14">
        <f>IF($S$2137="","",INDEX(회차설정!$A$13:$A$27,$S$2137))</f>
        <v/>
      </c>
      <c r="B2147" s="14">
        <f>IF($S$2137="","",INDEX(회차설정!$B$13:$B$27,$S$2137))</f>
        <v/>
      </c>
      <c r="C2147" s="8" t="n"/>
      <c r="D2147" s="14">
        <f>IF($S$2137="","",IF($R$2136="언어와 매체",SUMPRODUCT((자동계산!$A$4:$A$48&gt;=INDEX(회차설정!$C$13:$C$27,$S$2137))*(자동계산!$A$4:$A$48&lt;=INDEX(회차설정!$D$13:$D$27,$S$2137))*자동계산!$E$4:$E$48),SUMPRODUCT((자동계산!$A$4:$A$48&gt;=INDEX(회차설정!$C$13:$C$27,$S$2137))*(자동계산!$A$4:$A$48&lt;=INDEX(회차설정!$D$13:$D$27,$S$2137))*자동계산!$C$4:$C$48)))</f>
        <v/>
      </c>
      <c r="E2147" s="14">
        <f>IF(OR($S$2137="",$R$2135=""),"",SUM(OFFSET(전체채점!$AW$2,$R$2135,INDEX(회차설정!$C$13:$C$27,$S$2137),1,INDEX(회차설정!$D$13:$D$27,$S$2137)-INDEX(회차설정!$C$13:$C$27,$S$2137)+1)))</f>
        <v/>
      </c>
      <c r="F2147" s="46">
        <f>IF(OR($S$2137="",$D2147=0,$D2147="",$E2147=""),"",$E2147/$D2147*100)</f>
        <v/>
      </c>
      <c r="G2147" s="8" t="n"/>
      <c r="H2147" s="47">
        <f>IF($F2147="","",REPT("■",ROUND($F2147/5,0)))</f>
        <v/>
      </c>
      <c r="I2147" s="7" t="n"/>
      <c r="J2147" s="7" t="n"/>
      <c r="K2147" s="7" t="n"/>
      <c r="L2147" s="7" t="n"/>
      <c r="M2147" s="7" t="n"/>
      <c r="N2147" s="7" t="n"/>
      <c r="O2147" s="7" t="n"/>
      <c r="P2147" s="8" t="n"/>
    </row>
    <row r="2148">
      <c r="A2148" s="14">
        <f>IF($S$2138="","",INDEX(회차설정!$A$13:$A$27,$S$2138))</f>
        <v/>
      </c>
      <c r="B2148" s="14">
        <f>IF($S$2138="","",INDEX(회차설정!$B$13:$B$27,$S$2138))</f>
        <v/>
      </c>
      <c r="C2148" s="8" t="n"/>
      <c r="D2148" s="14">
        <f>IF($S$2138="","",IF($R$2136="언어와 매체",SUMPRODUCT((자동계산!$A$4:$A$48&gt;=INDEX(회차설정!$C$13:$C$27,$S$2138))*(자동계산!$A$4:$A$48&lt;=INDEX(회차설정!$D$13:$D$27,$S$2138))*자동계산!$E$4:$E$48),SUMPRODUCT((자동계산!$A$4:$A$48&gt;=INDEX(회차설정!$C$13:$C$27,$S$2138))*(자동계산!$A$4:$A$48&lt;=INDEX(회차설정!$D$13:$D$27,$S$2138))*자동계산!$C$4:$C$48)))</f>
        <v/>
      </c>
      <c r="E2148" s="14">
        <f>IF(OR($S$2138="",$R$2135=""),"",SUM(OFFSET(전체채점!$AW$2,$R$2135,INDEX(회차설정!$C$13:$C$27,$S$2138),1,INDEX(회차설정!$D$13:$D$27,$S$2138)-INDEX(회차설정!$C$13:$C$27,$S$2138)+1)))</f>
        <v/>
      </c>
      <c r="F2148" s="46">
        <f>IF(OR($S$2138="",$D2148=0,$D2148="",$E2148=""),"",$E2148/$D2148*100)</f>
        <v/>
      </c>
      <c r="G2148" s="8" t="n"/>
      <c r="H2148" s="47">
        <f>IF($F2148="","",REPT("■",ROUND($F2148/5,0)))</f>
        <v/>
      </c>
      <c r="I2148" s="7" t="n"/>
      <c r="J2148" s="7" t="n"/>
      <c r="K2148" s="7" t="n"/>
      <c r="L2148" s="7" t="n"/>
      <c r="M2148" s="7" t="n"/>
      <c r="N2148" s="7" t="n"/>
      <c r="O2148" s="7" t="n"/>
      <c r="P2148" s="8" t="n"/>
    </row>
    <row r="2149">
      <c r="A2149" s="14">
        <f>IF($S$2139="","",INDEX(회차설정!$A$13:$A$27,$S$2139))</f>
        <v/>
      </c>
      <c r="B2149" s="14">
        <f>IF($S$2139="","",INDEX(회차설정!$B$13:$B$27,$S$2139))</f>
        <v/>
      </c>
      <c r="C2149" s="8" t="n"/>
      <c r="D2149" s="14">
        <f>IF($S$2139="","",IF($R$2136="언어와 매체",SUMPRODUCT((자동계산!$A$4:$A$48&gt;=INDEX(회차설정!$C$13:$C$27,$S$2139))*(자동계산!$A$4:$A$48&lt;=INDEX(회차설정!$D$13:$D$27,$S$2139))*자동계산!$E$4:$E$48),SUMPRODUCT((자동계산!$A$4:$A$48&gt;=INDEX(회차설정!$C$13:$C$27,$S$2139))*(자동계산!$A$4:$A$48&lt;=INDEX(회차설정!$D$13:$D$27,$S$2139))*자동계산!$C$4:$C$48)))</f>
        <v/>
      </c>
      <c r="E2149" s="14">
        <f>IF(OR($S$2139="",$R$2135=""),"",SUM(OFFSET(전체채점!$AW$2,$R$2135,INDEX(회차설정!$C$13:$C$27,$S$2139),1,INDEX(회차설정!$D$13:$D$27,$S$2139)-INDEX(회차설정!$C$13:$C$27,$S$2139)+1)))</f>
        <v/>
      </c>
      <c r="F2149" s="46">
        <f>IF(OR($S$2139="",$D2149=0,$D2149="",$E2149=""),"",$E2149/$D2149*100)</f>
        <v/>
      </c>
      <c r="G2149" s="8" t="n"/>
      <c r="H2149" s="47">
        <f>IF($F2149="","",REPT("■",ROUND($F2149/5,0)))</f>
        <v/>
      </c>
      <c r="I2149" s="7" t="n"/>
      <c r="J2149" s="7" t="n"/>
      <c r="K2149" s="7" t="n"/>
      <c r="L2149" s="7" t="n"/>
      <c r="M2149" s="7" t="n"/>
      <c r="N2149" s="7" t="n"/>
      <c r="O2149" s="7" t="n"/>
      <c r="P2149" s="8" t="n"/>
    </row>
    <row r="2150">
      <c r="A2150" s="14">
        <f>IF($S$2140="","",INDEX(회차설정!$A$13:$A$27,$S$2140))</f>
        <v/>
      </c>
      <c r="B2150" s="14">
        <f>IF($S$2140="","",INDEX(회차설정!$B$13:$B$27,$S$2140))</f>
        <v/>
      </c>
      <c r="C2150" s="8" t="n"/>
      <c r="D2150" s="14">
        <f>IF($S$2140="","",IF($R$2136="언어와 매체",SUMPRODUCT((자동계산!$A$4:$A$48&gt;=INDEX(회차설정!$C$13:$C$27,$S$2140))*(자동계산!$A$4:$A$48&lt;=INDEX(회차설정!$D$13:$D$27,$S$2140))*자동계산!$E$4:$E$48),SUMPRODUCT((자동계산!$A$4:$A$48&gt;=INDEX(회차설정!$C$13:$C$27,$S$2140))*(자동계산!$A$4:$A$48&lt;=INDEX(회차설정!$D$13:$D$27,$S$2140))*자동계산!$C$4:$C$48)))</f>
        <v/>
      </c>
      <c r="E2150" s="14">
        <f>IF(OR($S$2140="",$R$2135=""),"",SUM(OFFSET(전체채점!$AW$2,$R$2135,INDEX(회차설정!$C$13:$C$27,$S$2140),1,INDEX(회차설정!$D$13:$D$27,$S$2140)-INDEX(회차설정!$C$13:$C$27,$S$2140)+1)))</f>
        <v/>
      </c>
      <c r="F2150" s="46">
        <f>IF(OR($S$2140="",$D2150=0,$D2150="",$E2150=""),"",$E2150/$D2150*100)</f>
        <v/>
      </c>
      <c r="G2150" s="8" t="n"/>
      <c r="H2150" s="47">
        <f>IF($F2150="","",REPT("■",ROUND($F2150/5,0)))</f>
        <v/>
      </c>
      <c r="I2150" s="7" t="n"/>
      <c r="J2150" s="7" t="n"/>
      <c r="K2150" s="7" t="n"/>
      <c r="L2150" s="7" t="n"/>
      <c r="M2150" s="7" t="n"/>
      <c r="N2150" s="7" t="n"/>
      <c r="O2150" s="7" t="n"/>
      <c r="P2150" s="8" t="n"/>
    </row>
    <row r="2151">
      <c r="A2151" s="14">
        <f>IF($S$2141="","",INDEX(회차설정!$A$13:$A$27,$S$2141))</f>
        <v/>
      </c>
      <c r="B2151" s="14">
        <f>IF($S$2141="","",INDEX(회차설정!$B$13:$B$27,$S$2141))</f>
        <v/>
      </c>
      <c r="C2151" s="8" t="n"/>
      <c r="D2151" s="14">
        <f>IF($S$2141="","",IF($R$2136="언어와 매체",SUMPRODUCT((자동계산!$A$4:$A$48&gt;=INDEX(회차설정!$C$13:$C$27,$S$2141))*(자동계산!$A$4:$A$48&lt;=INDEX(회차설정!$D$13:$D$27,$S$2141))*자동계산!$E$4:$E$48),SUMPRODUCT((자동계산!$A$4:$A$48&gt;=INDEX(회차설정!$C$13:$C$27,$S$2141))*(자동계산!$A$4:$A$48&lt;=INDEX(회차설정!$D$13:$D$27,$S$2141))*자동계산!$C$4:$C$48)))</f>
        <v/>
      </c>
      <c r="E2151" s="14">
        <f>IF(OR($S$2141="",$R$2135=""),"",SUM(OFFSET(전체채점!$AW$2,$R$2135,INDEX(회차설정!$C$13:$C$27,$S$2141),1,INDEX(회차설정!$D$13:$D$27,$S$2141)-INDEX(회차설정!$C$13:$C$27,$S$2141)+1)))</f>
        <v/>
      </c>
      <c r="F2151" s="46">
        <f>IF(OR($S$2141="",$D2151=0,$D2151="",$E2151=""),"",$E2151/$D2151*100)</f>
        <v/>
      </c>
      <c r="G2151" s="8" t="n"/>
      <c r="H2151" s="47">
        <f>IF($F2151="","",REPT("■",ROUND($F2151/5,0)))</f>
        <v/>
      </c>
      <c r="I2151" s="7" t="n"/>
      <c r="J2151" s="7" t="n"/>
      <c r="K2151" s="7" t="n"/>
      <c r="L2151" s="7" t="n"/>
      <c r="M2151" s="7" t="n"/>
      <c r="N2151" s="7" t="n"/>
      <c r="O2151" s="7" t="n"/>
      <c r="P2151" s="8" t="n"/>
    </row>
    <row r="2152">
      <c r="A2152" s="14">
        <f>IF($S$2142="","",INDEX(회차설정!$A$13:$A$27,$S$2142))</f>
        <v/>
      </c>
      <c r="B2152" s="14">
        <f>IF($S$2142="","",INDEX(회차설정!$B$13:$B$27,$S$2142))</f>
        <v/>
      </c>
      <c r="C2152" s="8" t="n"/>
      <c r="D2152" s="14">
        <f>IF($S$2142="","",IF($R$2136="언어와 매체",SUMPRODUCT((자동계산!$A$4:$A$48&gt;=INDEX(회차설정!$C$13:$C$27,$S$2142))*(자동계산!$A$4:$A$48&lt;=INDEX(회차설정!$D$13:$D$27,$S$2142))*자동계산!$E$4:$E$48),SUMPRODUCT((자동계산!$A$4:$A$48&gt;=INDEX(회차설정!$C$13:$C$27,$S$2142))*(자동계산!$A$4:$A$48&lt;=INDEX(회차설정!$D$13:$D$27,$S$2142))*자동계산!$C$4:$C$48)))</f>
        <v/>
      </c>
      <c r="E2152" s="14">
        <f>IF(OR($S$2142="",$R$2135=""),"",SUM(OFFSET(전체채점!$AW$2,$R$2135,INDEX(회차설정!$C$13:$C$27,$S$2142),1,INDEX(회차설정!$D$13:$D$27,$S$2142)-INDEX(회차설정!$C$13:$C$27,$S$2142)+1)))</f>
        <v/>
      </c>
      <c r="F2152" s="46">
        <f>IF(OR($S$2142="",$D2152=0,$D2152="",$E2152=""),"",$E2152/$D2152*100)</f>
        <v/>
      </c>
      <c r="G2152" s="8" t="n"/>
      <c r="H2152" s="47">
        <f>IF($F2152="","",REPT("■",ROUND($F2152/5,0)))</f>
        <v/>
      </c>
      <c r="I2152" s="7" t="n"/>
      <c r="J2152" s="7" t="n"/>
      <c r="K2152" s="7" t="n"/>
      <c r="L2152" s="7" t="n"/>
      <c r="M2152" s="7" t="n"/>
      <c r="N2152" s="7" t="n"/>
      <c r="O2152" s="7" t="n"/>
      <c r="P2152" s="8" t="n"/>
    </row>
    <row r="2153">
      <c r="A2153" s="14">
        <f>IF($S$2143="","",INDEX(회차설정!$A$13:$A$27,$S$2143))</f>
        <v/>
      </c>
      <c r="B2153" s="14">
        <f>IF($S$2143="","",INDEX(회차설정!$B$13:$B$27,$S$2143))</f>
        <v/>
      </c>
      <c r="C2153" s="8" t="n"/>
      <c r="D2153" s="14">
        <f>IF($S$2143="","",IF($R$2136="언어와 매체",SUMPRODUCT((자동계산!$A$4:$A$48&gt;=INDEX(회차설정!$C$13:$C$27,$S$2143))*(자동계산!$A$4:$A$48&lt;=INDEX(회차설정!$D$13:$D$27,$S$2143))*자동계산!$E$4:$E$48),SUMPRODUCT((자동계산!$A$4:$A$48&gt;=INDEX(회차설정!$C$13:$C$27,$S$2143))*(자동계산!$A$4:$A$48&lt;=INDEX(회차설정!$D$13:$D$27,$S$2143))*자동계산!$C$4:$C$48)))</f>
        <v/>
      </c>
      <c r="E2153" s="14">
        <f>IF(OR($S$2143="",$R$2135=""),"",SUM(OFFSET(전체채점!$AW$2,$R$2135,INDEX(회차설정!$C$13:$C$27,$S$2143),1,INDEX(회차설정!$D$13:$D$27,$S$2143)-INDEX(회차설정!$C$13:$C$27,$S$2143)+1)))</f>
        <v/>
      </c>
      <c r="F2153" s="46">
        <f>IF(OR($S$2143="",$D2153=0,$D2153="",$E2153=""),"",$E2153/$D2153*100)</f>
        <v/>
      </c>
      <c r="G2153" s="8" t="n"/>
      <c r="H2153" s="47">
        <f>IF($F2153="","",REPT("■",ROUND($F2153/5,0)))</f>
        <v/>
      </c>
      <c r="I2153" s="7" t="n"/>
      <c r="J2153" s="7" t="n"/>
      <c r="K2153" s="7" t="n"/>
      <c r="L2153" s="7" t="n"/>
      <c r="M2153" s="7" t="n"/>
      <c r="N2153" s="7" t="n"/>
      <c r="O2153" s="7" t="n"/>
      <c r="P2153" s="8" t="n"/>
    </row>
    <row r="2154">
      <c r="A2154" s="14">
        <f>IF($S$2144="","",INDEX(회차설정!$A$13:$A$27,$S$2144))</f>
        <v/>
      </c>
      <c r="B2154" s="14">
        <f>IF($S$2144="","",INDEX(회차설정!$B$13:$B$27,$S$2144))</f>
        <v/>
      </c>
      <c r="C2154" s="8" t="n"/>
      <c r="D2154" s="14">
        <f>IF($S$2144="","",IF($R$2136="언어와 매체",SUMPRODUCT((자동계산!$A$4:$A$48&gt;=INDEX(회차설정!$C$13:$C$27,$S$2144))*(자동계산!$A$4:$A$48&lt;=INDEX(회차설정!$D$13:$D$27,$S$2144))*자동계산!$E$4:$E$48),SUMPRODUCT((자동계산!$A$4:$A$48&gt;=INDEX(회차설정!$C$13:$C$27,$S$2144))*(자동계산!$A$4:$A$48&lt;=INDEX(회차설정!$D$13:$D$27,$S$2144))*자동계산!$C$4:$C$48)))</f>
        <v/>
      </c>
      <c r="E2154" s="14">
        <f>IF(OR($S$2144="",$R$2135=""),"",SUM(OFFSET(전체채점!$AW$2,$R$2135,INDEX(회차설정!$C$13:$C$27,$S$2144),1,INDEX(회차설정!$D$13:$D$27,$S$2144)-INDEX(회차설정!$C$13:$C$27,$S$2144)+1)))</f>
        <v/>
      </c>
      <c r="F2154" s="46">
        <f>IF(OR($S$2144="",$D2154=0,$D2154="",$E2154=""),"",$E2154/$D2154*100)</f>
        <v/>
      </c>
      <c r="G2154" s="8" t="n"/>
      <c r="H2154" s="47">
        <f>IF($F2154="","",REPT("■",ROUND($F2154/5,0)))</f>
        <v/>
      </c>
      <c r="I2154" s="7" t="n"/>
      <c r="J2154" s="7" t="n"/>
      <c r="K2154" s="7" t="n"/>
      <c r="L2154" s="7" t="n"/>
      <c r="M2154" s="7" t="n"/>
      <c r="N2154" s="7" t="n"/>
      <c r="O2154" s="7" t="n"/>
      <c r="P2154" s="8" t="n"/>
    </row>
    <row r="2155">
      <c r="A2155" s="14">
        <f>IF($S$2145="","",INDEX(회차설정!$A$13:$A$27,$S$2145))</f>
        <v/>
      </c>
      <c r="B2155" s="14">
        <f>IF($S$2145="","",INDEX(회차설정!$B$13:$B$27,$S$2145))</f>
        <v/>
      </c>
      <c r="C2155" s="8" t="n"/>
      <c r="D2155" s="14">
        <f>IF($S$2145="","",IF($R$2136="언어와 매체",SUMPRODUCT((자동계산!$A$4:$A$48&gt;=INDEX(회차설정!$C$13:$C$27,$S$2145))*(자동계산!$A$4:$A$48&lt;=INDEX(회차설정!$D$13:$D$27,$S$2145))*자동계산!$E$4:$E$48),SUMPRODUCT((자동계산!$A$4:$A$48&gt;=INDEX(회차설정!$C$13:$C$27,$S$2145))*(자동계산!$A$4:$A$48&lt;=INDEX(회차설정!$D$13:$D$27,$S$2145))*자동계산!$C$4:$C$48)))</f>
        <v/>
      </c>
      <c r="E2155" s="14">
        <f>IF(OR($S$2145="",$R$2135=""),"",SUM(OFFSET(전체채점!$AW$2,$R$2135,INDEX(회차설정!$C$13:$C$27,$S$2145),1,INDEX(회차설정!$D$13:$D$27,$S$2145)-INDEX(회차설정!$C$13:$C$27,$S$2145)+1)))</f>
        <v/>
      </c>
      <c r="F2155" s="46">
        <f>IF(OR($S$2145="",$D2155=0,$D2155="",$E2155=""),"",$E2155/$D2155*100)</f>
        <v/>
      </c>
      <c r="G2155" s="8" t="n"/>
      <c r="H2155" s="47">
        <f>IF($F2155="","",REPT("■",ROUND($F2155/5,0)))</f>
        <v/>
      </c>
      <c r="I2155" s="7" t="n"/>
      <c r="J2155" s="7" t="n"/>
      <c r="K2155" s="7" t="n"/>
      <c r="L2155" s="7" t="n"/>
      <c r="M2155" s="7" t="n"/>
      <c r="N2155" s="7" t="n"/>
      <c r="O2155" s="7" t="n"/>
      <c r="P2155" s="8" t="n"/>
    </row>
    <row r="2156">
      <c r="A2156" s="14">
        <f>IF($S$2146="","",INDEX(회차설정!$A$13:$A$27,$S$2146))</f>
        <v/>
      </c>
      <c r="B2156" s="14">
        <f>IF($S$2146="","",INDEX(회차설정!$B$13:$B$27,$S$2146))</f>
        <v/>
      </c>
      <c r="C2156" s="8" t="n"/>
      <c r="D2156" s="14">
        <f>IF($S$2146="","",IF($R$2136="언어와 매체",SUMPRODUCT((자동계산!$A$4:$A$48&gt;=INDEX(회차설정!$C$13:$C$27,$S$2146))*(자동계산!$A$4:$A$48&lt;=INDEX(회차설정!$D$13:$D$27,$S$2146))*자동계산!$E$4:$E$48),SUMPRODUCT((자동계산!$A$4:$A$48&gt;=INDEX(회차설정!$C$13:$C$27,$S$2146))*(자동계산!$A$4:$A$48&lt;=INDEX(회차설정!$D$13:$D$27,$S$2146))*자동계산!$C$4:$C$48)))</f>
        <v/>
      </c>
      <c r="E2156" s="14">
        <f>IF(OR($S$2146="",$R$2135=""),"",SUM(OFFSET(전체채점!$AW$2,$R$2135,INDEX(회차설정!$C$13:$C$27,$S$2146),1,INDEX(회차설정!$D$13:$D$27,$S$2146)-INDEX(회차설정!$C$13:$C$27,$S$2146)+1)))</f>
        <v/>
      </c>
      <c r="F2156" s="46">
        <f>IF(OR($S$2146="",$D2156=0,$D2156="",$E2156=""),"",$E2156/$D2156*100)</f>
        <v/>
      </c>
      <c r="G2156" s="8" t="n"/>
      <c r="H2156" s="47">
        <f>IF($F2156="","",REPT("■",ROUND($F2156/5,0)))</f>
        <v/>
      </c>
      <c r="I2156" s="7" t="n"/>
      <c r="J2156" s="7" t="n"/>
      <c r="K2156" s="7" t="n"/>
      <c r="L2156" s="7" t="n"/>
      <c r="M2156" s="7" t="n"/>
      <c r="N2156" s="7" t="n"/>
      <c r="O2156" s="7" t="n"/>
      <c r="P2156" s="8" t="n"/>
    </row>
    <row r="2157">
      <c r="A2157" s="5">
        <f>IF($R$2135="","","합계")</f>
        <v/>
      </c>
      <c r="B2157" s="7" t="n"/>
      <c r="C2157" s="8" t="n"/>
      <c r="D2157" s="5">
        <f>IF($R$2135="","",SUM(D2145:D2156))</f>
        <v/>
      </c>
      <c r="E2157" s="5">
        <f>IF($R$2135="","",SUM(E2145:E2156))</f>
        <v/>
      </c>
      <c r="F2157" s="48">
        <f>IF(OR($D2157=0,$D2157=""),"",$E2157/$D2157*100)</f>
        <v/>
      </c>
      <c r="G2157" s="8" t="n"/>
      <c r="H2157" s="49">
        <f>IF($F2157="","",REPT("■",ROUND($F2157/5,0)))</f>
        <v/>
      </c>
      <c r="I2157" s="7" t="n"/>
      <c r="J2157" s="7" t="n"/>
      <c r="K2157" s="7" t="n"/>
      <c r="L2157" s="7" t="n"/>
      <c r="M2157" s="7" t="n"/>
      <c r="N2157" s="7" t="n"/>
      <c r="O2157" s="7" t="n"/>
      <c r="P2157" s="8" t="n"/>
    </row>
    <row r="2159">
      <c r="A2159" s="12" t="inlineStr">
        <is>
          <t>4. 문항 채점표</t>
        </is>
      </c>
    </row>
    <row r="2160">
      <c r="A2160" s="50" t="inlineStr">
        <is>
          <t>문항 번호</t>
        </is>
      </c>
      <c r="B2160" s="51" t="n">
        <v>1</v>
      </c>
      <c r="C2160" s="51" t="n">
        <v>2</v>
      </c>
      <c r="D2160" s="51" t="n">
        <v>3</v>
      </c>
      <c r="E2160" s="51" t="n">
        <v>4</v>
      </c>
      <c r="F2160" s="51" t="n">
        <v>5</v>
      </c>
      <c r="G2160" s="51" t="n">
        <v>6</v>
      </c>
      <c r="H2160" s="51" t="n">
        <v>7</v>
      </c>
      <c r="I2160" s="51" t="n">
        <v>8</v>
      </c>
      <c r="J2160" s="51" t="n">
        <v>9</v>
      </c>
      <c r="K2160" s="51" t="n">
        <v>10</v>
      </c>
      <c r="L2160" s="51" t="n">
        <v>11</v>
      </c>
      <c r="M2160" s="51" t="n">
        <v>12</v>
      </c>
      <c r="N2160" s="51" t="n">
        <v>13</v>
      </c>
      <c r="O2160" s="51" t="n">
        <v>14</v>
      </c>
      <c r="P2160" s="51" t="n">
        <v>15</v>
      </c>
    </row>
    <row r="2161">
      <c r="A2161" s="52" t="inlineStr">
        <is>
          <t>정답</t>
        </is>
      </c>
      <c r="B2161" s="33">
        <f>IF($R$2136="","",IF($R$2136="언어와 매체",자동계산!$D$4,자동계산!$B$4))</f>
        <v/>
      </c>
      <c r="C2161" s="33">
        <f>IF($R$2136="","",IF($R$2136="언어와 매체",자동계산!$D$5,자동계산!$B$5))</f>
        <v/>
      </c>
      <c r="D2161" s="33">
        <f>IF($R$2136="","",IF($R$2136="언어와 매체",자동계산!$D$6,자동계산!$B$6))</f>
        <v/>
      </c>
      <c r="E2161" s="33">
        <f>IF($R$2136="","",IF($R$2136="언어와 매체",자동계산!$D$7,자동계산!$B$7))</f>
        <v/>
      </c>
      <c r="F2161" s="33">
        <f>IF($R$2136="","",IF($R$2136="언어와 매체",자동계산!$D$8,자동계산!$B$8))</f>
        <v/>
      </c>
      <c r="G2161" s="33">
        <f>IF($R$2136="","",IF($R$2136="언어와 매체",자동계산!$D$9,자동계산!$B$9))</f>
        <v/>
      </c>
      <c r="H2161" s="33">
        <f>IF($R$2136="","",IF($R$2136="언어와 매체",자동계산!$D$10,자동계산!$B$10))</f>
        <v/>
      </c>
      <c r="I2161" s="33">
        <f>IF($R$2136="","",IF($R$2136="언어와 매체",자동계산!$D$11,자동계산!$B$11))</f>
        <v/>
      </c>
      <c r="J2161" s="33">
        <f>IF($R$2136="","",IF($R$2136="언어와 매체",자동계산!$D$12,자동계산!$B$12))</f>
        <v/>
      </c>
      <c r="K2161" s="33">
        <f>IF($R$2136="","",IF($R$2136="언어와 매체",자동계산!$D$13,자동계산!$B$13))</f>
        <v/>
      </c>
      <c r="L2161" s="33">
        <f>IF($R$2136="","",IF($R$2136="언어와 매체",자동계산!$D$14,자동계산!$B$14))</f>
        <v/>
      </c>
      <c r="M2161" s="33">
        <f>IF($R$2136="","",IF($R$2136="언어와 매체",자동계산!$D$15,자동계산!$B$15))</f>
        <v/>
      </c>
      <c r="N2161" s="33">
        <f>IF($R$2136="","",IF($R$2136="언어와 매체",자동계산!$D$16,자동계산!$B$16))</f>
        <v/>
      </c>
      <c r="O2161" s="33">
        <f>IF($R$2136="","",IF($R$2136="언어와 매체",자동계산!$D$17,자동계산!$B$17))</f>
        <v/>
      </c>
      <c r="P2161" s="33">
        <f>IF($R$2136="","",IF($R$2136="언어와 매체",자동계산!$D$18,자동계산!$B$18))</f>
        <v/>
      </c>
    </row>
    <row r="2162">
      <c r="A2162" s="52" t="inlineStr">
        <is>
          <t>학생답안</t>
        </is>
      </c>
      <c r="B2162" s="33">
        <f>IF($R$2135="","",INDEX(전체채점!E$3:E$62,$R$2135))</f>
        <v/>
      </c>
      <c r="C2162" s="33">
        <f>IF($R$2135="","",INDEX(전체채점!F$3:F$62,$R$2135))</f>
        <v/>
      </c>
      <c r="D2162" s="33">
        <f>IF($R$2135="","",INDEX(전체채점!G$3:G$62,$R$2135))</f>
        <v/>
      </c>
      <c r="E2162" s="33">
        <f>IF($R$2135="","",INDEX(전체채점!H$3:H$62,$R$2135))</f>
        <v/>
      </c>
      <c r="F2162" s="33">
        <f>IF($R$2135="","",INDEX(전체채점!I$3:I$62,$R$2135))</f>
        <v/>
      </c>
      <c r="G2162" s="33">
        <f>IF($R$2135="","",INDEX(전체채점!J$3:J$62,$R$2135))</f>
        <v/>
      </c>
      <c r="H2162" s="33">
        <f>IF($R$2135="","",INDEX(전체채점!K$3:K$62,$R$2135))</f>
        <v/>
      </c>
      <c r="I2162" s="33">
        <f>IF($R$2135="","",INDEX(전체채점!L$3:L$62,$R$2135))</f>
        <v/>
      </c>
      <c r="J2162" s="33">
        <f>IF($R$2135="","",INDEX(전체채점!M$3:M$62,$R$2135))</f>
        <v/>
      </c>
      <c r="K2162" s="33">
        <f>IF($R$2135="","",INDEX(전체채점!N$3:N$62,$R$2135))</f>
        <v/>
      </c>
      <c r="L2162" s="33">
        <f>IF($R$2135="","",INDEX(전체채점!O$3:O$62,$R$2135))</f>
        <v/>
      </c>
      <c r="M2162" s="33">
        <f>IF($R$2135="","",INDEX(전체채점!P$3:P$62,$R$2135))</f>
        <v/>
      </c>
      <c r="N2162" s="33">
        <f>IF($R$2135="","",INDEX(전체채점!Q$3:Q$62,$R$2135))</f>
        <v/>
      </c>
      <c r="O2162" s="33">
        <f>IF($R$2135="","",INDEX(전체채점!R$3:R$62,$R$2135))</f>
        <v/>
      </c>
      <c r="P2162" s="33">
        <f>IF($R$2135="","",INDEX(전체채점!S$3:S$62,$R$2135))</f>
        <v/>
      </c>
    </row>
    <row r="2163">
      <c r="A2163" s="52" t="inlineStr">
        <is>
          <t>정오</t>
        </is>
      </c>
      <c r="B2163" s="33">
        <f>IF($R$2135="","",INDEX(전체채점!AX$3:AX$62,$R$2135))</f>
        <v/>
      </c>
      <c r="C2163" s="33">
        <f>IF($R$2135="","",INDEX(전체채점!AY$3:AY$62,$R$2135))</f>
        <v/>
      </c>
      <c r="D2163" s="33">
        <f>IF($R$2135="","",INDEX(전체채점!AZ$3:AZ$62,$R$2135))</f>
        <v/>
      </c>
      <c r="E2163" s="33">
        <f>IF($R$2135="","",INDEX(전체채점!BA$3:BA$62,$R$2135))</f>
        <v/>
      </c>
      <c r="F2163" s="33">
        <f>IF($R$2135="","",INDEX(전체채점!BB$3:BB$62,$R$2135))</f>
        <v/>
      </c>
      <c r="G2163" s="33">
        <f>IF($R$2135="","",INDEX(전체채점!BC$3:BC$62,$R$2135))</f>
        <v/>
      </c>
      <c r="H2163" s="33">
        <f>IF($R$2135="","",INDEX(전체채점!BD$3:BD$62,$R$2135))</f>
        <v/>
      </c>
      <c r="I2163" s="33">
        <f>IF($R$2135="","",INDEX(전체채점!BE$3:BE$62,$R$2135))</f>
        <v/>
      </c>
      <c r="J2163" s="33">
        <f>IF($R$2135="","",INDEX(전체채점!BF$3:BF$62,$R$2135))</f>
        <v/>
      </c>
      <c r="K2163" s="33">
        <f>IF($R$2135="","",INDEX(전체채점!BG$3:BG$62,$R$2135))</f>
        <v/>
      </c>
      <c r="L2163" s="33">
        <f>IF($R$2135="","",INDEX(전체채점!BH$3:BH$62,$R$2135))</f>
        <v/>
      </c>
      <c r="M2163" s="33">
        <f>IF($R$2135="","",INDEX(전체채점!BI$3:BI$62,$R$2135))</f>
        <v/>
      </c>
      <c r="N2163" s="33">
        <f>IF($R$2135="","",INDEX(전체채점!BJ$3:BJ$62,$R$2135))</f>
        <v/>
      </c>
      <c r="O2163" s="33">
        <f>IF($R$2135="","",INDEX(전체채점!BK$3:BK$62,$R$2135))</f>
        <v/>
      </c>
      <c r="P2163" s="33">
        <f>IF($R$2135="","",INDEX(전체채점!BL$3:BL$62,$R$2135))</f>
        <v/>
      </c>
    </row>
    <row r="2164">
      <c r="A2164" s="50" t="inlineStr">
        <is>
          <t>문항 번호</t>
        </is>
      </c>
      <c r="B2164" s="51" t="n">
        <v>16</v>
      </c>
      <c r="C2164" s="51" t="n">
        <v>17</v>
      </c>
      <c r="D2164" s="51" t="n">
        <v>18</v>
      </c>
      <c r="E2164" s="51" t="n">
        <v>19</v>
      </c>
      <c r="F2164" s="51" t="n">
        <v>20</v>
      </c>
      <c r="G2164" s="51" t="n">
        <v>21</v>
      </c>
      <c r="H2164" s="51" t="n">
        <v>22</v>
      </c>
      <c r="I2164" s="51" t="n">
        <v>23</v>
      </c>
      <c r="J2164" s="51" t="n">
        <v>24</v>
      </c>
      <c r="K2164" s="51" t="n">
        <v>25</v>
      </c>
      <c r="L2164" s="51" t="n">
        <v>26</v>
      </c>
      <c r="M2164" s="51" t="n">
        <v>27</v>
      </c>
      <c r="N2164" s="51" t="n">
        <v>28</v>
      </c>
      <c r="O2164" s="51" t="n">
        <v>29</v>
      </c>
      <c r="P2164" s="51" t="n">
        <v>30</v>
      </c>
    </row>
    <row r="2165">
      <c r="A2165" s="52" t="inlineStr">
        <is>
          <t>정답</t>
        </is>
      </c>
      <c r="B2165" s="33">
        <f>IF($R$2136="","",IF($R$2136="언어와 매체",자동계산!$D$19,자동계산!$B$19))</f>
        <v/>
      </c>
      <c r="C2165" s="33">
        <f>IF($R$2136="","",IF($R$2136="언어와 매체",자동계산!$D$20,자동계산!$B$20))</f>
        <v/>
      </c>
      <c r="D2165" s="33">
        <f>IF($R$2136="","",IF($R$2136="언어와 매체",자동계산!$D$21,자동계산!$B$21))</f>
        <v/>
      </c>
      <c r="E2165" s="33">
        <f>IF($R$2136="","",IF($R$2136="언어와 매체",자동계산!$D$22,자동계산!$B$22))</f>
        <v/>
      </c>
      <c r="F2165" s="33">
        <f>IF($R$2136="","",IF($R$2136="언어와 매체",자동계산!$D$23,자동계산!$B$23))</f>
        <v/>
      </c>
      <c r="G2165" s="33">
        <f>IF($R$2136="","",IF($R$2136="언어와 매체",자동계산!$D$24,자동계산!$B$24))</f>
        <v/>
      </c>
      <c r="H2165" s="33">
        <f>IF($R$2136="","",IF($R$2136="언어와 매체",자동계산!$D$25,자동계산!$B$25))</f>
        <v/>
      </c>
      <c r="I2165" s="33">
        <f>IF($R$2136="","",IF($R$2136="언어와 매체",자동계산!$D$26,자동계산!$B$26))</f>
        <v/>
      </c>
      <c r="J2165" s="33">
        <f>IF($R$2136="","",IF($R$2136="언어와 매체",자동계산!$D$27,자동계산!$B$27))</f>
        <v/>
      </c>
      <c r="K2165" s="33">
        <f>IF($R$2136="","",IF($R$2136="언어와 매체",자동계산!$D$28,자동계산!$B$28))</f>
        <v/>
      </c>
      <c r="L2165" s="33">
        <f>IF($R$2136="","",IF($R$2136="언어와 매체",자동계산!$D$29,자동계산!$B$29))</f>
        <v/>
      </c>
      <c r="M2165" s="33">
        <f>IF($R$2136="","",IF($R$2136="언어와 매체",자동계산!$D$30,자동계산!$B$30))</f>
        <v/>
      </c>
      <c r="N2165" s="33">
        <f>IF($R$2136="","",IF($R$2136="언어와 매체",자동계산!$D$31,자동계산!$B$31))</f>
        <v/>
      </c>
      <c r="O2165" s="33">
        <f>IF($R$2136="","",IF($R$2136="언어와 매체",자동계산!$D$32,자동계산!$B$32))</f>
        <v/>
      </c>
      <c r="P2165" s="33">
        <f>IF($R$2136="","",IF($R$2136="언어와 매체",자동계산!$D$33,자동계산!$B$33))</f>
        <v/>
      </c>
    </row>
    <row r="2166">
      <c r="A2166" s="52" t="inlineStr">
        <is>
          <t>학생답안</t>
        </is>
      </c>
      <c r="B2166" s="33">
        <f>IF($R$2135="","",INDEX(전체채점!T$3:T$62,$R$2135))</f>
        <v/>
      </c>
      <c r="C2166" s="33">
        <f>IF($R$2135="","",INDEX(전체채점!U$3:U$62,$R$2135))</f>
        <v/>
      </c>
      <c r="D2166" s="33">
        <f>IF($R$2135="","",INDEX(전체채점!V$3:V$62,$R$2135))</f>
        <v/>
      </c>
      <c r="E2166" s="33">
        <f>IF($R$2135="","",INDEX(전체채점!W$3:W$62,$R$2135))</f>
        <v/>
      </c>
      <c r="F2166" s="33">
        <f>IF($R$2135="","",INDEX(전체채점!X$3:X$62,$R$2135))</f>
        <v/>
      </c>
      <c r="G2166" s="33">
        <f>IF($R$2135="","",INDEX(전체채점!Y$3:Y$62,$R$2135))</f>
        <v/>
      </c>
      <c r="H2166" s="33">
        <f>IF($R$2135="","",INDEX(전체채점!Z$3:Z$62,$R$2135))</f>
        <v/>
      </c>
      <c r="I2166" s="33">
        <f>IF($R$2135="","",INDEX(전체채점!AA$3:AA$62,$R$2135))</f>
        <v/>
      </c>
      <c r="J2166" s="33">
        <f>IF($R$2135="","",INDEX(전체채점!AB$3:AB$62,$R$2135))</f>
        <v/>
      </c>
      <c r="K2166" s="33">
        <f>IF($R$2135="","",INDEX(전체채점!AC$3:AC$62,$R$2135))</f>
        <v/>
      </c>
      <c r="L2166" s="33">
        <f>IF($R$2135="","",INDEX(전체채점!AD$3:AD$62,$R$2135))</f>
        <v/>
      </c>
      <c r="M2166" s="33">
        <f>IF($R$2135="","",INDEX(전체채점!AE$3:AE$62,$R$2135))</f>
        <v/>
      </c>
      <c r="N2166" s="33">
        <f>IF($R$2135="","",INDEX(전체채점!AF$3:AF$62,$R$2135))</f>
        <v/>
      </c>
      <c r="O2166" s="33">
        <f>IF($R$2135="","",INDEX(전체채점!AG$3:AG$62,$R$2135))</f>
        <v/>
      </c>
      <c r="P2166" s="33">
        <f>IF($R$2135="","",INDEX(전체채점!AH$3:AH$62,$R$2135))</f>
        <v/>
      </c>
    </row>
    <row r="2167">
      <c r="A2167" s="52" t="inlineStr">
        <is>
          <t>정오</t>
        </is>
      </c>
      <c r="B2167" s="33">
        <f>IF($R$2135="","",INDEX(전체채점!BM$3:BM$62,$R$2135))</f>
        <v/>
      </c>
      <c r="C2167" s="33">
        <f>IF($R$2135="","",INDEX(전체채점!BN$3:BN$62,$R$2135))</f>
        <v/>
      </c>
      <c r="D2167" s="33">
        <f>IF($R$2135="","",INDEX(전체채점!BO$3:BO$62,$R$2135))</f>
        <v/>
      </c>
      <c r="E2167" s="33">
        <f>IF($R$2135="","",INDEX(전체채점!BP$3:BP$62,$R$2135))</f>
        <v/>
      </c>
      <c r="F2167" s="33">
        <f>IF($R$2135="","",INDEX(전체채점!BQ$3:BQ$62,$R$2135))</f>
        <v/>
      </c>
      <c r="G2167" s="33">
        <f>IF($R$2135="","",INDEX(전체채점!BR$3:BR$62,$R$2135))</f>
        <v/>
      </c>
      <c r="H2167" s="33">
        <f>IF($R$2135="","",INDEX(전체채점!BS$3:BS$62,$R$2135))</f>
        <v/>
      </c>
      <c r="I2167" s="33">
        <f>IF($R$2135="","",INDEX(전체채점!BT$3:BT$62,$R$2135))</f>
        <v/>
      </c>
      <c r="J2167" s="33">
        <f>IF($R$2135="","",INDEX(전체채점!BU$3:BU$62,$R$2135))</f>
        <v/>
      </c>
      <c r="K2167" s="33">
        <f>IF($R$2135="","",INDEX(전체채점!BV$3:BV$62,$R$2135))</f>
        <v/>
      </c>
      <c r="L2167" s="33">
        <f>IF($R$2135="","",INDEX(전체채점!BW$3:BW$62,$R$2135))</f>
        <v/>
      </c>
      <c r="M2167" s="33">
        <f>IF($R$2135="","",INDEX(전체채점!BX$3:BX$62,$R$2135))</f>
        <v/>
      </c>
      <c r="N2167" s="33">
        <f>IF($R$2135="","",INDEX(전체채점!BY$3:BY$62,$R$2135))</f>
        <v/>
      </c>
      <c r="O2167" s="33">
        <f>IF($R$2135="","",INDEX(전체채점!BZ$3:BZ$62,$R$2135))</f>
        <v/>
      </c>
      <c r="P2167" s="33">
        <f>IF($R$2135="","",INDEX(전체채점!CA$3:CA$62,$R$2135))</f>
        <v/>
      </c>
    </row>
    <row r="2168">
      <c r="A2168" s="50" t="inlineStr">
        <is>
          <t>문항 번호</t>
        </is>
      </c>
      <c r="B2168" s="51" t="n">
        <v>31</v>
      </c>
      <c r="C2168" s="51" t="n">
        <v>32</v>
      </c>
      <c r="D2168" s="51" t="n">
        <v>33</v>
      </c>
      <c r="E2168" s="51" t="n">
        <v>34</v>
      </c>
      <c r="F2168" s="51" t="n">
        <v>35</v>
      </c>
      <c r="G2168" s="51" t="n">
        <v>36</v>
      </c>
      <c r="H2168" s="51" t="n">
        <v>37</v>
      </c>
      <c r="I2168" s="51" t="n">
        <v>38</v>
      </c>
      <c r="J2168" s="51" t="n">
        <v>39</v>
      </c>
      <c r="K2168" s="51" t="n">
        <v>40</v>
      </c>
      <c r="L2168" s="51" t="n">
        <v>41</v>
      </c>
      <c r="M2168" s="51" t="n">
        <v>42</v>
      </c>
      <c r="N2168" s="51" t="n">
        <v>43</v>
      </c>
      <c r="O2168" s="51" t="n">
        <v>44</v>
      </c>
      <c r="P2168" s="51" t="n">
        <v>45</v>
      </c>
    </row>
    <row r="2169">
      <c r="A2169" s="52" t="inlineStr">
        <is>
          <t>정답</t>
        </is>
      </c>
      <c r="B2169" s="33">
        <f>IF($R$2136="","",IF($R$2136="언어와 매체",자동계산!$D$34,자동계산!$B$34))</f>
        <v/>
      </c>
      <c r="C2169" s="33">
        <f>IF($R$2136="","",IF($R$2136="언어와 매체",자동계산!$D$35,자동계산!$B$35))</f>
        <v/>
      </c>
      <c r="D2169" s="33">
        <f>IF($R$2136="","",IF($R$2136="언어와 매체",자동계산!$D$36,자동계산!$B$36))</f>
        <v/>
      </c>
      <c r="E2169" s="33">
        <f>IF($R$2136="","",IF($R$2136="언어와 매체",자동계산!$D$37,자동계산!$B$37))</f>
        <v/>
      </c>
      <c r="F2169" s="33">
        <f>IF($R$2136="","",IF($R$2136="언어와 매체",자동계산!$D$38,자동계산!$B$38))</f>
        <v/>
      </c>
      <c r="G2169" s="33">
        <f>IF($R$2136="","",IF($R$2136="언어와 매체",자동계산!$D$39,자동계산!$B$39))</f>
        <v/>
      </c>
      <c r="H2169" s="33">
        <f>IF($R$2136="","",IF($R$2136="언어와 매체",자동계산!$D$40,자동계산!$B$40))</f>
        <v/>
      </c>
      <c r="I2169" s="33">
        <f>IF($R$2136="","",IF($R$2136="언어와 매체",자동계산!$D$41,자동계산!$B$41))</f>
        <v/>
      </c>
      <c r="J2169" s="33">
        <f>IF($R$2136="","",IF($R$2136="언어와 매체",자동계산!$D$42,자동계산!$B$42))</f>
        <v/>
      </c>
      <c r="K2169" s="33">
        <f>IF($R$2136="","",IF($R$2136="언어와 매체",자동계산!$D$43,자동계산!$B$43))</f>
        <v/>
      </c>
      <c r="L2169" s="33">
        <f>IF($R$2136="","",IF($R$2136="언어와 매체",자동계산!$D$44,자동계산!$B$44))</f>
        <v/>
      </c>
      <c r="M2169" s="33">
        <f>IF($R$2136="","",IF($R$2136="언어와 매체",자동계산!$D$45,자동계산!$B$45))</f>
        <v/>
      </c>
      <c r="N2169" s="33">
        <f>IF($R$2136="","",IF($R$2136="언어와 매체",자동계산!$D$46,자동계산!$B$46))</f>
        <v/>
      </c>
      <c r="O2169" s="33">
        <f>IF($R$2136="","",IF($R$2136="언어와 매체",자동계산!$D$47,자동계산!$B$47))</f>
        <v/>
      </c>
      <c r="P2169" s="33">
        <f>IF($R$2136="","",IF($R$2136="언어와 매체",자동계산!$D$48,자동계산!$B$48))</f>
        <v/>
      </c>
    </row>
    <row r="2170">
      <c r="A2170" s="52" t="inlineStr">
        <is>
          <t>학생답안</t>
        </is>
      </c>
      <c r="B2170" s="33">
        <f>IF($R$2135="","",INDEX(전체채점!AI$3:AI$62,$R$2135))</f>
        <v/>
      </c>
      <c r="C2170" s="33">
        <f>IF($R$2135="","",INDEX(전체채점!AJ$3:AJ$62,$R$2135))</f>
        <v/>
      </c>
      <c r="D2170" s="33">
        <f>IF($R$2135="","",INDEX(전체채점!AK$3:AK$62,$R$2135))</f>
        <v/>
      </c>
      <c r="E2170" s="33">
        <f>IF($R$2135="","",INDEX(전체채점!AL$3:AL$62,$R$2135))</f>
        <v/>
      </c>
      <c r="F2170" s="33">
        <f>IF($R$2135="","",INDEX(전체채점!AM$3:AM$62,$R$2135))</f>
        <v/>
      </c>
      <c r="G2170" s="33">
        <f>IF($R$2135="","",INDEX(전체채점!AN$3:AN$62,$R$2135))</f>
        <v/>
      </c>
      <c r="H2170" s="33">
        <f>IF($R$2135="","",INDEX(전체채점!AO$3:AO$62,$R$2135))</f>
        <v/>
      </c>
      <c r="I2170" s="33">
        <f>IF($R$2135="","",INDEX(전체채점!AP$3:AP$62,$R$2135))</f>
        <v/>
      </c>
      <c r="J2170" s="33">
        <f>IF($R$2135="","",INDEX(전체채점!AQ$3:AQ$62,$R$2135))</f>
        <v/>
      </c>
      <c r="K2170" s="33">
        <f>IF($R$2135="","",INDEX(전체채점!AR$3:AR$62,$R$2135))</f>
        <v/>
      </c>
      <c r="L2170" s="33">
        <f>IF($R$2135="","",INDEX(전체채점!AS$3:AS$62,$R$2135))</f>
        <v/>
      </c>
      <c r="M2170" s="33">
        <f>IF($R$2135="","",INDEX(전체채점!AT$3:AT$62,$R$2135))</f>
        <v/>
      </c>
      <c r="N2170" s="33">
        <f>IF($R$2135="","",INDEX(전체채점!AU$3:AU$62,$R$2135))</f>
        <v/>
      </c>
      <c r="O2170" s="33">
        <f>IF($R$2135="","",INDEX(전체채점!AV$3:AV$62,$R$2135))</f>
        <v/>
      </c>
      <c r="P2170" s="33">
        <f>IF($R$2135="","",INDEX(전체채점!AW$3:AW$62,$R$2135))</f>
        <v/>
      </c>
    </row>
    <row r="2171">
      <c r="A2171" s="52" t="inlineStr">
        <is>
          <t>정오</t>
        </is>
      </c>
      <c r="B2171" s="33">
        <f>IF($R$2135="","",INDEX(전체채점!CB$3:CB$62,$R$2135))</f>
        <v/>
      </c>
      <c r="C2171" s="33">
        <f>IF($R$2135="","",INDEX(전체채점!CC$3:CC$62,$R$2135))</f>
        <v/>
      </c>
      <c r="D2171" s="33">
        <f>IF($R$2135="","",INDEX(전체채점!CD$3:CD$62,$R$2135))</f>
        <v/>
      </c>
      <c r="E2171" s="33">
        <f>IF($R$2135="","",INDEX(전체채점!CE$3:CE$62,$R$2135))</f>
        <v/>
      </c>
      <c r="F2171" s="33">
        <f>IF($R$2135="","",INDEX(전체채점!CF$3:CF$62,$R$2135))</f>
        <v/>
      </c>
      <c r="G2171" s="33">
        <f>IF($R$2135="","",INDEX(전체채점!CG$3:CG$62,$R$2135))</f>
        <v/>
      </c>
      <c r="H2171" s="33">
        <f>IF($R$2135="","",INDEX(전체채점!CH$3:CH$62,$R$2135))</f>
        <v/>
      </c>
      <c r="I2171" s="33">
        <f>IF($R$2135="","",INDEX(전체채점!CI$3:CI$62,$R$2135))</f>
        <v/>
      </c>
      <c r="J2171" s="33">
        <f>IF($R$2135="","",INDEX(전체채점!CJ$3:CJ$62,$R$2135))</f>
        <v/>
      </c>
      <c r="K2171" s="33">
        <f>IF($R$2135="","",INDEX(전체채점!CK$3:CK$62,$R$2135))</f>
        <v/>
      </c>
      <c r="L2171" s="33">
        <f>IF($R$2135="","",INDEX(전체채점!CL$3:CL$62,$R$2135))</f>
        <v/>
      </c>
      <c r="M2171" s="33">
        <f>IF($R$2135="","",INDEX(전체채점!CM$3:CM$62,$R$2135))</f>
        <v/>
      </c>
      <c r="N2171" s="33">
        <f>IF($R$2135="","",INDEX(전체채점!CN$3:CN$62,$R$2135))</f>
        <v/>
      </c>
      <c r="O2171" s="33">
        <f>IF($R$2135="","",INDEX(전체채점!CO$3:CO$62,$R$2135))</f>
        <v/>
      </c>
      <c r="P2171" s="33">
        <f>IF($R$2135="","",INDEX(전체채점!CP$3:CP$62,$R$2135))</f>
        <v/>
      </c>
    </row>
    <row r="2174" ht="34" customHeight="1">
      <c r="A2174" s="36">
        <f>IF($R$2176="","",회차설정!$B$2&amp;" 성적표")</f>
        <v/>
      </c>
    </row>
    <row r="2176">
      <c r="A2176" s="12" t="inlineStr">
        <is>
          <t>1. 학생정보</t>
        </is>
      </c>
      <c r="R2176" s="37">
        <f>IF(답안입력!$A$56="","",54)</f>
        <v/>
      </c>
      <c r="S2176" s="37">
        <f>IF($R$2177="","",IFERROR(IF($R$2177="언어와 매체",MATCH(1,회차설정!$G$13:$G$27,0),MATCH(1,회차설정!$F$13:$F$27,0)),""))</f>
        <v/>
      </c>
    </row>
    <row r="2177">
      <c r="A2177" s="13" t="inlineStr">
        <is>
          <t>성명</t>
        </is>
      </c>
      <c r="B2177" s="7" t="n"/>
      <c r="C2177" s="8" t="n"/>
      <c r="D2177" s="13" t="inlineStr">
        <is>
          <t>선택과목</t>
        </is>
      </c>
      <c r="E2177" s="7" t="n"/>
      <c r="F2177" s="7" t="n"/>
      <c r="G2177" s="8" t="n"/>
      <c r="H2177" s="13" t="inlineStr">
        <is>
          <t>학년</t>
        </is>
      </c>
      <c r="I2177" s="7" t="n"/>
      <c r="J2177" s="7" t="n"/>
      <c r="K2177" s="8" t="n"/>
      <c r="L2177" s="13" t="inlineStr">
        <is>
          <t>시행일</t>
        </is>
      </c>
      <c r="M2177" s="7" t="n"/>
      <c r="N2177" s="7" t="n"/>
      <c r="O2177" s="7" t="n"/>
      <c r="P2177" s="8" t="n"/>
      <c r="R2177" s="37">
        <f>IF($R$2176="","",INDEX(전체채점!$B$3:$B$62,$R$2176))</f>
        <v/>
      </c>
      <c r="S2177" s="37">
        <f>IF($R$2177="","",IFERROR(IF($R$2177="언어와 매체",MATCH(2,회차설정!$G$13:$G$27,0),MATCH(2,회차설정!$F$13:$F$27,0)),""))</f>
        <v/>
      </c>
    </row>
    <row r="2178" ht="26" customHeight="1">
      <c r="A2178" s="39">
        <f>IF($R$2176="","",INDEX(답안입력!$A$3:$A$62,$R$2176))</f>
        <v/>
      </c>
      <c r="B2178" s="7" t="n"/>
      <c r="C2178" s="8" t="n"/>
      <c r="D2178" s="39">
        <f>IF($R$2176="","",INDEX(답안입력!$C$3:$C$62,$R$2176))</f>
        <v/>
      </c>
      <c r="E2178" s="7" t="n"/>
      <c r="F2178" s="7" t="n"/>
      <c r="G2178" s="8" t="n"/>
      <c r="H2178" s="39">
        <f>IF($R$2176="","",INDEX(답안입력!$B$3:$B$62,$R$2176))</f>
        <v/>
      </c>
      <c r="I2178" s="7" t="n"/>
      <c r="J2178" s="7" t="n"/>
      <c r="K2178" s="8" t="n"/>
      <c r="L2178" s="40">
        <f>회차설정!$B$3</f>
        <v/>
      </c>
      <c r="M2178" s="7" t="n"/>
      <c r="N2178" s="7" t="n"/>
      <c r="O2178" s="7" t="n"/>
      <c r="P2178" s="8" t="n"/>
      <c r="R2178" s="37">
        <f>IF($R$2177="언어와 매체",회차설정!$B$9,회차설정!$B$8)</f>
        <v/>
      </c>
      <c r="S2178" s="37">
        <f>IF($R$2177="","",IFERROR(IF($R$2177="언어와 매체",MATCH(3,회차설정!$G$13:$G$27,0),MATCH(3,회차설정!$F$13:$F$27,0)),""))</f>
        <v/>
      </c>
    </row>
    <row r="2179">
      <c r="R2179" s="37">
        <f>IF($R$2177="언어와 매체",회차설정!$C$9,회차설정!$C$8)</f>
        <v/>
      </c>
      <c r="S2179" s="37">
        <f>IF($R$2177="","",IFERROR(IF($R$2177="언어와 매체",MATCH(4,회차설정!$G$13:$G$27,0),MATCH(4,회차설정!$F$13:$F$27,0)),""))</f>
        <v/>
      </c>
    </row>
    <row r="2180">
      <c r="A2180" s="12" t="inlineStr">
        <is>
          <t>2. 성적</t>
        </is>
      </c>
      <c r="R2180" s="37">
        <f>IF($R$2177="언어와 매체",회차설정!$D$9,회차설정!$D$8)</f>
        <v/>
      </c>
      <c r="S2180" s="37">
        <f>IF($R$2177="","",IFERROR(IF($R$2177="언어와 매체",MATCH(5,회차설정!$G$13:$G$27,0),MATCH(5,회차설정!$F$13:$F$27,0)),""))</f>
        <v/>
      </c>
    </row>
    <row r="2181">
      <c r="A2181" s="13" t="inlineStr">
        <is>
          <t>점수 (100점 만점)</t>
        </is>
      </c>
      <c r="B2181" s="7" t="n"/>
      <c r="C2181" s="7" t="n"/>
      <c r="D2181" s="7" t="n"/>
      <c r="E2181" s="8" t="n"/>
      <c r="F2181" s="13" t="inlineStr">
        <is>
          <t>등급</t>
        </is>
      </c>
      <c r="G2181" s="7" t="n"/>
      <c r="H2181" s="8" t="n"/>
      <c r="I2181" s="13" t="inlineStr">
        <is>
          <t>등급컷</t>
        </is>
      </c>
      <c r="J2181" s="7" t="n"/>
      <c r="K2181" s="7" t="n"/>
      <c r="L2181" s="8" t="n"/>
      <c r="M2181" s="13" t="inlineStr">
        <is>
          <t>같은 선택과목 평균</t>
        </is>
      </c>
      <c r="N2181" s="7" t="n"/>
      <c r="O2181" s="7" t="n"/>
      <c r="P2181" s="8" t="n"/>
      <c r="R2181" s="37">
        <f>IF($R$2177="언어와 매체",회차설정!$E$9,회차설정!$E$8)</f>
        <v/>
      </c>
      <c r="S2181" s="37">
        <f>IF($R$2177="","",IFERROR(IF($R$2177="언어와 매체",MATCH(6,회차설정!$G$13:$G$27,0),MATCH(6,회차설정!$F$13:$F$27,0)),""))</f>
        <v/>
      </c>
    </row>
    <row r="2182" ht="34" customHeight="1">
      <c r="A2182" s="41">
        <f>IF($R$2176="","",INDEX(전체채점!$C$3:$C$62,$R$2176))</f>
        <v/>
      </c>
      <c r="B2182" s="7" t="n"/>
      <c r="C2182" s="7" t="n"/>
      <c r="D2182" s="7" t="n"/>
      <c r="E2182" s="8" t="n"/>
      <c r="F2182" s="42">
        <f>IF($R$2176="","",INDEX(전체채점!$D$3:$D$62,$R$2176))</f>
        <v/>
      </c>
      <c r="G2182" s="7" t="n"/>
      <c r="H2182" s="8" t="n"/>
      <c r="I2182" s="43">
        <f>IF($R$2176="","",$R$2178&amp;"-"&amp;$R$2179&amp;"-"&amp;$R$2180&amp;"-"&amp;$R$2181)</f>
        <v/>
      </c>
      <c r="J2182" s="7" t="n"/>
      <c r="K2182" s="7" t="n"/>
      <c r="L2182" s="8" t="n"/>
      <c r="M2182" s="44">
        <f>IFERROR(AVERAGEIF(전체채점!$B$3:$B$62,$R$2177,전체채점!$C$3:$C$62),"")</f>
        <v/>
      </c>
      <c r="N2182" s="7" t="n"/>
      <c r="O2182" s="7" t="n"/>
      <c r="P2182" s="8" t="n"/>
      <c r="S2182" s="37">
        <f>IF($R$2177="","",IFERROR(IF($R$2177="언어와 매체",MATCH(7,회차설정!$G$13:$G$27,0),MATCH(7,회차설정!$F$13:$F$27,0)),""))</f>
        <v/>
      </c>
    </row>
    <row r="2183">
      <c r="S2183" s="37">
        <f>IF($R$2177="","",IFERROR(IF($R$2177="언어와 매체",MATCH(8,회차설정!$G$13:$G$27,0),MATCH(8,회차설정!$F$13:$F$27,0)),""))</f>
        <v/>
      </c>
    </row>
    <row r="2184">
      <c r="A2184" s="12" t="inlineStr">
        <is>
          <t>3. 영역분류별 성취도 분석</t>
        </is>
      </c>
      <c r="F2184" s="45">
        <f>IF(OR($R$2176="",$E2198=""),"",IF($E2198=INDEX(전체채점!$C$3:$C$62,$R$2176),"","※ 회차설정의 영역 표를 확인하세요 — 영역 합계와 점수가 다릅니다"))</f>
        <v/>
      </c>
      <c r="S2184" s="37">
        <f>IF($R$2177="","",IFERROR(IF($R$2177="언어와 매체",MATCH(9,회차설정!$G$13:$G$27,0),MATCH(9,회차설정!$F$13:$F$27,0)),""))</f>
        <v/>
      </c>
    </row>
    <row r="2185">
      <c r="A2185" s="13" t="inlineStr">
        <is>
          <t>분류</t>
        </is>
      </c>
      <c r="B2185" s="13" t="inlineStr">
        <is>
          <t>영역</t>
        </is>
      </c>
      <c r="C2185" s="8" t="n"/>
      <c r="D2185" s="13" t="inlineStr">
        <is>
          <t>배점</t>
        </is>
      </c>
      <c r="E2185" s="13" t="inlineStr">
        <is>
          <t>득점</t>
        </is>
      </c>
      <c r="F2185" s="13" t="inlineStr">
        <is>
          <t>성취도(%)</t>
        </is>
      </c>
      <c r="G2185" s="8" t="n"/>
      <c r="H2185" s="13" t="inlineStr"/>
      <c r="I2185" s="7" t="n"/>
      <c r="J2185" s="7" t="n"/>
      <c r="K2185" s="7" t="n"/>
      <c r="L2185" s="7" t="n"/>
      <c r="M2185" s="7" t="n"/>
      <c r="N2185" s="7" t="n"/>
      <c r="O2185" s="7" t="n"/>
      <c r="P2185" s="8" t="n"/>
      <c r="S2185" s="37">
        <f>IF($R$2177="","",IFERROR(IF($R$2177="언어와 매체",MATCH(10,회차설정!$G$13:$G$27,0),MATCH(10,회차설정!$F$13:$F$27,0)),""))</f>
        <v/>
      </c>
    </row>
    <row r="2186">
      <c r="A2186" s="14">
        <f>IF($S$2176="","",INDEX(회차설정!$A$13:$A$27,$S$2176))</f>
        <v/>
      </c>
      <c r="B2186" s="14">
        <f>IF($S$2176="","",INDEX(회차설정!$B$13:$B$27,$S$2176))</f>
        <v/>
      </c>
      <c r="C2186" s="8" t="n"/>
      <c r="D2186" s="14">
        <f>IF($S$2176="","",IF($R$2177="언어와 매체",SUMPRODUCT((자동계산!$A$4:$A$48&gt;=INDEX(회차설정!$C$13:$C$27,$S$2176))*(자동계산!$A$4:$A$48&lt;=INDEX(회차설정!$D$13:$D$27,$S$2176))*자동계산!$E$4:$E$48),SUMPRODUCT((자동계산!$A$4:$A$48&gt;=INDEX(회차설정!$C$13:$C$27,$S$2176))*(자동계산!$A$4:$A$48&lt;=INDEX(회차설정!$D$13:$D$27,$S$2176))*자동계산!$C$4:$C$48)))</f>
        <v/>
      </c>
      <c r="E2186" s="14">
        <f>IF(OR($S$2176="",$R$2176=""),"",SUM(OFFSET(전체채점!$AW$2,$R$2176,INDEX(회차설정!$C$13:$C$27,$S$2176),1,INDEX(회차설정!$D$13:$D$27,$S$2176)-INDEX(회차설정!$C$13:$C$27,$S$2176)+1)))</f>
        <v/>
      </c>
      <c r="F2186" s="46">
        <f>IF(OR($S$2176="",$D2186=0,$D2186="",$E2186=""),"",$E2186/$D2186*100)</f>
        <v/>
      </c>
      <c r="G2186" s="8" t="n"/>
      <c r="H2186" s="47">
        <f>IF($F2186="","",REPT("■",ROUND($F2186/5,0)))</f>
        <v/>
      </c>
      <c r="I2186" s="7" t="n"/>
      <c r="J2186" s="7" t="n"/>
      <c r="K2186" s="7" t="n"/>
      <c r="L2186" s="7" t="n"/>
      <c r="M2186" s="7" t="n"/>
      <c r="N2186" s="7" t="n"/>
      <c r="O2186" s="7" t="n"/>
      <c r="P2186" s="8" t="n"/>
      <c r="S2186" s="37">
        <f>IF($R$2177="","",IFERROR(IF($R$2177="언어와 매체",MATCH(11,회차설정!$G$13:$G$27,0),MATCH(11,회차설정!$F$13:$F$27,0)),""))</f>
        <v/>
      </c>
    </row>
    <row r="2187">
      <c r="A2187" s="14">
        <f>IF($S$2177="","",INDEX(회차설정!$A$13:$A$27,$S$2177))</f>
        <v/>
      </c>
      <c r="B2187" s="14">
        <f>IF($S$2177="","",INDEX(회차설정!$B$13:$B$27,$S$2177))</f>
        <v/>
      </c>
      <c r="C2187" s="8" t="n"/>
      <c r="D2187" s="14">
        <f>IF($S$2177="","",IF($R$2177="언어와 매체",SUMPRODUCT((자동계산!$A$4:$A$48&gt;=INDEX(회차설정!$C$13:$C$27,$S$2177))*(자동계산!$A$4:$A$48&lt;=INDEX(회차설정!$D$13:$D$27,$S$2177))*자동계산!$E$4:$E$48),SUMPRODUCT((자동계산!$A$4:$A$48&gt;=INDEX(회차설정!$C$13:$C$27,$S$2177))*(자동계산!$A$4:$A$48&lt;=INDEX(회차설정!$D$13:$D$27,$S$2177))*자동계산!$C$4:$C$48)))</f>
        <v/>
      </c>
      <c r="E2187" s="14">
        <f>IF(OR($S$2177="",$R$2176=""),"",SUM(OFFSET(전체채점!$AW$2,$R$2176,INDEX(회차설정!$C$13:$C$27,$S$2177),1,INDEX(회차설정!$D$13:$D$27,$S$2177)-INDEX(회차설정!$C$13:$C$27,$S$2177)+1)))</f>
        <v/>
      </c>
      <c r="F2187" s="46">
        <f>IF(OR($S$2177="",$D2187=0,$D2187="",$E2187=""),"",$E2187/$D2187*100)</f>
        <v/>
      </c>
      <c r="G2187" s="8" t="n"/>
      <c r="H2187" s="47">
        <f>IF($F2187="","",REPT("■",ROUND($F2187/5,0)))</f>
        <v/>
      </c>
      <c r="I2187" s="7" t="n"/>
      <c r="J2187" s="7" t="n"/>
      <c r="K2187" s="7" t="n"/>
      <c r="L2187" s="7" t="n"/>
      <c r="M2187" s="7" t="n"/>
      <c r="N2187" s="7" t="n"/>
      <c r="O2187" s="7" t="n"/>
      <c r="P2187" s="8" t="n"/>
      <c r="S2187" s="37">
        <f>IF($R$2177="","",IFERROR(IF($R$2177="언어와 매체",MATCH(12,회차설정!$G$13:$G$27,0),MATCH(12,회차설정!$F$13:$F$27,0)),""))</f>
        <v/>
      </c>
    </row>
    <row r="2188">
      <c r="A2188" s="14">
        <f>IF($S$2178="","",INDEX(회차설정!$A$13:$A$27,$S$2178))</f>
        <v/>
      </c>
      <c r="B2188" s="14">
        <f>IF($S$2178="","",INDEX(회차설정!$B$13:$B$27,$S$2178))</f>
        <v/>
      </c>
      <c r="C2188" s="8" t="n"/>
      <c r="D2188" s="14">
        <f>IF($S$2178="","",IF($R$2177="언어와 매체",SUMPRODUCT((자동계산!$A$4:$A$48&gt;=INDEX(회차설정!$C$13:$C$27,$S$2178))*(자동계산!$A$4:$A$48&lt;=INDEX(회차설정!$D$13:$D$27,$S$2178))*자동계산!$E$4:$E$48),SUMPRODUCT((자동계산!$A$4:$A$48&gt;=INDEX(회차설정!$C$13:$C$27,$S$2178))*(자동계산!$A$4:$A$48&lt;=INDEX(회차설정!$D$13:$D$27,$S$2178))*자동계산!$C$4:$C$48)))</f>
        <v/>
      </c>
      <c r="E2188" s="14">
        <f>IF(OR($S$2178="",$R$2176=""),"",SUM(OFFSET(전체채점!$AW$2,$R$2176,INDEX(회차설정!$C$13:$C$27,$S$2178),1,INDEX(회차설정!$D$13:$D$27,$S$2178)-INDEX(회차설정!$C$13:$C$27,$S$2178)+1)))</f>
        <v/>
      </c>
      <c r="F2188" s="46">
        <f>IF(OR($S$2178="",$D2188=0,$D2188="",$E2188=""),"",$E2188/$D2188*100)</f>
        <v/>
      </c>
      <c r="G2188" s="8" t="n"/>
      <c r="H2188" s="47">
        <f>IF($F2188="","",REPT("■",ROUND($F2188/5,0)))</f>
        <v/>
      </c>
      <c r="I2188" s="7" t="n"/>
      <c r="J2188" s="7" t="n"/>
      <c r="K2188" s="7" t="n"/>
      <c r="L2188" s="7" t="n"/>
      <c r="M2188" s="7" t="n"/>
      <c r="N2188" s="7" t="n"/>
      <c r="O2188" s="7" t="n"/>
      <c r="P2188" s="8" t="n"/>
    </row>
    <row r="2189">
      <c r="A2189" s="14">
        <f>IF($S$2179="","",INDEX(회차설정!$A$13:$A$27,$S$2179))</f>
        <v/>
      </c>
      <c r="B2189" s="14">
        <f>IF($S$2179="","",INDEX(회차설정!$B$13:$B$27,$S$2179))</f>
        <v/>
      </c>
      <c r="C2189" s="8" t="n"/>
      <c r="D2189" s="14">
        <f>IF($S$2179="","",IF($R$2177="언어와 매체",SUMPRODUCT((자동계산!$A$4:$A$48&gt;=INDEX(회차설정!$C$13:$C$27,$S$2179))*(자동계산!$A$4:$A$48&lt;=INDEX(회차설정!$D$13:$D$27,$S$2179))*자동계산!$E$4:$E$48),SUMPRODUCT((자동계산!$A$4:$A$48&gt;=INDEX(회차설정!$C$13:$C$27,$S$2179))*(자동계산!$A$4:$A$48&lt;=INDEX(회차설정!$D$13:$D$27,$S$2179))*자동계산!$C$4:$C$48)))</f>
        <v/>
      </c>
      <c r="E2189" s="14">
        <f>IF(OR($S$2179="",$R$2176=""),"",SUM(OFFSET(전체채점!$AW$2,$R$2176,INDEX(회차설정!$C$13:$C$27,$S$2179),1,INDEX(회차설정!$D$13:$D$27,$S$2179)-INDEX(회차설정!$C$13:$C$27,$S$2179)+1)))</f>
        <v/>
      </c>
      <c r="F2189" s="46">
        <f>IF(OR($S$2179="",$D2189=0,$D2189="",$E2189=""),"",$E2189/$D2189*100)</f>
        <v/>
      </c>
      <c r="G2189" s="8" t="n"/>
      <c r="H2189" s="47">
        <f>IF($F2189="","",REPT("■",ROUND($F2189/5,0)))</f>
        <v/>
      </c>
      <c r="I2189" s="7" t="n"/>
      <c r="J2189" s="7" t="n"/>
      <c r="K2189" s="7" t="n"/>
      <c r="L2189" s="7" t="n"/>
      <c r="M2189" s="7" t="n"/>
      <c r="N2189" s="7" t="n"/>
      <c r="O2189" s="7" t="n"/>
      <c r="P2189" s="8" t="n"/>
    </row>
    <row r="2190">
      <c r="A2190" s="14">
        <f>IF($S$2180="","",INDEX(회차설정!$A$13:$A$27,$S$2180))</f>
        <v/>
      </c>
      <c r="B2190" s="14">
        <f>IF($S$2180="","",INDEX(회차설정!$B$13:$B$27,$S$2180))</f>
        <v/>
      </c>
      <c r="C2190" s="8" t="n"/>
      <c r="D2190" s="14">
        <f>IF($S$2180="","",IF($R$2177="언어와 매체",SUMPRODUCT((자동계산!$A$4:$A$48&gt;=INDEX(회차설정!$C$13:$C$27,$S$2180))*(자동계산!$A$4:$A$48&lt;=INDEX(회차설정!$D$13:$D$27,$S$2180))*자동계산!$E$4:$E$48),SUMPRODUCT((자동계산!$A$4:$A$48&gt;=INDEX(회차설정!$C$13:$C$27,$S$2180))*(자동계산!$A$4:$A$48&lt;=INDEX(회차설정!$D$13:$D$27,$S$2180))*자동계산!$C$4:$C$48)))</f>
        <v/>
      </c>
      <c r="E2190" s="14">
        <f>IF(OR($S$2180="",$R$2176=""),"",SUM(OFFSET(전체채점!$AW$2,$R$2176,INDEX(회차설정!$C$13:$C$27,$S$2180),1,INDEX(회차설정!$D$13:$D$27,$S$2180)-INDEX(회차설정!$C$13:$C$27,$S$2180)+1)))</f>
        <v/>
      </c>
      <c r="F2190" s="46">
        <f>IF(OR($S$2180="",$D2190=0,$D2190="",$E2190=""),"",$E2190/$D2190*100)</f>
        <v/>
      </c>
      <c r="G2190" s="8" t="n"/>
      <c r="H2190" s="47">
        <f>IF($F2190="","",REPT("■",ROUND($F2190/5,0)))</f>
        <v/>
      </c>
      <c r="I2190" s="7" t="n"/>
      <c r="J2190" s="7" t="n"/>
      <c r="K2190" s="7" t="n"/>
      <c r="L2190" s="7" t="n"/>
      <c r="M2190" s="7" t="n"/>
      <c r="N2190" s="7" t="n"/>
      <c r="O2190" s="7" t="n"/>
      <c r="P2190" s="8" t="n"/>
    </row>
    <row r="2191">
      <c r="A2191" s="14">
        <f>IF($S$2181="","",INDEX(회차설정!$A$13:$A$27,$S$2181))</f>
        <v/>
      </c>
      <c r="B2191" s="14">
        <f>IF($S$2181="","",INDEX(회차설정!$B$13:$B$27,$S$2181))</f>
        <v/>
      </c>
      <c r="C2191" s="8" t="n"/>
      <c r="D2191" s="14">
        <f>IF($S$2181="","",IF($R$2177="언어와 매체",SUMPRODUCT((자동계산!$A$4:$A$48&gt;=INDEX(회차설정!$C$13:$C$27,$S$2181))*(자동계산!$A$4:$A$48&lt;=INDEX(회차설정!$D$13:$D$27,$S$2181))*자동계산!$E$4:$E$48),SUMPRODUCT((자동계산!$A$4:$A$48&gt;=INDEX(회차설정!$C$13:$C$27,$S$2181))*(자동계산!$A$4:$A$48&lt;=INDEX(회차설정!$D$13:$D$27,$S$2181))*자동계산!$C$4:$C$48)))</f>
        <v/>
      </c>
      <c r="E2191" s="14">
        <f>IF(OR($S$2181="",$R$2176=""),"",SUM(OFFSET(전체채점!$AW$2,$R$2176,INDEX(회차설정!$C$13:$C$27,$S$2181),1,INDEX(회차설정!$D$13:$D$27,$S$2181)-INDEX(회차설정!$C$13:$C$27,$S$2181)+1)))</f>
        <v/>
      </c>
      <c r="F2191" s="46">
        <f>IF(OR($S$2181="",$D2191=0,$D2191="",$E2191=""),"",$E2191/$D2191*100)</f>
        <v/>
      </c>
      <c r="G2191" s="8" t="n"/>
      <c r="H2191" s="47">
        <f>IF($F2191="","",REPT("■",ROUND($F2191/5,0)))</f>
        <v/>
      </c>
      <c r="I2191" s="7" t="n"/>
      <c r="J2191" s="7" t="n"/>
      <c r="K2191" s="7" t="n"/>
      <c r="L2191" s="7" t="n"/>
      <c r="M2191" s="7" t="n"/>
      <c r="N2191" s="7" t="n"/>
      <c r="O2191" s="7" t="n"/>
      <c r="P2191" s="8" t="n"/>
    </row>
    <row r="2192">
      <c r="A2192" s="14">
        <f>IF($S$2182="","",INDEX(회차설정!$A$13:$A$27,$S$2182))</f>
        <v/>
      </c>
      <c r="B2192" s="14">
        <f>IF($S$2182="","",INDEX(회차설정!$B$13:$B$27,$S$2182))</f>
        <v/>
      </c>
      <c r="C2192" s="8" t="n"/>
      <c r="D2192" s="14">
        <f>IF($S$2182="","",IF($R$2177="언어와 매체",SUMPRODUCT((자동계산!$A$4:$A$48&gt;=INDEX(회차설정!$C$13:$C$27,$S$2182))*(자동계산!$A$4:$A$48&lt;=INDEX(회차설정!$D$13:$D$27,$S$2182))*자동계산!$E$4:$E$48),SUMPRODUCT((자동계산!$A$4:$A$48&gt;=INDEX(회차설정!$C$13:$C$27,$S$2182))*(자동계산!$A$4:$A$48&lt;=INDEX(회차설정!$D$13:$D$27,$S$2182))*자동계산!$C$4:$C$48)))</f>
        <v/>
      </c>
      <c r="E2192" s="14">
        <f>IF(OR($S$2182="",$R$2176=""),"",SUM(OFFSET(전체채점!$AW$2,$R$2176,INDEX(회차설정!$C$13:$C$27,$S$2182),1,INDEX(회차설정!$D$13:$D$27,$S$2182)-INDEX(회차설정!$C$13:$C$27,$S$2182)+1)))</f>
        <v/>
      </c>
      <c r="F2192" s="46">
        <f>IF(OR($S$2182="",$D2192=0,$D2192="",$E2192=""),"",$E2192/$D2192*100)</f>
        <v/>
      </c>
      <c r="G2192" s="8" t="n"/>
      <c r="H2192" s="47">
        <f>IF($F2192="","",REPT("■",ROUND($F2192/5,0)))</f>
        <v/>
      </c>
      <c r="I2192" s="7" t="n"/>
      <c r="J2192" s="7" t="n"/>
      <c r="K2192" s="7" t="n"/>
      <c r="L2192" s="7" t="n"/>
      <c r="M2192" s="7" t="n"/>
      <c r="N2192" s="7" t="n"/>
      <c r="O2192" s="7" t="n"/>
      <c r="P2192" s="8" t="n"/>
    </row>
    <row r="2193">
      <c r="A2193" s="14">
        <f>IF($S$2183="","",INDEX(회차설정!$A$13:$A$27,$S$2183))</f>
        <v/>
      </c>
      <c r="B2193" s="14">
        <f>IF($S$2183="","",INDEX(회차설정!$B$13:$B$27,$S$2183))</f>
        <v/>
      </c>
      <c r="C2193" s="8" t="n"/>
      <c r="D2193" s="14">
        <f>IF($S$2183="","",IF($R$2177="언어와 매체",SUMPRODUCT((자동계산!$A$4:$A$48&gt;=INDEX(회차설정!$C$13:$C$27,$S$2183))*(자동계산!$A$4:$A$48&lt;=INDEX(회차설정!$D$13:$D$27,$S$2183))*자동계산!$E$4:$E$48),SUMPRODUCT((자동계산!$A$4:$A$48&gt;=INDEX(회차설정!$C$13:$C$27,$S$2183))*(자동계산!$A$4:$A$48&lt;=INDEX(회차설정!$D$13:$D$27,$S$2183))*자동계산!$C$4:$C$48)))</f>
        <v/>
      </c>
      <c r="E2193" s="14">
        <f>IF(OR($S$2183="",$R$2176=""),"",SUM(OFFSET(전체채점!$AW$2,$R$2176,INDEX(회차설정!$C$13:$C$27,$S$2183),1,INDEX(회차설정!$D$13:$D$27,$S$2183)-INDEX(회차설정!$C$13:$C$27,$S$2183)+1)))</f>
        <v/>
      </c>
      <c r="F2193" s="46">
        <f>IF(OR($S$2183="",$D2193=0,$D2193="",$E2193=""),"",$E2193/$D2193*100)</f>
        <v/>
      </c>
      <c r="G2193" s="8" t="n"/>
      <c r="H2193" s="47">
        <f>IF($F2193="","",REPT("■",ROUND($F2193/5,0)))</f>
        <v/>
      </c>
      <c r="I2193" s="7" t="n"/>
      <c r="J2193" s="7" t="n"/>
      <c r="K2193" s="7" t="n"/>
      <c r="L2193" s="7" t="n"/>
      <c r="M2193" s="7" t="n"/>
      <c r="N2193" s="7" t="n"/>
      <c r="O2193" s="7" t="n"/>
      <c r="P2193" s="8" t="n"/>
    </row>
    <row r="2194">
      <c r="A2194" s="14">
        <f>IF($S$2184="","",INDEX(회차설정!$A$13:$A$27,$S$2184))</f>
        <v/>
      </c>
      <c r="B2194" s="14">
        <f>IF($S$2184="","",INDEX(회차설정!$B$13:$B$27,$S$2184))</f>
        <v/>
      </c>
      <c r="C2194" s="8" t="n"/>
      <c r="D2194" s="14">
        <f>IF($S$2184="","",IF($R$2177="언어와 매체",SUMPRODUCT((자동계산!$A$4:$A$48&gt;=INDEX(회차설정!$C$13:$C$27,$S$2184))*(자동계산!$A$4:$A$48&lt;=INDEX(회차설정!$D$13:$D$27,$S$2184))*자동계산!$E$4:$E$48),SUMPRODUCT((자동계산!$A$4:$A$48&gt;=INDEX(회차설정!$C$13:$C$27,$S$2184))*(자동계산!$A$4:$A$48&lt;=INDEX(회차설정!$D$13:$D$27,$S$2184))*자동계산!$C$4:$C$48)))</f>
        <v/>
      </c>
      <c r="E2194" s="14">
        <f>IF(OR($S$2184="",$R$2176=""),"",SUM(OFFSET(전체채점!$AW$2,$R$2176,INDEX(회차설정!$C$13:$C$27,$S$2184),1,INDEX(회차설정!$D$13:$D$27,$S$2184)-INDEX(회차설정!$C$13:$C$27,$S$2184)+1)))</f>
        <v/>
      </c>
      <c r="F2194" s="46">
        <f>IF(OR($S$2184="",$D2194=0,$D2194="",$E2194=""),"",$E2194/$D2194*100)</f>
        <v/>
      </c>
      <c r="G2194" s="8" t="n"/>
      <c r="H2194" s="47">
        <f>IF($F2194="","",REPT("■",ROUND($F2194/5,0)))</f>
        <v/>
      </c>
      <c r="I2194" s="7" t="n"/>
      <c r="J2194" s="7" t="n"/>
      <c r="K2194" s="7" t="n"/>
      <c r="L2194" s="7" t="n"/>
      <c r="M2194" s="7" t="n"/>
      <c r="N2194" s="7" t="n"/>
      <c r="O2194" s="7" t="n"/>
      <c r="P2194" s="8" t="n"/>
    </row>
    <row r="2195">
      <c r="A2195" s="14">
        <f>IF($S$2185="","",INDEX(회차설정!$A$13:$A$27,$S$2185))</f>
        <v/>
      </c>
      <c r="B2195" s="14">
        <f>IF($S$2185="","",INDEX(회차설정!$B$13:$B$27,$S$2185))</f>
        <v/>
      </c>
      <c r="C2195" s="8" t="n"/>
      <c r="D2195" s="14">
        <f>IF($S$2185="","",IF($R$2177="언어와 매체",SUMPRODUCT((자동계산!$A$4:$A$48&gt;=INDEX(회차설정!$C$13:$C$27,$S$2185))*(자동계산!$A$4:$A$48&lt;=INDEX(회차설정!$D$13:$D$27,$S$2185))*자동계산!$E$4:$E$48),SUMPRODUCT((자동계산!$A$4:$A$48&gt;=INDEX(회차설정!$C$13:$C$27,$S$2185))*(자동계산!$A$4:$A$48&lt;=INDEX(회차설정!$D$13:$D$27,$S$2185))*자동계산!$C$4:$C$48)))</f>
        <v/>
      </c>
      <c r="E2195" s="14">
        <f>IF(OR($S$2185="",$R$2176=""),"",SUM(OFFSET(전체채점!$AW$2,$R$2176,INDEX(회차설정!$C$13:$C$27,$S$2185),1,INDEX(회차설정!$D$13:$D$27,$S$2185)-INDEX(회차설정!$C$13:$C$27,$S$2185)+1)))</f>
        <v/>
      </c>
      <c r="F2195" s="46">
        <f>IF(OR($S$2185="",$D2195=0,$D2195="",$E2195=""),"",$E2195/$D2195*100)</f>
        <v/>
      </c>
      <c r="G2195" s="8" t="n"/>
      <c r="H2195" s="47">
        <f>IF($F2195="","",REPT("■",ROUND($F2195/5,0)))</f>
        <v/>
      </c>
      <c r="I2195" s="7" t="n"/>
      <c r="J2195" s="7" t="n"/>
      <c r="K2195" s="7" t="n"/>
      <c r="L2195" s="7" t="n"/>
      <c r="M2195" s="7" t="n"/>
      <c r="N2195" s="7" t="n"/>
      <c r="O2195" s="7" t="n"/>
      <c r="P2195" s="8" t="n"/>
    </row>
    <row r="2196">
      <c r="A2196" s="14">
        <f>IF($S$2186="","",INDEX(회차설정!$A$13:$A$27,$S$2186))</f>
        <v/>
      </c>
      <c r="B2196" s="14">
        <f>IF($S$2186="","",INDEX(회차설정!$B$13:$B$27,$S$2186))</f>
        <v/>
      </c>
      <c r="C2196" s="8" t="n"/>
      <c r="D2196" s="14">
        <f>IF($S$2186="","",IF($R$2177="언어와 매체",SUMPRODUCT((자동계산!$A$4:$A$48&gt;=INDEX(회차설정!$C$13:$C$27,$S$2186))*(자동계산!$A$4:$A$48&lt;=INDEX(회차설정!$D$13:$D$27,$S$2186))*자동계산!$E$4:$E$48),SUMPRODUCT((자동계산!$A$4:$A$48&gt;=INDEX(회차설정!$C$13:$C$27,$S$2186))*(자동계산!$A$4:$A$48&lt;=INDEX(회차설정!$D$13:$D$27,$S$2186))*자동계산!$C$4:$C$48)))</f>
        <v/>
      </c>
      <c r="E2196" s="14">
        <f>IF(OR($S$2186="",$R$2176=""),"",SUM(OFFSET(전체채점!$AW$2,$R$2176,INDEX(회차설정!$C$13:$C$27,$S$2186),1,INDEX(회차설정!$D$13:$D$27,$S$2186)-INDEX(회차설정!$C$13:$C$27,$S$2186)+1)))</f>
        <v/>
      </c>
      <c r="F2196" s="46">
        <f>IF(OR($S$2186="",$D2196=0,$D2196="",$E2196=""),"",$E2196/$D2196*100)</f>
        <v/>
      </c>
      <c r="G2196" s="8" t="n"/>
      <c r="H2196" s="47">
        <f>IF($F2196="","",REPT("■",ROUND($F2196/5,0)))</f>
        <v/>
      </c>
      <c r="I2196" s="7" t="n"/>
      <c r="J2196" s="7" t="n"/>
      <c r="K2196" s="7" t="n"/>
      <c r="L2196" s="7" t="n"/>
      <c r="M2196" s="7" t="n"/>
      <c r="N2196" s="7" t="n"/>
      <c r="O2196" s="7" t="n"/>
      <c r="P2196" s="8" t="n"/>
    </row>
    <row r="2197">
      <c r="A2197" s="14">
        <f>IF($S$2187="","",INDEX(회차설정!$A$13:$A$27,$S$2187))</f>
        <v/>
      </c>
      <c r="B2197" s="14">
        <f>IF($S$2187="","",INDEX(회차설정!$B$13:$B$27,$S$2187))</f>
        <v/>
      </c>
      <c r="C2197" s="8" t="n"/>
      <c r="D2197" s="14">
        <f>IF($S$2187="","",IF($R$2177="언어와 매체",SUMPRODUCT((자동계산!$A$4:$A$48&gt;=INDEX(회차설정!$C$13:$C$27,$S$2187))*(자동계산!$A$4:$A$48&lt;=INDEX(회차설정!$D$13:$D$27,$S$2187))*자동계산!$E$4:$E$48),SUMPRODUCT((자동계산!$A$4:$A$48&gt;=INDEX(회차설정!$C$13:$C$27,$S$2187))*(자동계산!$A$4:$A$48&lt;=INDEX(회차설정!$D$13:$D$27,$S$2187))*자동계산!$C$4:$C$48)))</f>
        <v/>
      </c>
      <c r="E2197" s="14">
        <f>IF(OR($S$2187="",$R$2176=""),"",SUM(OFFSET(전체채점!$AW$2,$R$2176,INDEX(회차설정!$C$13:$C$27,$S$2187),1,INDEX(회차설정!$D$13:$D$27,$S$2187)-INDEX(회차설정!$C$13:$C$27,$S$2187)+1)))</f>
        <v/>
      </c>
      <c r="F2197" s="46">
        <f>IF(OR($S$2187="",$D2197=0,$D2197="",$E2197=""),"",$E2197/$D2197*100)</f>
        <v/>
      </c>
      <c r="G2197" s="8" t="n"/>
      <c r="H2197" s="47">
        <f>IF($F2197="","",REPT("■",ROUND($F2197/5,0)))</f>
        <v/>
      </c>
      <c r="I2197" s="7" t="n"/>
      <c r="J2197" s="7" t="n"/>
      <c r="K2197" s="7" t="n"/>
      <c r="L2197" s="7" t="n"/>
      <c r="M2197" s="7" t="n"/>
      <c r="N2197" s="7" t="n"/>
      <c r="O2197" s="7" t="n"/>
      <c r="P2197" s="8" t="n"/>
    </row>
    <row r="2198">
      <c r="A2198" s="5">
        <f>IF($R$2176="","","합계")</f>
        <v/>
      </c>
      <c r="B2198" s="7" t="n"/>
      <c r="C2198" s="8" t="n"/>
      <c r="D2198" s="5">
        <f>IF($R$2176="","",SUM(D2186:D2197))</f>
        <v/>
      </c>
      <c r="E2198" s="5">
        <f>IF($R$2176="","",SUM(E2186:E2197))</f>
        <v/>
      </c>
      <c r="F2198" s="48">
        <f>IF(OR($D2198=0,$D2198=""),"",$E2198/$D2198*100)</f>
        <v/>
      </c>
      <c r="G2198" s="8" t="n"/>
      <c r="H2198" s="49">
        <f>IF($F2198="","",REPT("■",ROUND($F2198/5,0)))</f>
        <v/>
      </c>
      <c r="I2198" s="7" t="n"/>
      <c r="J2198" s="7" t="n"/>
      <c r="K2198" s="7" t="n"/>
      <c r="L2198" s="7" t="n"/>
      <c r="M2198" s="7" t="n"/>
      <c r="N2198" s="7" t="n"/>
      <c r="O2198" s="7" t="n"/>
      <c r="P2198" s="8" t="n"/>
    </row>
    <row r="2200">
      <c r="A2200" s="12" t="inlineStr">
        <is>
          <t>4. 문항 채점표</t>
        </is>
      </c>
    </row>
    <row r="2201">
      <c r="A2201" s="50" t="inlineStr">
        <is>
          <t>문항 번호</t>
        </is>
      </c>
      <c r="B2201" s="51" t="n">
        <v>1</v>
      </c>
      <c r="C2201" s="51" t="n">
        <v>2</v>
      </c>
      <c r="D2201" s="51" t="n">
        <v>3</v>
      </c>
      <c r="E2201" s="51" t="n">
        <v>4</v>
      </c>
      <c r="F2201" s="51" t="n">
        <v>5</v>
      </c>
      <c r="G2201" s="51" t="n">
        <v>6</v>
      </c>
      <c r="H2201" s="51" t="n">
        <v>7</v>
      </c>
      <c r="I2201" s="51" t="n">
        <v>8</v>
      </c>
      <c r="J2201" s="51" t="n">
        <v>9</v>
      </c>
      <c r="K2201" s="51" t="n">
        <v>10</v>
      </c>
      <c r="L2201" s="51" t="n">
        <v>11</v>
      </c>
      <c r="M2201" s="51" t="n">
        <v>12</v>
      </c>
      <c r="N2201" s="51" t="n">
        <v>13</v>
      </c>
      <c r="O2201" s="51" t="n">
        <v>14</v>
      </c>
      <c r="P2201" s="51" t="n">
        <v>15</v>
      </c>
    </row>
    <row r="2202">
      <c r="A2202" s="52" t="inlineStr">
        <is>
          <t>정답</t>
        </is>
      </c>
      <c r="B2202" s="33">
        <f>IF($R$2177="","",IF($R$2177="언어와 매체",자동계산!$D$4,자동계산!$B$4))</f>
        <v/>
      </c>
      <c r="C2202" s="33">
        <f>IF($R$2177="","",IF($R$2177="언어와 매체",자동계산!$D$5,자동계산!$B$5))</f>
        <v/>
      </c>
      <c r="D2202" s="33">
        <f>IF($R$2177="","",IF($R$2177="언어와 매체",자동계산!$D$6,자동계산!$B$6))</f>
        <v/>
      </c>
      <c r="E2202" s="33">
        <f>IF($R$2177="","",IF($R$2177="언어와 매체",자동계산!$D$7,자동계산!$B$7))</f>
        <v/>
      </c>
      <c r="F2202" s="33">
        <f>IF($R$2177="","",IF($R$2177="언어와 매체",자동계산!$D$8,자동계산!$B$8))</f>
        <v/>
      </c>
      <c r="G2202" s="33">
        <f>IF($R$2177="","",IF($R$2177="언어와 매체",자동계산!$D$9,자동계산!$B$9))</f>
        <v/>
      </c>
      <c r="H2202" s="33">
        <f>IF($R$2177="","",IF($R$2177="언어와 매체",자동계산!$D$10,자동계산!$B$10))</f>
        <v/>
      </c>
      <c r="I2202" s="33">
        <f>IF($R$2177="","",IF($R$2177="언어와 매체",자동계산!$D$11,자동계산!$B$11))</f>
        <v/>
      </c>
      <c r="J2202" s="33">
        <f>IF($R$2177="","",IF($R$2177="언어와 매체",자동계산!$D$12,자동계산!$B$12))</f>
        <v/>
      </c>
      <c r="K2202" s="33">
        <f>IF($R$2177="","",IF($R$2177="언어와 매체",자동계산!$D$13,자동계산!$B$13))</f>
        <v/>
      </c>
      <c r="L2202" s="33">
        <f>IF($R$2177="","",IF($R$2177="언어와 매체",자동계산!$D$14,자동계산!$B$14))</f>
        <v/>
      </c>
      <c r="M2202" s="33">
        <f>IF($R$2177="","",IF($R$2177="언어와 매체",자동계산!$D$15,자동계산!$B$15))</f>
        <v/>
      </c>
      <c r="N2202" s="33">
        <f>IF($R$2177="","",IF($R$2177="언어와 매체",자동계산!$D$16,자동계산!$B$16))</f>
        <v/>
      </c>
      <c r="O2202" s="33">
        <f>IF($R$2177="","",IF($R$2177="언어와 매체",자동계산!$D$17,자동계산!$B$17))</f>
        <v/>
      </c>
      <c r="P2202" s="33">
        <f>IF($R$2177="","",IF($R$2177="언어와 매체",자동계산!$D$18,자동계산!$B$18))</f>
        <v/>
      </c>
    </row>
    <row r="2203">
      <c r="A2203" s="52" t="inlineStr">
        <is>
          <t>학생답안</t>
        </is>
      </c>
      <c r="B2203" s="33">
        <f>IF($R$2176="","",INDEX(전체채점!E$3:E$62,$R$2176))</f>
        <v/>
      </c>
      <c r="C2203" s="33">
        <f>IF($R$2176="","",INDEX(전체채점!F$3:F$62,$R$2176))</f>
        <v/>
      </c>
      <c r="D2203" s="33">
        <f>IF($R$2176="","",INDEX(전체채점!G$3:G$62,$R$2176))</f>
        <v/>
      </c>
      <c r="E2203" s="33">
        <f>IF($R$2176="","",INDEX(전체채점!H$3:H$62,$R$2176))</f>
        <v/>
      </c>
      <c r="F2203" s="33">
        <f>IF($R$2176="","",INDEX(전체채점!I$3:I$62,$R$2176))</f>
        <v/>
      </c>
      <c r="G2203" s="33">
        <f>IF($R$2176="","",INDEX(전체채점!J$3:J$62,$R$2176))</f>
        <v/>
      </c>
      <c r="H2203" s="33">
        <f>IF($R$2176="","",INDEX(전체채점!K$3:K$62,$R$2176))</f>
        <v/>
      </c>
      <c r="I2203" s="33">
        <f>IF($R$2176="","",INDEX(전체채점!L$3:L$62,$R$2176))</f>
        <v/>
      </c>
      <c r="J2203" s="33">
        <f>IF($R$2176="","",INDEX(전체채점!M$3:M$62,$R$2176))</f>
        <v/>
      </c>
      <c r="K2203" s="33">
        <f>IF($R$2176="","",INDEX(전체채점!N$3:N$62,$R$2176))</f>
        <v/>
      </c>
      <c r="L2203" s="33">
        <f>IF($R$2176="","",INDEX(전체채점!O$3:O$62,$R$2176))</f>
        <v/>
      </c>
      <c r="M2203" s="33">
        <f>IF($R$2176="","",INDEX(전체채점!P$3:P$62,$R$2176))</f>
        <v/>
      </c>
      <c r="N2203" s="33">
        <f>IF($R$2176="","",INDEX(전체채점!Q$3:Q$62,$R$2176))</f>
        <v/>
      </c>
      <c r="O2203" s="33">
        <f>IF($R$2176="","",INDEX(전체채점!R$3:R$62,$R$2176))</f>
        <v/>
      </c>
      <c r="P2203" s="33">
        <f>IF($R$2176="","",INDEX(전체채점!S$3:S$62,$R$2176))</f>
        <v/>
      </c>
    </row>
    <row r="2204">
      <c r="A2204" s="52" t="inlineStr">
        <is>
          <t>정오</t>
        </is>
      </c>
      <c r="B2204" s="33">
        <f>IF($R$2176="","",INDEX(전체채점!AX$3:AX$62,$R$2176))</f>
        <v/>
      </c>
      <c r="C2204" s="33">
        <f>IF($R$2176="","",INDEX(전체채점!AY$3:AY$62,$R$2176))</f>
        <v/>
      </c>
      <c r="D2204" s="33">
        <f>IF($R$2176="","",INDEX(전체채점!AZ$3:AZ$62,$R$2176))</f>
        <v/>
      </c>
      <c r="E2204" s="33">
        <f>IF($R$2176="","",INDEX(전체채점!BA$3:BA$62,$R$2176))</f>
        <v/>
      </c>
      <c r="F2204" s="33">
        <f>IF($R$2176="","",INDEX(전체채점!BB$3:BB$62,$R$2176))</f>
        <v/>
      </c>
      <c r="G2204" s="33">
        <f>IF($R$2176="","",INDEX(전체채점!BC$3:BC$62,$R$2176))</f>
        <v/>
      </c>
      <c r="H2204" s="33">
        <f>IF($R$2176="","",INDEX(전체채점!BD$3:BD$62,$R$2176))</f>
        <v/>
      </c>
      <c r="I2204" s="33">
        <f>IF($R$2176="","",INDEX(전체채점!BE$3:BE$62,$R$2176))</f>
        <v/>
      </c>
      <c r="J2204" s="33">
        <f>IF($R$2176="","",INDEX(전체채점!BF$3:BF$62,$R$2176))</f>
        <v/>
      </c>
      <c r="K2204" s="33">
        <f>IF($R$2176="","",INDEX(전체채점!BG$3:BG$62,$R$2176))</f>
        <v/>
      </c>
      <c r="L2204" s="33">
        <f>IF($R$2176="","",INDEX(전체채점!BH$3:BH$62,$R$2176))</f>
        <v/>
      </c>
      <c r="M2204" s="33">
        <f>IF($R$2176="","",INDEX(전체채점!BI$3:BI$62,$R$2176))</f>
        <v/>
      </c>
      <c r="N2204" s="33">
        <f>IF($R$2176="","",INDEX(전체채점!BJ$3:BJ$62,$R$2176))</f>
        <v/>
      </c>
      <c r="O2204" s="33">
        <f>IF($R$2176="","",INDEX(전체채점!BK$3:BK$62,$R$2176))</f>
        <v/>
      </c>
      <c r="P2204" s="33">
        <f>IF($R$2176="","",INDEX(전체채점!BL$3:BL$62,$R$2176))</f>
        <v/>
      </c>
    </row>
    <row r="2205">
      <c r="A2205" s="50" t="inlineStr">
        <is>
          <t>문항 번호</t>
        </is>
      </c>
      <c r="B2205" s="51" t="n">
        <v>16</v>
      </c>
      <c r="C2205" s="51" t="n">
        <v>17</v>
      </c>
      <c r="D2205" s="51" t="n">
        <v>18</v>
      </c>
      <c r="E2205" s="51" t="n">
        <v>19</v>
      </c>
      <c r="F2205" s="51" t="n">
        <v>20</v>
      </c>
      <c r="G2205" s="51" t="n">
        <v>21</v>
      </c>
      <c r="H2205" s="51" t="n">
        <v>22</v>
      </c>
      <c r="I2205" s="51" t="n">
        <v>23</v>
      </c>
      <c r="J2205" s="51" t="n">
        <v>24</v>
      </c>
      <c r="K2205" s="51" t="n">
        <v>25</v>
      </c>
      <c r="L2205" s="51" t="n">
        <v>26</v>
      </c>
      <c r="M2205" s="51" t="n">
        <v>27</v>
      </c>
      <c r="N2205" s="51" t="n">
        <v>28</v>
      </c>
      <c r="O2205" s="51" t="n">
        <v>29</v>
      </c>
      <c r="P2205" s="51" t="n">
        <v>30</v>
      </c>
    </row>
    <row r="2206">
      <c r="A2206" s="52" t="inlineStr">
        <is>
          <t>정답</t>
        </is>
      </c>
      <c r="B2206" s="33">
        <f>IF($R$2177="","",IF($R$2177="언어와 매체",자동계산!$D$19,자동계산!$B$19))</f>
        <v/>
      </c>
      <c r="C2206" s="33">
        <f>IF($R$2177="","",IF($R$2177="언어와 매체",자동계산!$D$20,자동계산!$B$20))</f>
        <v/>
      </c>
      <c r="D2206" s="33">
        <f>IF($R$2177="","",IF($R$2177="언어와 매체",자동계산!$D$21,자동계산!$B$21))</f>
        <v/>
      </c>
      <c r="E2206" s="33">
        <f>IF($R$2177="","",IF($R$2177="언어와 매체",자동계산!$D$22,자동계산!$B$22))</f>
        <v/>
      </c>
      <c r="F2206" s="33">
        <f>IF($R$2177="","",IF($R$2177="언어와 매체",자동계산!$D$23,자동계산!$B$23))</f>
        <v/>
      </c>
      <c r="G2206" s="33">
        <f>IF($R$2177="","",IF($R$2177="언어와 매체",자동계산!$D$24,자동계산!$B$24))</f>
        <v/>
      </c>
      <c r="H2206" s="33">
        <f>IF($R$2177="","",IF($R$2177="언어와 매체",자동계산!$D$25,자동계산!$B$25))</f>
        <v/>
      </c>
      <c r="I2206" s="33">
        <f>IF($R$2177="","",IF($R$2177="언어와 매체",자동계산!$D$26,자동계산!$B$26))</f>
        <v/>
      </c>
      <c r="J2206" s="33">
        <f>IF($R$2177="","",IF($R$2177="언어와 매체",자동계산!$D$27,자동계산!$B$27))</f>
        <v/>
      </c>
      <c r="K2206" s="33">
        <f>IF($R$2177="","",IF($R$2177="언어와 매체",자동계산!$D$28,자동계산!$B$28))</f>
        <v/>
      </c>
      <c r="L2206" s="33">
        <f>IF($R$2177="","",IF($R$2177="언어와 매체",자동계산!$D$29,자동계산!$B$29))</f>
        <v/>
      </c>
      <c r="M2206" s="33">
        <f>IF($R$2177="","",IF($R$2177="언어와 매체",자동계산!$D$30,자동계산!$B$30))</f>
        <v/>
      </c>
      <c r="N2206" s="33">
        <f>IF($R$2177="","",IF($R$2177="언어와 매체",자동계산!$D$31,자동계산!$B$31))</f>
        <v/>
      </c>
      <c r="O2206" s="33">
        <f>IF($R$2177="","",IF($R$2177="언어와 매체",자동계산!$D$32,자동계산!$B$32))</f>
        <v/>
      </c>
      <c r="P2206" s="33">
        <f>IF($R$2177="","",IF($R$2177="언어와 매체",자동계산!$D$33,자동계산!$B$33))</f>
        <v/>
      </c>
    </row>
    <row r="2207">
      <c r="A2207" s="52" t="inlineStr">
        <is>
          <t>학생답안</t>
        </is>
      </c>
      <c r="B2207" s="33">
        <f>IF($R$2176="","",INDEX(전체채점!T$3:T$62,$R$2176))</f>
        <v/>
      </c>
      <c r="C2207" s="33">
        <f>IF($R$2176="","",INDEX(전체채점!U$3:U$62,$R$2176))</f>
        <v/>
      </c>
      <c r="D2207" s="33">
        <f>IF($R$2176="","",INDEX(전체채점!V$3:V$62,$R$2176))</f>
        <v/>
      </c>
      <c r="E2207" s="33">
        <f>IF($R$2176="","",INDEX(전체채점!W$3:W$62,$R$2176))</f>
        <v/>
      </c>
      <c r="F2207" s="33">
        <f>IF($R$2176="","",INDEX(전체채점!X$3:X$62,$R$2176))</f>
        <v/>
      </c>
      <c r="G2207" s="33">
        <f>IF($R$2176="","",INDEX(전체채점!Y$3:Y$62,$R$2176))</f>
        <v/>
      </c>
      <c r="H2207" s="33">
        <f>IF($R$2176="","",INDEX(전체채점!Z$3:Z$62,$R$2176))</f>
        <v/>
      </c>
      <c r="I2207" s="33">
        <f>IF($R$2176="","",INDEX(전체채점!AA$3:AA$62,$R$2176))</f>
        <v/>
      </c>
      <c r="J2207" s="33">
        <f>IF($R$2176="","",INDEX(전체채점!AB$3:AB$62,$R$2176))</f>
        <v/>
      </c>
      <c r="K2207" s="33">
        <f>IF($R$2176="","",INDEX(전체채점!AC$3:AC$62,$R$2176))</f>
        <v/>
      </c>
      <c r="L2207" s="33">
        <f>IF($R$2176="","",INDEX(전체채점!AD$3:AD$62,$R$2176))</f>
        <v/>
      </c>
      <c r="M2207" s="33">
        <f>IF($R$2176="","",INDEX(전체채점!AE$3:AE$62,$R$2176))</f>
        <v/>
      </c>
      <c r="N2207" s="33">
        <f>IF($R$2176="","",INDEX(전체채점!AF$3:AF$62,$R$2176))</f>
        <v/>
      </c>
      <c r="O2207" s="33">
        <f>IF($R$2176="","",INDEX(전체채점!AG$3:AG$62,$R$2176))</f>
        <v/>
      </c>
      <c r="P2207" s="33">
        <f>IF($R$2176="","",INDEX(전체채점!AH$3:AH$62,$R$2176))</f>
        <v/>
      </c>
    </row>
    <row r="2208">
      <c r="A2208" s="52" t="inlineStr">
        <is>
          <t>정오</t>
        </is>
      </c>
      <c r="B2208" s="33">
        <f>IF($R$2176="","",INDEX(전체채점!BM$3:BM$62,$R$2176))</f>
        <v/>
      </c>
      <c r="C2208" s="33">
        <f>IF($R$2176="","",INDEX(전체채점!BN$3:BN$62,$R$2176))</f>
        <v/>
      </c>
      <c r="D2208" s="33">
        <f>IF($R$2176="","",INDEX(전체채점!BO$3:BO$62,$R$2176))</f>
        <v/>
      </c>
      <c r="E2208" s="33">
        <f>IF($R$2176="","",INDEX(전체채점!BP$3:BP$62,$R$2176))</f>
        <v/>
      </c>
      <c r="F2208" s="33">
        <f>IF($R$2176="","",INDEX(전체채점!BQ$3:BQ$62,$R$2176))</f>
        <v/>
      </c>
      <c r="G2208" s="33">
        <f>IF($R$2176="","",INDEX(전체채점!BR$3:BR$62,$R$2176))</f>
        <v/>
      </c>
      <c r="H2208" s="33">
        <f>IF($R$2176="","",INDEX(전체채점!BS$3:BS$62,$R$2176))</f>
        <v/>
      </c>
      <c r="I2208" s="33">
        <f>IF($R$2176="","",INDEX(전체채점!BT$3:BT$62,$R$2176))</f>
        <v/>
      </c>
      <c r="J2208" s="33">
        <f>IF($R$2176="","",INDEX(전체채점!BU$3:BU$62,$R$2176))</f>
        <v/>
      </c>
      <c r="K2208" s="33">
        <f>IF($R$2176="","",INDEX(전체채점!BV$3:BV$62,$R$2176))</f>
        <v/>
      </c>
      <c r="L2208" s="33">
        <f>IF($R$2176="","",INDEX(전체채점!BW$3:BW$62,$R$2176))</f>
        <v/>
      </c>
      <c r="M2208" s="33">
        <f>IF($R$2176="","",INDEX(전체채점!BX$3:BX$62,$R$2176))</f>
        <v/>
      </c>
      <c r="N2208" s="33">
        <f>IF($R$2176="","",INDEX(전체채점!BY$3:BY$62,$R$2176))</f>
        <v/>
      </c>
      <c r="O2208" s="33">
        <f>IF($R$2176="","",INDEX(전체채점!BZ$3:BZ$62,$R$2176))</f>
        <v/>
      </c>
      <c r="P2208" s="33">
        <f>IF($R$2176="","",INDEX(전체채점!CA$3:CA$62,$R$2176))</f>
        <v/>
      </c>
    </row>
    <row r="2209">
      <c r="A2209" s="50" t="inlineStr">
        <is>
          <t>문항 번호</t>
        </is>
      </c>
      <c r="B2209" s="51" t="n">
        <v>31</v>
      </c>
      <c r="C2209" s="51" t="n">
        <v>32</v>
      </c>
      <c r="D2209" s="51" t="n">
        <v>33</v>
      </c>
      <c r="E2209" s="51" t="n">
        <v>34</v>
      </c>
      <c r="F2209" s="51" t="n">
        <v>35</v>
      </c>
      <c r="G2209" s="51" t="n">
        <v>36</v>
      </c>
      <c r="H2209" s="51" t="n">
        <v>37</v>
      </c>
      <c r="I2209" s="51" t="n">
        <v>38</v>
      </c>
      <c r="J2209" s="51" t="n">
        <v>39</v>
      </c>
      <c r="K2209" s="51" t="n">
        <v>40</v>
      </c>
      <c r="L2209" s="51" t="n">
        <v>41</v>
      </c>
      <c r="M2209" s="51" t="n">
        <v>42</v>
      </c>
      <c r="N2209" s="51" t="n">
        <v>43</v>
      </c>
      <c r="O2209" s="51" t="n">
        <v>44</v>
      </c>
      <c r="P2209" s="51" t="n">
        <v>45</v>
      </c>
    </row>
    <row r="2210">
      <c r="A2210" s="52" t="inlineStr">
        <is>
          <t>정답</t>
        </is>
      </c>
      <c r="B2210" s="33">
        <f>IF($R$2177="","",IF($R$2177="언어와 매체",자동계산!$D$34,자동계산!$B$34))</f>
        <v/>
      </c>
      <c r="C2210" s="33">
        <f>IF($R$2177="","",IF($R$2177="언어와 매체",자동계산!$D$35,자동계산!$B$35))</f>
        <v/>
      </c>
      <c r="D2210" s="33">
        <f>IF($R$2177="","",IF($R$2177="언어와 매체",자동계산!$D$36,자동계산!$B$36))</f>
        <v/>
      </c>
      <c r="E2210" s="33">
        <f>IF($R$2177="","",IF($R$2177="언어와 매체",자동계산!$D$37,자동계산!$B$37))</f>
        <v/>
      </c>
      <c r="F2210" s="33">
        <f>IF($R$2177="","",IF($R$2177="언어와 매체",자동계산!$D$38,자동계산!$B$38))</f>
        <v/>
      </c>
      <c r="G2210" s="33">
        <f>IF($R$2177="","",IF($R$2177="언어와 매체",자동계산!$D$39,자동계산!$B$39))</f>
        <v/>
      </c>
      <c r="H2210" s="33">
        <f>IF($R$2177="","",IF($R$2177="언어와 매체",자동계산!$D$40,자동계산!$B$40))</f>
        <v/>
      </c>
      <c r="I2210" s="33">
        <f>IF($R$2177="","",IF($R$2177="언어와 매체",자동계산!$D$41,자동계산!$B$41))</f>
        <v/>
      </c>
      <c r="J2210" s="33">
        <f>IF($R$2177="","",IF($R$2177="언어와 매체",자동계산!$D$42,자동계산!$B$42))</f>
        <v/>
      </c>
      <c r="K2210" s="33">
        <f>IF($R$2177="","",IF($R$2177="언어와 매체",자동계산!$D$43,자동계산!$B$43))</f>
        <v/>
      </c>
      <c r="L2210" s="33">
        <f>IF($R$2177="","",IF($R$2177="언어와 매체",자동계산!$D$44,자동계산!$B$44))</f>
        <v/>
      </c>
      <c r="M2210" s="33">
        <f>IF($R$2177="","",IF($R$2177="언어와 매체",자동계산!$D$45,자동계산!$B$45))</f>
        <v/>
      </c>
      <c r="N2210" s="33">
        <f>IF($R$2177="","",IF($R$2177="언어와 매체",자동계산!$D$46,자동계산!$B$46))</f>
        <v/>
      </c>
      <c r="O2210" s="33">
        <f>IF($R$2177="","",IF($R$2177="언어와 매체",자동계산!$D$47,자동계산!$B$47))</f>
        <v/>
      </c>
      <c r="P2210" s="33">
        <f>IF($R$2177="","",IF($R$2177="언어와 매체",자동계산!$D$48,자동계산!$B$48))</f>
        <v/>
      </c>
    </row>
    <row r="2211">
      <c r="A2211" s="52" t="inlineStr">
        <is>
          <t>학생답안</t>
        </is>
      </c>
      <c r="B2211" s="33">
        <f>IF($R$2176="","",INDEX(전체채점!AI$3:AI$62,$R$2176))</f>
        <v/>
      </c>
      <c r="C2211" s="33">
        <f>IF($R$2176="","",INDEX(전체채점!AJ$3:AJ$62,$R$2176))</f>
        <v/>
      </c>
      <c r="D2211" s="33">
        <f>IF($R$2176="","",INDEX(전체채점!AK$3:AK$62,$R$2176))</f>
        <v/>
      </c>
      <c r="E2211" s="33">
        <f>IF($R$2176="","",INDEX(전체채점!AL$3:AL$62,$R$2176))</f>
        <v/>
      </c>
      <c r="F2211" s="33">
        <f>IF($R$2176="","",INDEX(전체채점!AM$3:AM$62,$R$2176))</f>
        <v/>
      </c>
      <c r="G2211" s="33">
        <f>IF($R$2176="","",INDEX(전체채점!AN$3:AN$62,$R$2176))</f>
        <v/>
      </c>
      <c r="H2211" s="33">
        <f>IF($R$2176="","",INDEX(전체채점!AO$3:AO$62,$R$2176))</f>
        <v/>
      </c>
      <c r="I2211" s="33">
        <f>IF($R$2176="","",INDEX(전체채점!AP$3:AP$62,$R$2176))</f>
        <v/>
      </c>
      <c r="J2211" s="33">
        <f>IF($R$2176="","",INDEX(전체채점!AQ$3:AQ$62,$R$2176))</f>
        <v/>
      </c>
      <c r="K2211" s="33">
        <f>IF($R$2176="","",INDEX(전체채점!AR$3:AR$62,$R$2176))</f>
        <v/>
      </c>
      <c r="L2211" s="33">
        <f>IF($R$2176="","",INDEX(전체채점!AS$3:AS$62,$R$2176))</f>
        <v/>
      </c>
      <c r="M2211" s="33">
        <f>IF($R$2176="","",INDEX(전체채점!AT$3:AT$62,$R$2176))</f>
        <v/>
      </c>
      <c r="N2211" s="33">
        <f>IF($R$2176="","",INDEX(전체채점!AU$3:AU$62,$R$2176))</f>
        <v/>
      </c>
      <c r="O2211" s="33">
        <f>IF($R$2176="","",INDEX(전체채점!AV$3:AV$62,$R$2176))</f>
        <v/>
      </c>
      <c r="P2211" s="33">
        <f>IF($R$2176="","",INDEX(전체채점!AW$3:AW$62,$R$2176))</f>
        <v/>
      </c>
    </row>
    <row r="2212">
      <c r="A2212" s="52" t="inlineStr">
        <is>
          <t>정오</t>
        </is>
      </c>
      <c r="B2212" s="33">
        <f>IF($R$2176="","",INDEX(전체채점!CB$3:CB$62,$R$2176))</f>
        <v/>
      </c>
      <c r="C2212" s="33">
        <f>IF($R$2176="","",INDEX(전체채점!CC$3:CC$62,$R$2176))</f>
        <v/>
      </c>
      <c r="D2212" s="33">
        <f>IF($R$2176="","",INDEX(전체채점!CD$3:CD$62,$R$2176))</f>
        <v/>
      </c>
      <c r="E2212" s="33">
        <f>IF($R$2176="","",INDEX(전체채점!CE$3:CE$62,$R$2176))</f>
        <v/>
      </c>
      <c r="F2212" s="33">
        <f>IF($R$2176="","",INDEX(전체채점!CF$3:CF$62,$R$2176))</f>
        <v/>
      </c>
      <c r="G2212" s="33">
        <f>IF($R$2176="","",INDEX(전체채점!CG$3:CG$62,$R$2176))</f>
        <v/>
      </c>
      <c r="H2212" s="33">
        <f>IF($R$2176="","",INDEX(전체채점!CH$3:CH$62,$R$2176))</f>
        <v/>
      </c>
      <c r="I2212" s="33">
        <f>IF($R$2176="","",INDEX(전체채점!CI$3:CI$62,$R$2176))</f>
        <v/>
      </c>
      <c r="J2212" s="33">
        <f>IF($R$2176="","",INDEX(전체채점!CJ$3:CJ$62,$R$2176))</f>
        <v/>
      </c>
      <c r="K2212" s="33">
        <f>IF($R$2176="","",INDEX(전체채점!CK$3:CK$62,$R$2176))</f>
        <v/>
      </c>
      <c r="L2212" s="33">
        <f>IF($R$2176="","",INDEX(전체채점!CL$3:CL$62,$R$2176))</f>
        <v/>
      </c>
      <c r="M2212" s="33">
        <f>IF($R$2176="","",INDEX(전체채점!CM$3:CM$62,$R$2176))</f>
        <v/>
      </c>
      <c r="N2212" s="33">
        <f>IF($R$2176="","",INDEX(전체채점!CN$3:CN$62,$R$2176))</f>
        <v/>
      </c>
      <c r="O2212" s="33">
        <f>IF($R$2176="","",INDEX(전체채점!CO$3:CO$62,$R$2176))</f>
        <v/>
      </c>
      <c r="P2212" s="33">
        <f>IF($R$2176="","",INDEX(전체채점!CP$3:CP$62,$R$2176))</f>
        <v/>
      </c>
    </row>
    <row r="2215" ht="34" customHeight="1">
      <c r="A2215" s="36">
        <f>IF($R$2217="","",회차설정!$B$2&amp;" 성적표")</f>
        <v/>
      </c>
    </row>
    <row r="2217">
      <c r="A2217" s="12" t="inlineStr">
        <is>
          <t>1. 학생정보</t>
        </is>
      </c>
      <c r="R2217" s="37">
        <f>IF(답안입력!$A$57="","",55)</f>
        <v/>
      </c>
      <c r="S2217" s="37">
        <f>IF($R$2218="","",IFERROR(IF($R$2218="언어와 매체",MATCH(1,회차설정!$G$13:$G$27,0),MATCH(1,회차설정!$F$13:$F$27,0)),""))</f>
        <v/>
      </c>
    </row>
    <row r="2218">
      <c r="A2218" s="13" t="inlineStr">
        <is>
          <t>성명</t>
        </is>
      </c>
      <c r="B2218" s="7" t="n"/>
      <c r="C2218" s="8" t="n"/>
      <c r="D2218" s="13" t="inlineStr">
        <is>
          <t>선택과목</t>
        </is>
      </c>
      <c r="E2218" s="7" t="n"/>
      <c r="F2218" s="7" t="n"/>
      <c r="G2218" s="8" t="n"/>
      <c r="H2218" s="13" t="inlineStr">
        <is>
          <t>학년</t>
        </is>
      </c>
      <c r="I2218" s="7" t="n"/>
      <c r="J2218" s="7" t="n"/>
      <c r="K2218" s="8" t="n"/>
      <c r="L2218" s="13" t="inlineStr">
        <is>
          <t>시행일</t>
        </is>
      </c>
      <c r="M2218" s="7" t="n"/>
      <c r="N2218" s="7" t="n"/>
      <c r="O2218" s="7" t="n"/>
      <c r="P2218" s="8" t="n"/>
      <c r="R2218" s="37">
        <f>IF($R$2217="","",INDEX(전체채점!$B$3:$B$62,$R$2217))</f>
        <v/>
      </c>
      <c r="S2218" s="37">
        <f>IF($R$2218="","",IFERROR(IF($R$2218="언어와 매체",MATCH(2,회차설정!$G$13:$G$27,0),MATCH(2,회차설정!$F$13:$F$27,0)),""))</f>
        <v/>
      </c>
    </row>
    <row r="2219" ht="26" customHeight="1">
      <c r="A2219" s="39">
        <f>IF($R$2217="","",INDEX(답안입력!$A$3:$A$62,$R$2217))</f>
        <v/>
      </c>
      <c r="B2219" s="7" t="n"/>
      <c r="C2219" s="8" t="n"/>
      <c r="D2219" s="39">
        <f>IF($R$2217="","",INDEX(답안입력!$C$3:$C$62,$R$2217))</f>
        <v/>
      </c>
      <c r="E2219" s="7" t="n"/>
      <c r="F2219" s="7" t="n"/>
      <c r="G2219" s="8" t="n"/>
      <c r="H2219" s="39">
        <f>IF($R$2217="","",INDEX(답안입력!$B$3:$B$62,$R$2217))</f>
        <v/>
      </c>
      <c r="I2219" s="7" t="n"/>
      <c r="J2219" s="7" t="n"/>
      <c r="K2219" s="8" t="n"/>
      <c r="L2219" s="40">
        <f>회차설정!$B$3</f>
        <v/>
      </c>
      <c r="M2219" s="7" t="n"/>
      <c r="N2219" s="7" t="n"/>
      <c r="O2219" s="7" t="n"/>
      <c r="P2219" s="8" t="n"/>
      <c r="R2219" s="37">
        <f>IF($R$2218="언어와 매체",회차설정!$B$9,회차설정!$B$8)</f>
        <v/>
      </c>
      <c r="S2219" s="37">
        <f>IF($R$2218="","",IFERROR(IF($R$2218="언어와 매체",MATCH(3,회차설정!$G$13:$G$27,0),MATCH(3,회차설정!$F$13:$F$27,0)),""))</f>
        <v/>
      </c>
    </row>
    <row r="2220">
      <c r="R2220" s="37">
        <f>IF($R$2218="언어와 매체",회차설정!$C$9,회차설정!$C$8)</f>
        <v/>
      </c>
      <c r="S2220" s="37">
        <f>IF($R$2218="","",IFERROR(IF($R$2218="언어와 매체",MATCH(4,회차설정!$G$13:$G$27,0),MATCH(4,회차설정!$F$13:$F$27,0)),""))</f>
        <v/>
      </c>
    </row>
    <row r="2221">
      <c r="A2221" s="12" t="inlineStr">
        <is>
          <t>2. 성적</t>
        </is>
      </c>
      <c r="R2221" s="37">
        <f>IF($R$2218="언어와 매체",회차설정!$D$9,회차설정!$D$8)</f>
        <v/>
      </c>
      <c r="S2221" s="37">
        <f>IF($R$2218="","",IFERROR(IF($R$2218="언어와 매체",MATCH(5,회차설정!$G$13:$G$27,0),MATCH(5,회차설정!$F$13:$F$27,0)),""))</f>
        <v/>
      </c>
    </row>
    <row r="2222">
      <c r="A2222" s="13" t="inlineStr">
        <is>
          <t>점수 (100점 만점)</t>
        </is>
      </c>
      <c r="B2222" s="7" t="n"/>
      <c r="C2222" s="7" t="n"/>
      <c r="D2222" s="7" t="n"/>
      <c r="E2222" s="8" t="n"/>
      <c r="F2222" s="13" t="inlineStr">
        <is>
          <t>등급</t>
        </is>
      </c>
      <c r="G2222" s="7" t="n"/>
      <c r="H2222" s="8" t="n"/>
      <c r="I2222" s="13" t="inlineStr">
        <is>
          <t>등급컷</t>
        </is>
      </c>
      <c r="J2222" s="7" t="n"/>
      <c r="K2222" s="7" t="n"/>
      <c r="L2222" s="8" t="n"/>
      <c r="M2222" s="13" t="inlineStr">
        <is>
          <t>같은 선택과목 평균</t>
        </is>
      </c>
      <c r="N2222" s="7" t="n"/>
      <c r="O2222" s="7" t="n"/>
      <c r="P2222" s="8" t="n"/>
      <c r="R2222" s="37">
        <f>IF($R$2218="언어와 매체",회차설정!$E$9,회차설정!$E$8)</f>
        <v/>
      </c>
      <c r="S2222" s="37">
        <f>IF($R$2218="","",IFERROR(IF($R$2218="언어와 매체",MATCH(6,회차설정!$G$13:$G$27,0),MATCH(6,회차설정!$F$13:$F$27,0)),""))</f>
        <v/>
      </c>
    </row>
    <row r="2223" ht="34" customHeight="1">
      <c r="A2223" s="41">
        <f>IF($R$2217="","",INDEX(전체채점!$C$3:$C$62,$R$2217))</f>
        <v/>
      </c>
      <c r="B2223" s="7" t="n"/>
      <c r="C2223" s="7" t="n"/>
      <c r="D2223" s="7" t="n"/>
      <c r="E2223" s="8" t="n"/>
      <c r="F2223" s="42">
        <f>IF($R$2217="","",INDEX(전체채점!$D$3:$D$62,$R$2217))</f>
        <v/>
      </c>
      <c r="G2223" s="7" t="n"/>
      <c r="H2223" s="8" t="n"/>
      <c r="I2223" s="43">
        <f>IF($R$2217="","",$R$2219&amp;"-"&amp;$R$2220&amp;"-"&amp;$R$2221&amp;"-"&amp;$R$2222)</f>
        <v/>
      </c>
      <c r="J2223" s="7" t="n"/>
      <c r="K2223" s="7" t="n"/>
      <c r="L2223" s="8" t="n"/>
      <c r="M2223" s="44">
        <f>IFERROR(AVERAGEIF(전체채점!$B$3:$B$62,$R$2218,전체채점!$C$3:$C$62),"")</f>
        <v/>
      </c>
      <c r="N2223" s="7" t="n"/>
      <c r="O2223" s="7" t="n"/>
      <c r="P2223" s="8" t="n"/>
      <c r="S2223" s="37">
        <f>IF($R$2218="","",IFERROR(IF($R$2218="언어와 매체",MATCH(7,회차설정!$G$13:$G$27,0),MATCH(7,회차설정!$F$13:$F$27,0)),""))</f>
        <v/>
      </c>
    </row>
    <row r="2224">
      <c r="S2224" s="37">
        <f>IF($R$2218="","",IFERROR(IF($R$2218="언어와 매체",MATCH(8,회차설정!$G$13:$G$27,0),MATCH(8,회차설정!$F$13:$F$27,0)),""))</f>
        <v/>
      </c>
    </row>
    <row r="2225">
      <c r="A2225" s="12" t="inlineStr">
        <is>
          <t>3. 영역분류별 성취도 분석</t>
        </is>
      </c>
      <c r="F2225" s="45">
        <f>IF(OR($R$2217="",$E2239=""),"",IF($E2239=INDEX(전체채점!$C$3:$C$62,$R$2217),"","※ 회차설정의 영역 표를 확인하세요 — 영역 합계와 점수가 다릅니다"))</f>
        <v/>
      </c>
      <c r="S2225" s="37">
        <f>IF($R$2218="","",IFERROR(IF($R$2218="언어와 매체",MATCH(9,회차설정!$G$13:$G$27,0),MATCH(9,회차설정!$F$13:$F$27,0)),""))</f>
        <v/>
      </c>
    </row>
    <row r="2226">
      <c r="A2226" s="13" t="inlineStr">
        <is>
          <t>분류</t>
        </is>
      </c>
      <c r="B2226" s="13" t="inlineStr">
        <is>
          <t>영역</t>
        </is>
      </c>
      <c r="C2226" s="8" t="n"/>
      <c r="D2226" s="13" t="inlineStr">
        <is>
          <t>배점</t>
        </is>
      </c>
      <c r="E2226" s="13" t="inlineStr">
        <is>
          <t>득점</t>
        </is>
      </c>
      <c r="F2226" s="13" t="inlineStr">
        <is>
          <t>성취도(%)</t>
        </is>
      </c>
      <c r="G2226" s="8" t="n"/>
      <c r="H2226" s="13" t="inlineStr"/>
      <c r="I2226" s="7" t="n"/>
      <c r="J2226" s="7" t="n"/>
      <c r="K2226" s="7" t="n"/>
      <c r="L2226" s="7" t="n"/>
      <c r="M2226" s="7" t="n"/>
      <c r="N2226" s="7" t="n"/>
      <c r="O2226" s="7" t="n"/>
      <c r="P2226" s="8" t="n"/>
      <c r="S2226" s="37">
        <f>IF($R$2218="","",IFERROR(IF($R$2218="언어와 매체",MATCH(10,회차설정!$G$13:$G$27,0),MATCH(10,회차설정!$F$13:$F$27,0)),""))</f>
        <v/>
      </c>
    </row>
    <row r="2227">
      <c r="A2227" s="14">
        <f>IF($S$2217="","",INDEX(회차설정!$A$13:$A$27,$S$2217))</f>
        <v/>
      </c>
      <c r="B2227" s="14">
        <f>IF($S$2217="","",INDEX(회차설정!$B$13:$B$27,$S$2217))</f>
        <v/>
      </c>
      <c r="C2227" s="8" t="n"/>
      <c r="D2227" s="14">
        <f>IF($S$2217="","",IF($R$2218="언어와 매체",SUMPRODUCT((자동계산!$A$4:$A$48&gt;=INDEX(회차설정!$C$13:$C$27,$S$2217))*(자동계산!$A$4:$A$48&lt;=INDEX(회차설정!$D$13:$D$27,$S$2217))*자동계산!$E$4:$E$48),SUMPRODUCT((자동계산!$A$4:$A$48&gt;=INDEX(회차설정!$C$13:$C$27,$S$2217))*(자동계산!$A$4:$A$48&lt;=INDEX(회차설정!$D$13:$D$27,$S$2217))*자동계산!$C$4:$C$48)))</f>
        <v/>
      </c>
      <c r="E2227" s="14">
        <f>IF(OR($S$2217="",$R$2217=""),"",SUM(OFFSET(전체채점!$AW$2,$R$2217,INDEX(회차설정!$C$13:$C$27,$S$2217),1,INDEX(회차설정!$D$13:$D$27,$S$2217)-INDEX(회차설정!$C$13:$C$27,$S$2217)+1)))</f>
        <v/>
      </c>
      <c r="F2227" s="46">
        <f>IF(OR($S$2217="",$D2227=0,$D2227="",$E2227=""),"",$E2227/$D2227*100)</f>
        <v/>
      </c>
      <c r="G2227" s="8" t="n"/>
      <c r="H2227" s="47">
        <f>IF($F2227="","",REPT("■",ROUND($F2227/5,0)))</f>
        <v/>
      </c>
      <c r="I2227" s="7" t="n"/>
      <c r="J2227" s="7" t="n"/>
      <c r="K2227" s="7" t="n"/>
      <c r="L2227" s="7" t="n"/>
      <c r="M2227" s="7" t="n"/>
      <c r="N2227" s="7" t="n"/>
      <c r="O2227" s="7" t="n"/>
      <c r="P2227" s="8" t="n"/>
      <c r="S2227" s="37">
        <f>IF($R$2218="","",IFERROR(IF($R$2218="언어와 매체",MATCH(11,회차설정!$G$13:$G$27,0),MATCH(11,회차설정!$F$13:$F$27,0)),""))</f>
        <v/>
      </c>
    </row>
    <row r="2228">
      <c r="A2228" s="14">
        <f>IF($S$2218="","",INDEX(회차설정!$A$13:$A$27,$S$2218))</f>
        <v/>
      </c>
      <c r="B2228" s="14">
        <f>IF($S$2218="","",INDEX(회차설정!$B$13:$B$27,$S$2218))</f>
        <v/>
      </c>
      <c r="C2228" s="8" t="n"/>
      <c r="D2228" s="14">
        <f>IF($S$2218="","",IF($R$2218="언어와 매체",SUMPRODUCT((자동계산!$A$4:$A$48&gt;=INDEX(회차설정!$C$13:$C$27,$S$2218))*(자동계산!$A$4:$A$48&lt;=INDEX(회차설정!$D$13:$D$27,$S$2218))*자동계산!$E$4:$E$48),SUMPRODUCT((자동계산!$A$4:$A$48&gt;=INDEX(회차설정!$C$13:$C$27,$S$2218))*(자동계산!$A$4:$A$48&lt;=INDEX(회차설정!$D$13:$D$27,$S$2218))*자동계산!$C$4:$C$48)))</f>
        <v/>
      </c>
      <c r="E2228" s="14">
        <f>IF(OR($S$2218="",$R$2217=""),"",SUM(OFFSET(전체채점!$AW$2,$R$2217,INDEX(회차설정!$C$13:$C$27,$S$2218),1,INDEX(회차설정!$D$13:$D$27,$S$2218)-INDEX(회차설정!$C$13:$C$27,$S$2218)+1)))</f>
        <v/>
      </c>
      <c r="F2228" s="46">
        <f>IF(OR($S$2218="",$D2228=0,$D2228="",$E2228=""),"",$E2228/$D2228*100)</f>
        <v/>
      </c>
      <c r="G2228" s="8" t="n"/>
      <c r="H2228" s="47">
        <f>IF($F2228="","",REPT("■",ROUND($F2228/5,0)))</f>
        <v/>
      </c>
      <c r="I2228" s="7" t="n"/>
      <c r="J2228" s="7" t="n"/>
      <c r="K2228" s="7" t="n"/>
      <c r="L2228" s="7" t="n"/>
      <c r="M2228" s="7" t="n"/>
      <c r="N2228" s="7" t="n"/>
      <c r="O2228" s="7" t="n"/>
      <c r="P2228" s="8" t="n"/>
      <c r="S2228" s="37">
        <f>IF($R$2218="","",IFERROR(IF($R$2218="언어와 매체",MATCH(12,회차설정!$G$13:$G$27,0),MATCH(12,회차설정!$F$13:$F$27,0)),""))</f>
        <v/>
      </c>
    </row>
    <row r="2229">
      <c r="A2229" s="14">
        <f>IF($S$2219="","",INDEX(회차설정!$A$13:$A$27,$S$2219))</f>
        <v/>
      </c>
      <c r="B2229" s="14">
        <f>IF($S$2219="","",INDEX(회차설정!$B$13:$B$27,$S$2219))</f>
        <v/>
      </c>
      <c r="C2229" s="8" t="n"/>
      <c r="D2229" s="14">
        <f>IF($S$2219="","",IF($R$2218="언어와 매체",SUMPRODUCT((자동계산!$A$4:$A$48&gt;=INDEX(회차설정!$C$13:$C$27,$S$2219))*(자동계산!$A$4:$A$48&lt;=INDEX(회차설정!$D$13:$D$27,$S$2219))*자동계산!$E$4:$E$48),SUMPRODUCT((자동계산!$A$4:$A$48&gt;=INDEX(회차설정!$C$13:$C$27,$S$2219))*(자동계산!$A$4:$A$48&lt;=INDEX(회차설정!$D$13:$D$27,$S$2219))*자동계산!$C$4:$C$48)))</f>
        <v/>
      </c>
      <c r="E2229" s="14">
        <f>IF(OR($S$2219="",$R$2217=""),"",SUM(OFFSET(전체채점!$AW$2,$R$2217,INDEX(회차설정!$C$13:$C$27,$S$2219),1,INDEX(회차설정!$D$13:$D$27,$S$2219)-INDEX(회차설정!$C$13:$C$27,$S$2219)+1)))</f>
        <v/>
      </c>
      <c r="F2229" s="46">
        <f>IF(OR($S$2219="",$D2229=0,$D2229="",$E2229=""),"",$E2229/$D2229*100)</f>
        <v/>
      </c>
      <c r="G2229" s="8" t="n"/>
      <c r="H2229" s="47">
        <f>IF($F2229="","",REPT("■",ROUND($F2229/5,0)))</f>
        <v/>
      </c>
      <c r="I2229" s="7" t="n"/>
      <c r="J2229" s="7" t="n"/>
      <c r="K2229" s="7" t="n"/>
      <c r="L2229" s="7" t="n"/>
      <c r="M2229" s="7" t="n"/>
      <c r="N2229" s="7" t="n"/>
      <c r="O2229" s="7" t="n"/>
      <c r="P2229" s="8" t="n"/>
    </row>
    <row r="2230">
      <c r="A2230" s="14">
        <f>IF($S$2220="","",INDEX(회차설정!$A$13:$A$27,$S$2220))</f>
        <v/>
      </c>
      <c r="B2230" s="14">
        <f>IF($S$2220="","",INDEX(회차설정!$B$13:$B$27,$S$2220))</f>
        <v/>
      </c>
      <c r="C2230" s="8" t="n"/>
      <c r="D2230" s="14">
        <f>IF($S$2220="","",IF($R$2218="언어와 매체",SUMPRODUCT((자동계산!$A$4:$A$48&gt;=INDEX(회차설정!$C$13:$C$27,$S$2220))*(자동계산!$A$4:$A$48&lt;=INDEX(회차설정!$D$13:$D$27,$S$2220))*자동계산!$E$4:$E$48),SUMPRODUCT((자동계산!$A$4:$A$48&gt;=INDEX(회차설정!$C$13:$C$27,$S$2220))*(자동계산!$A$4:$A$48&lt;=INDEX(회차설정!$D$13:$D$27,$S$2220))*자동계산!$C$4:$C$48)))</f>
        <v/>
      </c>
      <c r="E2230" s="14">
        <f>IF(OR($S$2220="",$R$2217=""),"",SUM(OFFSET(전체채점!$AW$2,$R$2217,INDEX(회차설정!$C$13:$C$27,$S$2220),1,INDEX(회차설정!$D$13:$D$27,$S$2220)-INDEX(회차설정!$C$13:$C$27,$S$2220)+1)))</f>
        <v/>
      </c>
      <c r="F2230" s="46">
        <f>IF(OR($S$2220="",$D2230=0,$D2230="",$E2230=""),"",$E2230/$D2230*100)</f>
        <v/>
      </c>
      <c r="G2230" s="8" t="n"/>
      <c r="H2230" s="47">
        <f>IF($F2230="","",REPT("■",ROUND($F2230/5,0)))</f>
        <v/>
      </c>
      <c r="I2230" s="7" t="n"/>
      <c r="J2230" s="7" t="n"/>
      <c r="K2230" s="7" t="n"/>
      <c r="L2230" s="7" t="n"/>
      <c r="M2230" s="7" t="n"/>
      <c r="N2230" s="7" t="n"/>
      <c r="O2230" s="7" t="n"/>
      <c r="P2230" s="8" t="n"/>
    </row>
    <row r="2231">
      <c r="A2231" s="14">
        <f>IF($S$2221="","",INDEX(회차설정!$A$13:$A$27,$S$2221))</f>
        <v/>
      </c>
      <c r="B2231" s="14">
        <f>IF($S$2221="","",INDEX(회차설정!$B$13:$B$27,$S$2221))</f>
        <v/>
      </c>
      <c r="C2231" s="8" t="n"/>
      <c r="D2231" s="14">
        <f>IF($S$2221="","",IF($R$2218="언어와 매체",SUMPRODUCT((자동계산!$A$4:$A$48&gt;=INDEX(회차설정!$C$13:$C$27,$S$2221))*(자동계산!$A$4:$A$48&lt;=INDEX(회차설정!$D$13:$D$27,$S$2221))*자동계산!$E$4:$E$48),SUMPRODUCT((자동계산!$A$4:$A$48&gt;=INDEX(회차설정!$C$13:$C$27,$S$2221))*(자동계산!$A$4:$A$48&lt;=INDEX(회차설정!$D$13:$D$27,$S$2221))*자동계산!$C$4:$C$48)))</f>
        <v/>
      </c>
      <c r="E2231" s="14">
        <f>IF(OR($S$2221="",$R$2217=""),"",SUM(OFFSET(전체채점!$AW$2,$R$2217,INDEX(회차설정!$C$13:$C$27,$S$2221),1,INDEX(회차설정!$D$13:$D$27,$S$2221)-INDEX(회차설정!$C$13:$C$27,$S$2221)+1)))</f>
        <v/>
      </c>
      <c r="F2231" s="46">
        <f>IF(OR($S$2221="",$D2231=0,$D2231="",$E2231=""),"",$E2231/$D2231*100)</f>
        <v/>
      </c>
      <c r="G2231" s="8" t="n"/>
      <c r="H2231" s="47">
        <f>IF($F2231="","",REPT("■",ROUND($F2231/5,0)))</f>
        <v/>
      </c>
      <c r="I2231" s="7" t="n"/>
      <c r="J2231" s="7" t="n"/>
      <c r="K2231" s="7" t="n"/>
      <c r="L2231" s="7" t="n"/>
      <c r="M2231" s="7" t="n"/>
      <c r="N2231" s="7" t="n"/>
      <c r="O2231" s="7" t="n"/>
      <c r="P2231" s="8" t="n"/>
    </row>
    <row r="2232">
      <c r="A2232" s="14">
        <f>IF($S$2222="","",INDEX(회차설정!$A$13:$A$27,$S$2222))</f>
        <v/>
      </c>
      <c r="B2232" s="14">
        <f>IF($S$2222="","",INDEX(회차설정!$B$13:$B$27,$S$2222))</f>
        <v/>
      </c>
      <c r="C2232" s="8" t="n"/>
      <c r="D2232" s="14">
        <f>IF($S$2222="","",IF($R$2218="언어와 매체",SUMPRODUCT((자동계산!$A$4:$A$48&gt;=INDEX(회차설정!$C$13:$C$27,$S$2222))*(자동계산!$A$4:$A$48&lt;=INDEX(회차설정!$D$13:$D$27,$S$2222))*자동계산!$E$4:$E$48),SUMPRODUCT((자동계산!$A$4:$A$48&gt;=INDEX(회차설정!$C$13:$C$27,$S$2222))*(자동계산!$A$4:$A$48&lt;=INDEX(회차설정!$D$13:$D$27,$S$2222))*자동계산!$C$4:$C$48)))</f>
        <v/>
      </c>
      <c r="E2232" s="14">
        <f>IF(OR($S$2222="",$R$2217=""),"",SUM(OFFSET(전체채점!$AW$2,$R$2217,INDEX(회차설정!$C$13:$C$27,$S$2222),1,INDEX(회차설정!$D$13:$D$27,$S$2222)-INDEX(회차설정!$C$13:$C$27,$S$2222)+1)))</f>
        <v/>
      </c>
      <c r="F2232" s="46">
        <f>IF(OR($S$2222="",$D2232=0,$D2232="",$E2232=""),"",$E2232/$D2232*100)</f>
        <v/>
      </c>
      <c r="G2232" s="8" t="n"/>
      <c r="H2232" s="47">
        <f>IF($F2232="","",REPT("■",ROUND($F2232/5,0)))</f>
        <v/>
      </c>
      <c r="I2232" s="7" t="n"/>
      <c r="J2232" s="7" t="n"/>
      <c r="K2232" s="7" t="n"/>
      <c r="L2232" s="7" t="n"/>
      <c r="M2232" s="7" t="n"/>
      <c r="N2232" s="7" t="n"/>
      <c r="O2232" s="7" t="n"/>
      <c r="P2232" s="8" t="n"/>
    </row>
    <row r="2233">
      <c r="A2233" s="14">
        <f>IF($S$2223="","",INDEX(회차설정!$A$13:$A$27,$S$2223))</f>
        <v/>
      </c>
      <c r="B2233" s="14">
        <f>IF($S$2223="","",INDEX(회차설정!$B$13:$B$27,$S$2223))</f>
        <v/>
      </c>
      <c r="C2233" s="8" t="n"/>
      <c r="D2233" s="14">
        <f>IF($S$2223="","",IF($R$2218="언어와 매체",SUMPRODUCT((자동계산!$A$4:$A$48&gt;=INDEX(회차설정!$C$13:$C$27,$S$2223))*(자동계산!$A$4:$A$48&lt;=INDEX(회차설정!$D$13:$D$27,$S$2223))*자동계산!$E$4:$E$48),SUMPRODUCT((자동계산!$A$4:$A$48&gt;=INDEX(회차설정!$C$13:$C$27,$S$2223))*(자동계산!$A$4:$A$48&lt;=INDEX(회차설정!$D$13:$D$27,$S$2223))*자동계산!$C$4:$C$48)))</f>
        <v/>
      </c>
      <c r="E2233" s="14">
        <f>IF(OR($S$2223="",$R$2217=""),"",SUM(OFFSET(전체채점!$AW$2,$R$2217,INDEX(회차설정!$C$13:$C$27,$S$2223),1,INDEX(회차설정!$D$13:$D$27,$S$2223)-INDEX(회차설정!$C$13:$C$27,$S$2223)+1)))</f>
        <v/>
      </c>
      <c r="F2233" s="46">
        <f>IF(OR($S$2223="",$D2233=0,$D2233="",$E2233=""),"",$E2233/$D2233*100)</f>
        <v/>
      </c>
      <c r="G2233" s="8" t="n"/>
      <c r="H2233" s="47">
        <f>IF($F2233="","",REPT("■",ROUND($F2233/5,0)))</f>
        <v/>
      </c>
      <c r="I2233" s="7" t="n"/>
      <c r="J2233" s="7" t="n"/>
      <c r="K2233" s="7" t="n"/>
      <c r="L2233" s="7" t="n"/>
      <c r="M2233" s="7" t="n"/>
      <c r="N2233" s="7" t="n"/>
      <c r="O2233" s="7" t="n"/>
      <c r="P2233" s="8" t="n"/>
    </row>
    <row r="2234">
      <c r="A2234" s="14">
        <f>IF($S$2224="","",INDEX(회차설정!$A$13:$A$27,$S$2224))</f>
        <v/>
      </c>
      <c r="B2234" s="14">
        <f>IF($S$2224="","",INDEX(회차설정!$B$13:$B$27,$S$2224))</f>
        <v/>
      </c>
      <c r="C2234" s="8" t="n"/>
      <c r="D2234" s="14">
        <f>IF($S$2224="","",IF($R$2218="언어와 매체",SUMPRODUCT((자동계산!$A$4:$A$48&gt;=INDEX(회차설정!$C$13:$C$27,$S$2224))*(자동계산!$A$4:$A$48&lt;=INDEX(회차설정!$D$13:$D$27,$S$2224))*자동계산!$E$4:$E$48),SUMPRODUCT((자동계산!$A$4:$A$48&gt;=INDEX(회차설정!$C$13:$C$27,$S$2224))*(자동계산!$A$4:$A$48&lt;=INDEX(회차설정!$D$13:$D$27,$S$2224))*자동계산!$C$4:$C$48)))</f>
        <v/>
      </c>
      <c r="E2234" s="14">
        <f>IF(OR($S$2224="",$R$2217=""),"",SUM(OFFSET(전체채점!$AW$2,$R$2217,INDEX(회차설정!$C$13:$C$27,$S$2224),1,INDEX(회차설정!$D$13:$D$27,$S$2224)-INDEX(회차설정!$C$13:$C$27,$S$2224)+1)))</f>
        <v/>
      </c>
      <c r="F2234" s="46">
        <f>IF(OR($S$2224="",$D2234=0,$D2234="",$E2234=""),"",$E2234/$D2234*100)</f>
        <v/>
      </c>
      <c r="G2234" s="8" t="n"/>
      <c r="H2234" s="47">
        <f>IF($F2234="","",REPT("■",ROUND($F2234/5,0)))</f>
        <v/>
      </c>
      <c r="I2234" s="7" t="n"/>
      <c r="J2234" s="7" t="n"/>
      <c r="K2234" s="7" t="n"/>
      <c r="L2234" s="7" t="n"/>
      <c r="M2234" s="7" t="n"/>
      <c r="N2234" s="7" t="n"/>
      <c r="O2234" s="7" t="n"/>
      <c r="P2234" s="8" t="n"/>
    </row>
    <row r="2235">
      <c r="A2235" s="14">
        <f>IF($S$2225="","",INDEX(회차설정!$A$13:$A$27,$S$2225))</f>
        <v/>
      </c>
      <c r="B2235" s="14">
        <f>IF($S$2225="","",INDEX(회차설정!$B$13:$B$27,$S$2225))</f>
        <v/>
      </c>
      <c r="C2235" s="8" t="n"/>
      <c r="D2235" s="14">
        <f>IF($S$2225="","",IF($R$2218="언어와 매체",SUMPRODUCT((자동계산!$A$4:$A$48&gt;=INDEX(회차설정!$C$13:$C$27,$S$2225))*(자동계산!$A$4:$A$48&lt;=INDEX(회차설정!$D$13:$D$27,$S$2225))*자동계산!$E$4:$E$48),SUMPRODUCT((자동계산!$A$4:$A$48&gt;=INDEX(회차설정!$C$13:$C$27,$S$2225))*(자동계산!$A$4:$A$48&lt;=INDEX(회차설정!$D$13:$D$27,$S$2225))*자동계산!$C$4:$C$48)))</f>
        <v/>
      </c>
      <c r="E2235" s="14">
        <f>IF(OR($S$2225="",$R$2217=""),"",SUM(OFFSET(전체채점!$AW$2,$R$2217,INDEX(회차설정!$C$13:$C$27,$S$2225),1,INDEX(회차설정!$D$13:$D$27,$S$2225)-INDEX(회차설정!$C$13:$C$27,$S$2225)+1)))</f>
        <v/>
      </c>
      <c r="F2235" s="46">
        <f>IF(OR($S$2225="",$D2235=0,$D2235="",$E2235=""),"",$E2235/$D2235*100)</f>
        <v/>
      </c>
      <c r="G2235" s="8" t="n"/>
      <c r="H2235" s="47">
        <f>IF($F2235="","",REPT("■",ROUND($F2235/5,0)))</f>
        <v/>
      </c>
      <c r="I2235" s="7" t="n"/>
      <c r="J2235" s="7" t="n"/>
      <c r="K2235" s="7" t="n"/>
      <c r="L2235" s="7" t="n"/>
      <c r="M2235" s="7" t="n"/>
      <c r="N2235" s="7" t="n"/>
      <c r="O2235" s="7" t="n"/>
      <c r="P2235" s="8" t="n"/>
    </row>
    <row r="2236">
      <c r="A2236" s="14">
        <f>IF($S$2226="","",INDEX(회차설정!$A$13:$A$27,$S$2226))</f>
        <v/>
      </c>
      <c r="B2236" s="14">
        <f>IF($S$2226="","",INDEX(회차설정!$B$13:$B$27,$S$2226))</f>
        <v/>
      </c>
      <c r="C2236" s="8" t="n"/>
      <c r="D2236" s="14">
        <f>IF($S$2226="","",IF($R$2218="언어와 매체",SUMPRODUCT((자동계산!$A$4:$A$48&gt;=INDEX(회차설정!$C$13:$C$27,$S$2226))*(자동계산!$A$4:$A$48&lt;=INDEX(회차설정!$D$13:$D$27,$S$2226))*자동계산!$E$4:$E$48),SUMPRODUCT((자동계산!$A$4:$A$48&gt;=INDEX(회차설정!$C$13:$C$27,$S$2226))*(자동계산!$A$4:$A$48&lt;=INDEX(회차설정!$D$13:$D$27,$S$2226))*자동계산!$C$4:$C$48)))</f>
        <v/>
      </c>
      <c r="E2236" s="14">
        <f>IF(OR($S$2226="",$R$2217=""),"",SUM(OFFSET(전체채점!$AW$2,$R$2217,INDEX(회차설정!$C$13:$C$27,$S$2226),1,INDEX(회차설정!$D$13:$D$27,$S$2226)-INDEX(회차설정!$C$13:$C$27,$S$2226)+1)))</f>
        <v/>
      </c>
      <c r="F2236" s="46">
        <f>IF(OR($S$2226="",$D2236=0,$D2236="",$E2236=""),"",$E2236/$D2236*100)</f>
        <v/>
      </c>
      <c r="G2236" s="8" t="n"/>
      <c r="H2236" s="47">
        <f>IF($F2236="","",REPT("■",ROUND($F2236/5,0)))</f>
        <v/>
      </c>
      <c r="I2236" s="7" t="n"/>
      <c r="J2236" s="7" t="n"/>
      <c r="K2236" s="7" t="n"/>
      <c r="L2236" s="7" t="n"/>
      <c r="M2236" s="7" t="n"/>
      <c r="N2236" s="7" t="n"/>
      <c r="O2236" s="7" t="n"/>
      <c r="P2236" s="8" t="n"/>
    </row>
    <row r="2237">
      <c r="A2237" s="14">
        <f>IF($S$2227="","",INDEX(회차설정!$A$13:$A$27,$S$2227))</f>
        <v/>
      </c>
      <c r="B2237" s="14">
        <f>IF($S$2227="","",INDEX(회차설정!$B$13:$B$27,$S$2227))</f>
        <v/>
      </c>
      <c r="C2237" s="8" t="n"/>
      <c r="D2237" s="14">
        <f>IF($S$2227="","",IF($R$2218="언어와 매체",SUMPRODUCT((자동계산!$A$4:$A$48&gt;=INDEX(회차설정!$C$13:$C$27,$S$2227))*(자동계산!$A$4:$A$48&lt;=INDEX(회차설정!$D$13:$D$27,$S$2227))*자동계산!$E$4:$E$48),SUMPRODUCT((자동계산!$A$4:$A$48&gt;=INDEX(회차설정!$C$13:$C$27,$S$2227))*(자동계산!$A$4:$A$48&lt;=INDEX(회차설정!$D$13:$D$27,$S$2227))*자동계산!$C$4:$C$48)))</f>
        <v/>
      </c>
      <c r="E2237" s="14">
        <f>IF(OR($S$2227="",$R$2217=""),"",SUM(OFFSET(전체채점!$AW$2,$R$2217,INDEX(회차설정!$C$13:$C$27,$S$2227),1,INDEX(회차설정!$D$13:$D$27,$S$2227)-INDEX(회차설정!$C$13:$C$27,$S$2227)+1)))</f>
        <v/>
      </c>
      <c r="F2237" s="46">
        <f>IF(OR($S$2227="",$D2237=0,$D2237="",$E2237=""),"",$E2237/$D2237*100)</f>
        <v/>
      </c>
      <c r="G2237" s="8" t="n"/>
      <c r="H2237" s="47">
        <f>IF($F2237="","",REPT("■",ROUND($F2237/5,0)))</f>
        <v/>
      </c>
      <c r="I2237" s="7" t="n"/>
      <c r="J2237" s="7" t="n"/>
      <c r="K2237" s="7" t="n"/>
      <c r="L2237" s="7" t="n"/>
      <c r="M2237" s="7" t="n"/>
      <c r="N2237" s="7" t="n"/>
      <c r="O2237" s="7" t="n"/>
      <c r="P2237" s="8" t="n"/>
    </row>
    <row r="2238">
      <c r="A2238" s="14">
        <f>IF($S$2228="","",INDEX(회차설정!$A$13:$A$27,$S$2228))</f>
        <v/>
      </c>
      <c r="B2238" s="14">
        <f>IF($S$2228="","",INDEX(회차설정!$B$13:$B$27,$S$2228))</f>
        <v/>
      </c>
      <c r="C2238" s="8" t="n"/>
      <c r="D2238" s="14">
        <f>IF($S$2228="","",IF($R$2218="언어와 매체",SUMPRODUCT((자동계산!$A$4:$A$48&gt;=INDEX(회차설정!$C$13:$C$27,$S$2228))*(자동계산!$A$4:$A$48&lt;=INDEX(회차설정!$D$13:$D$27,$S$2228))*자동계산!$E$4:$E$48),SUMPRODUCT((자동계산!$A$4:$A$48&gt;=INDEX(회차설정!$C$13:$C$27,$S$2228))*(자동계산!$A$4:$A$48&lt;=INDEX(회차설정!$D$13:$D$27,$S$2228))*자동계산!$C$4:$C$48)))</f>
        <v/>
      </c>
      <c r="E2238" s="14">
        <f>IF(OR($S$2228="",$R$2217=""),"",SUM(OFFSET(전체채점!$AW$2,$R$2217,INDEX(회차설정!$C$13:$C$27,$S$2228),1,INDEX(회차설정!$D$13:$D$27,$S$2228)-INDEX(회차설정!$C$13:$C$27,$S$2228)+1)))</f>
        <v/>
      </c>
      <c r="F2238" s="46">
        <f>IF(OR($S$2228="",$D2238=0,$D2238="",$E2238=""),"",$E2238/$D2238*100)</f>
        <v/>
      </c>
      <c r="G2238" s="8" t="n"/>
      <c r="H2238" s="47">
        <f>IF($F2238="","",REPT("■",ROUND($F2238/5,0)))</f>
        <v/>
      </c>
      <c r="I2238" s="7" t="n"/>
      <c r="J2238" s="7" t="n"/>
      <c r="K2238" s="7" t="n"/>
      <c r="L2238" s="7" t="n"/>
      <c r="M2238" s="7" t="n"/>
      <c r="N2238" s="7" t="n"/>
      <c r="O2238" s="7" t="n"/>
      <c r="P2238" s="8" t="n"/>
    </row>
    <row r="2239">
      <c r="A2239" s="5">
        <f>IF($R$2217="","","합계")</f>
        <v/>
      </c>
      <c r="B2239" s="7" t="n"/>
      <c r="C2239" s="8" t="n"/>
      <c r="D2239" s="5">
        <f>IF($R$2217="","",SUM(D2227:D2238))</f>
        <v/>
      </c>
      <c r="E2239" s="5">
        <f>IF($R$2217="","",SUM(E2227:E2238))</f>
        <v/>
      </c>
      <c r="F2239" s="48">
        <f>IF(OR($D2239=0,$D2239=""),"",$E2239/$D2239*100)</f>
        <v/>
      </c>
      <c r="G2239" s="8" t="n"/>
      <c r="H2239" s="49">
        <f>IF($F2239="","",REPT("■",ROUND($F2239/5,0)))</f>
        <v/>
      </c>
      <c r="I2239" s="7" t="n"/>
      <c r="J2239" s="7" t="n"/>
      <c r="K2239" s="7" t="n"/>
      <c r="L2239" s="7" t="n"/>
      <c r="M2239" s="7" t="n"/>
      <c r="N2239" s="7" t="n"/>
      <c r="O2239" s="7" t="n"/>
      <c r="P2239" s="8" t="n"/>
    </row>
    <row r="2241">
      <c r="A2241" s="12" t="inlineStr">
        <is>
          <t>4. 문항 채점표</t>
        </is>
      </c>
    </row>
    <row r="2242">
      <c r="A2242" s="50" t="inlineStr">
        <is>
          <t>문항 번호</t>
        </is>
      </c>
      <c r="B2242" s="51" t="n">
        <v>1</v>
      </c>
      <c r="C2242" s="51" t="n">
        <v>2</v>
      </c>
      <c r="D2242" s="51" t="n">
        <v>3</v>
      </c>
      <c r="E2242" s="51" t="n">
        <v>4</v>
      </c>
      <c r="F2242" s="51" t="n">
        <v>5</v>
      </c>
      <c r="G2242" s="51" t="n">
        <v>6</v>
      </c>
      <c r="H2242" s="51" t="n">
        <v>7</v>
      </c>
      <c r="I2242" s="51" t="n">
        <v>8</v>
      </c>
      <c r="J2242" s="51" t="n">
        <v>9</v>
      </c>
      <c r="K2242" s="51" t="n">
        <v>10</v>
      </c>
      <c r="L2242" s="51" t="n">
        <v>11</v>
      </c>
      <c r="M2242" s="51" t="n">
        <v>12</v>
      </c>
      <c r="N2242" s="51" t="n">
        <v>13</v>
      </c>
      <c r="O2242" s="51" t="n">
        <v>14</v>
      </c>
      <c r="P2242" s="51" t="n">
        <v>15</v>
      </c>
    </row>
    <row r="2243">
      <c r="A2243" s="52" t="inlineStr">
        <is>
          <t>정답</t>
        </is>
      </c>
      <c r="B2243" s="33">
        <f>IF($R$2218="","",IF($R$2218="언어와 매체",자동계산!$D$4,자동계산!$B$4))</f>
        <v/>
      </c>
      <c r="C2243" s="33">
        <f>IF($R$2218="","",IF($R$2218="언어와 매체",자동계산!$D$5,자동계산!$B$5))</f>
        <v/>
      </c>
      <c r="D2243" s="33">
        <f>IF($R$2218="","",IF($R$2218="언어와 매체",자동계산!$D$6,자동계산!$B$6))</f>
        <v/>
      </c>
      <c r="E2243" s="33">
        <f>IF($R$2218="","",IF($R$2218="언어와 매체",자동계산!$D$7,자동계산!$B$7))</f>
        <v/>
      </c>
      <c r="F2243" s="33">
        <f>IF($R$2218="","",IF($R$2218="언어와 매체",자동계산!$D$8,자동계산!$B$8))</f>
        <v/>
      </c>
      <c r="G2243" s="33">
        <f>IF($R$2218="","",IF($R$2218="언어와 매체",자동계산!$D$9,자동계산!$B$9))</f>
        <v/>
      </c>
      <c r="H2243" s="33">
        <f>IF($R$2218="","",IF($R$2218="언어와 매체",자동계산!$D$10,자동계산!$B$10))</f>
        <v/>
      </c>
      <c r="I2243" s="33">
        <f>IF($R$2218="","",IF($R$2218="언어와 매체",자동계산!$D$11,자동계산!$B$11))</f>
        <v/>
      </c>
      <c r="J2243" s="33">
        <f>IF($R$2218="","",IF($R$2218="언어와 매체",자동계산!$D$12,자동계산!$B$12))</f>
        <v/>
      </c>
      <c r="K2243" s="33">
        <f>IF($R$2218="","",IF($R$2218="언어와 매체",자동계산!$D$13,자동계산!$B$13))</f>
        <v/>
      </c>
      <c r="L2243" s="33">
        <f>IF($R$2218="","",IF($R$2218="언어와 매체",자동계산!$D$14,자동계산!$B$14))</f>
        <v/>
      </c>
      <c r="M2243" s="33">
        <f>IF($R$2218="","",IF($R$2218="언어와 매체",자동계산!$D$15,자동계산!$B$15))</f>
        <v/>
      </c>
      <c r="N2243" s="33">
        <f>IF($R$2218="","",IF($R$2218="언어와 매체",자동계산!$D$16,자동계산!$B$16))</f>
        <v/>
      </c>
      <c r="O2243" s="33">
        <f>IF($R$2218="","",IF($R$2218="언어와 매체",자동계산!$D$17,자동계산!$B$17))</f>
        <v/>
      </c>
      <c r="P2243" s="33">
        <f>IF($R$2218="","",IF($R$2218="언어와 매체",자동계산!$D$18,자동계산!$B$18))</f>
        <v/>
      </c>
    </row>
    <row r="2244">
      <c r="A2244" s="52" t="inlineStr">
        <is>
          <t>학생답안</t>
        </is>
      </c>
      <c r="B2244" s="33">
        <f>IF($R$2217="","",INDEX(전체채점!E$3:E$62,$R$2217))</f>
        <v/>
      </c>
      <c r="C2244" s="33">
        <f>IF($R$2217="","",INDEX(전체채점!F$3:F$62,$R$2217))</f>
        <v/>
      </c>
      <c r="D2244" s="33">
        <f>IF($R$2217="","",INDEX(전체채점!G$3:G$62,$R$2217))</f>
        <v/>
      </c>
      <c r="E2244" s="33">
        <f>IF($R$2217="","",INDEX(전체채점!H$3:H$62,$R$2217))</f>
        <v/>
      </c>
      <c r="F2244" s="33">
        <f>IF($R$2217="","",INDEX(전체채점!I$3:I$62,$R$2217))</f>
        <v/>
      </c>
      <c r="G2244" s="33">
        <f>IF($R$2217="","",INDEX(전체채점!J$3:J$62,$R$2217))</f>
        <v/>
      </c>
      <c r="H2244" s="33">
        <f>IF($R$2217="","",INDEX(전체채점!K$3:K$62,$R$2217))</f>
        <v/>
      </c>
      <c r="I2244" s="33">
        <f>IF($R$2217="","",INDEX(전체채점!L$3:L$62,$R$2217))</f>
        <v/>
      </c>
      <c r="J2244" s="33">
        <f>IF($R$2217="","",INDEX(전체채점!M$3:M$62,$R$2217))</f>
        <v/>
      </c>
      <c r="K2244" s="33">
        <f>IF($R$2217="","",INDEX(전체채점!N$3:N$62,$R$2217))</f>
        <v/>
      </c>
      <c r="L2244" s="33">
        <f>IF($R$2217="","",INDEX(전체채점!O$3:O$62,$R$2217))</f>
        <v/>
      </c>
      <c r="M2244" s="33">
        <f>IF($R$2217="","",INDEX(전체채점!P$3:P$62,$R$2217))</f>
        <v/>
      </c>
      <c r="N2244" s="33">
        <f>IF($R$2217="","",INDEX(전체채점!Q$3:Q$62,$R$2217))</f>
        <v/>
      </c>
      <c r="O2244" s="33">
        <f>IF($R$2217="","",INDEX(전체채점!R$3:R$62,$R$2217))</f>
        <v/>
      </c>
      <c r="P2244" s="33">
        <f>IF($R$2217="","",INDEX(전체채점!S$3:S$62,$R$2217))</f>
        <v/>
      </c>
    </row>
    <row r="2245">
      <c r="A2245" s="52" t="inlineStr">
        <is>
          <t>정오</t>
        </is>
      </c>
      <c r="B2245" s="33">
        <f>IF($R$2217="","",INDEX(전체채점!AX$3:AX$62,$R$2217))</f>
        <v/>
      </c>
      <c r="C2245" s="33">
        <f>IF($R$2217="","",INDEX(전체채점!AY$3:AY$62,$R$2217))</f>
        <v/>
      </c>
      <c r="D2245" s="33">
        <f>IF($R$2217="","",INDEX(전체채점!AZ$3:AZ$62,$R$2217))</f>
        <v/>
      </c>
      <c r="E2245" s="33">
        <f>IF($R$2217="","",INDEX(전체채점!BA$3:BA$62,$R$2217))</f>
        <v/>
      </c>
      <c r="F2245" s="33">
        <f>IF($R$2217="","",INDEX(전체채점!BB$3:BB$62,$R$2217))</f>
        <v/>
      </c>
      <c r="G2245" s="33">
        <f>IF($R$2217="","",INDEX(전체채점!BC$3:BC$62,$R$2217))</f>
        <v/>
      </c>
      <c r="H2245" s="33">
        <f>IF($R$2217="","",INDEX(전체채점!BD$3:BD$62,$R$2217))</f>
        <v/>
      </c>
      <c r="I2245" s="33">
        <f>IF($R$2217="","",INDEX(전체채점!BE$3:BE$62,$R$2217))</f>
        <v/>
      </c>
      <c r="J2245" s="33">
        <f>IF($R$2217="","",INDEX(전체채점!BF$3:BF$62,$R$2217))</f>
        <v/>
      </c>
      <c r="K2245" s="33">
        <f>IF($R$2217="","",INDEX(전체채점!BG$3:BG$62,$R$2217))</f>
        <v/>
      </c>
      <c r="L2245" s="33">
        <f>IF($R$2217="","",INDEX(전체채점!BH$3:BH$62,$R$2217))</f>
        <v/>
      </c>
      <c r="M2245" s="33">
        <f>IF($R$2217="","",INDEX(전체채점!BI$3:BI$62,$R$2217))</f>
        <v/>
      </c>
      <c r="N2245" s="33">
        <f>IF($R$2217="","",INDEX(전체채점!BJ$3:BJ$62,$R$2217))</f>
        <v/>
      </c>
      <c r="O2245" s="33">
        <f>IF($R$2217="","",INDEX(전체채점!BK$3:BK$62,$R$2217))</f>
        <v/>
      </c>
      <c r="P2245" s="33">
        <f>IF($R$2217="","",INDEX(전체채점!BL$3:BL$62,$R$2217))</f>
        <v/>
      </c>
    </row>
    <row r="2246">
      <c r="A2246" s="50" t="inlineStr">
        <is>
          <t>문항 번호</t>
        </is>
      </c>
      <c r="B2246" s="51" t="n">
        <v>16</v>
      </c>
      <c r="C2246" s="51" t="n">
        <v>17</v>
      </c>
      <c r="D2246" s="51" t="n">
        <v>18</v>
      </c>
      <c r="E2246" s="51" t="n">
        <v>19</v>
      </c>
      <c r="F2246" s="51" t="n">
        <v>20</v>
      </c>
      <c r="G2246" s="51" t="n">
        <v>21</v>
      </c>
      <c r="H2246" s="51" t="n">
        <v>22</v>
      </c>
      <c r="I2246" s="51" t="n">
        <v>23</v>
      </c>
      <c r="J2246" s="51" t="n">
        <v>24</v>
      </c>
      <c r="K2246" s="51" t="n">
        <v>25</v>
      </c>
      <c r="L2246" s="51" t="n">
        <v>26</v>
      </c>
      <c r="M2246" s="51" t="n">
        <v>27</v>
      </c>
      <c r="N2246" s="51" t="n">
        <v>28</v>
      </c>
      <c r="O2246" s="51" t="n">
        <v>29</v>
      </c>
      <c r="P2246" s="51" t="n">
        <v>30</v>
      </c>
    </row>
    <row r="2247">
      <c r="A2247" s="52" t="inlineStr">
        <is>
          <t>정답</t>
        </is>
      </c>
      <c r="B2247" s="33">
        <f>IF($R$2218="","",IF($R$2218="언어와 매체",자동계산!$D$19,자동계산!$B$19))</f>
        <v/>
      </c>
      <c r="C2247" s="33">
        <f>IF($R$2218="","",IF($R$2218="언어와 매체",자동계산!$D$20,자동계산!$B$20))</f>
        <v/>
      </c>
      <c r="D2247" s="33">
        <f>IF($R$2218="","",IF($R$2218="언어와 매체",자동계산!$D$21,자동계산!$B$21))</f>
        <v/>
      </c>
      <c r="E2247" s="33">
        <f>IF($R$2218="","",IF($R$2218="언어와 매체",자동계산!$D$22,자동계산!$B$22))</f>
        <v/>
      </c>
      <c r="F2247" s="33">
        <f>IF($R$2218="","",IF($R$2218="언어와 매체",자동계산!$D$23,자동계산!$B$23))</f>
        <v/>
      </c>
      <c r="G2247" s="33">
        <f>IF($R$2218="","",IF($R$2218="언어와 매체",자동계산!$D$24,자동계산!$B$24))</f>
        <v/>
      </c>
      <c r="H2247" s="33">
        <f>IF($R$2218="","",IF($R$2218="언어와 매체",자동계산!$D$25,자동계산!$B$25))</f>
        <v/>
      </c>
      <c r="I2247" s="33">
        <f>IF($R$2218="","",IF($R$2218="언어와 매체",자동계산!$D$26,자동계산!$B$26))</f>
        <v/>
      </c>
      <c r="J2247" s="33">
        <f>IF($R$2218="","",IF($R$2218="언어와 매체",자동계산!$D$27,자동계산!$B$27))</f>
        <v/>
      </c>
      <c r="K2247" s="33">
        <f>IF($R$2218="","",IF($R$2218="언어와 매체",자동계산!$D$28,자동계산!$B$28))</f>
        <v/>
      </c>
      <c r="L2247" s="33">
        <f>IF($R$2218="","",IF($R$2218="언어와 매체",자동계산!$D$29,자동계산!$B$29))</f>
        <v/>
      </c>
      <c r="M2247" s="33">
        <f>IF($R$2218="","",IF($R$2218="언어와 매체",자동계산!$D$30,자동계산!$B$30))</f>
        <v/>
      </c>
      <c r="N2247" s="33">
        <f>IF($R$2218="","",IF($R$2218="언어와 매체",자동계산!$D$31,자동계산!$B$31))</f>
        <v/>
      </c>
      <c r="O2247" s="33">
        <f>IF($R$2218="","",IF($R$2218="언어와 매체",자동계산!$D$32,자동계산!$B$32))</f>
        <v/>
      </c>
      <c r="P2247" s="33">
        <f>IF($R$2218="","",IF($R$2218="언어와 매체",자동계산!$D$33,자동계산!$B$33))</f>
        <v/>
      </c>
    </row>
    <row r="2248">
      <c r="A2248" s="52" t="inlineStr">
        <is>
          <t>학생답안</t>
        </is>
      </c>
      <c r="B2248" s="33">
        <f>IF($R$2217="","",INDEX(전체채점!T$3:T$62,$R$2217))</f>
        <v/>
      </c>
      <c r="C2248" s="33">
        <f>IF($R$2217="","",INDEX(전체채점!U$3:U$62,$R$2217))</f>
        <v/>
      </c>
      <c r="D2248" s="33">
        <f>IF($R$2217="","",INDEX(전체채점!V$3:V$62,$R$2217))</f>
        <v/>
      </c>
      <c r="E2248" s="33">
        <f>IF($R$2217="","",INDEX(전체채점!W$3:W$62,$R$2217))</f>
        <v/>
      </c>
      <c r="F2248" s="33">
        <f>IF($R$2217="","",INDEX(전체채점!X$3:X$62,$R$2217))</f>
        <v/>
      </c>
      <c r="G2248" s="33">
        <f>IF($R$2217="","",INDEX(전체채점!Y$3:Y$62,$R$2217))</f>
        <v/>
      </c>
      <c r="H2248" s="33">
        <f>IF($R$2217="","",INDEX(전체채점!Z$3:Z$62,$R$2217))</f>
        <v/>
      </c>
      <c r="I2248" s="33">
        <f>IF($R$2217="","",INDEX(전체채점!AA$3:AA$62,$R$2217))</f>
        <v/>
      </c>
      <c r="J2248" s="33">
        <f>IF($R$2217="","",INDEX(전체채점!AB$3:AB$62,$R$2217))</f>
        <v/>
      </c>
      <c r="K2248" s="33">
        <f>IF($R$2217="","",INDEX(전체채점!AC$3:AC$62,$R$2217))</f>
        <v/>
      </c>
      <c r="L2248" s="33">
        <f>IF($R$2217="","",INDEX(전체채점!AD$3:AD$62,$R$2217))</f>
        <v/>
      </c>
      <c r="M2248" s="33">
        <f>IF($R$2217="","",INDEX(전체채점!AE$3:AE$62,$R$2217))</f>
        <v/>
      </c>
      <c r="N2248" s="33">
        <f>IF($R$2217="","",INDEX(전체채점!AF$3:AF$62,$R$2217))</f>
        <v/>
      </c>
      <c r="O2248" s="33">
        <f>IF($R$2217="","",INDEX(전체채점!AG$3:AG$62,$R$2217))</f>
        <v/>
      </c>
      <c r="P2248" s="33">
        <f>IF($R$2217="","",INDEX(전체채점!AH$3:AH$62,$R$2217))</f>
        <v/>
      </c>
    </row>
    <row r="2249">
      <c r="A2249" s="52" t="inlineStr">
        <is>
          <t>정오</t>
        </is>
      </c>
      <c r="B2249" s="33">
        <f>IF($R$2217="","",INDEX(전체채점!BM$3:BM$62,$R$2217))</f>
        <v/>
      </c>
      <c r="C2249" s="33">
        <f>IF($R$2217="","",INDEX(전체채점!BN$3:BN$62,$R$2217))</f>
        <v/>
      </c>
      <c r="D2249" s="33">
        <f>IF($R$2217="","",INDEX(전체채점!BO$3:BO$62,$R$2217))</f>
        <v/>
      </c>
      <c r="E2249" s="33">
        <f>IF($R$2217="","",INDEX(전체채점!BP$3:BP$62,$R$2217))</f>
        <v/>
      </c>
      <c r="F2249" s="33">
        <f>IF($R$2217="","",INDEX(전체채점!BQ$3:BQ$62,$R$2217))</f>
        <v/>
      </c>
      <c r="G2249" s="33">
        <f>IF($R$2217="","",INDEX(전체채점!BR$3:BR$62,$R$2217))</f>
        <v/>
      </c>
      <c r="H2249" s="33">
        <f>IF($R$2217="","",INDEX(전체채점!BS$3:BS$62,$R$2217))</f>
        <v/>
      </c>
      <c r="I2249" s="33">
        <f>IF($R$2217="","",INDEX(전체채점!BT$3:BT$62,$R$2217))</f>
        <v/>
      </c>
      <c r="J2249" s="33">
        <f>IF($R$2217="","",INDEX(전체채점!BU$3:BU$62,$R$2217))</f>
        <v/>
      </c>
      <c r="K2249" s="33">
        <f>IF($R$2217="","",INDEX(전체채점!BV$3:BV$62,$R$2217))</f>
        <v/>
      </c>
      <c r="L2249" s="33">
        <f>IF($R$2217="","",INDEX(전체채점!BW$3:BW$62,$R$2217))</f>
        <v/>
      </c>
      <c r="M2249" s="33">
        <f>IF($R$2217="","",INDEX(전체채점!BX$3:BX$62,$R$2217))</f>
        <v/>
      </c>
      <c r="N2249" s="33">
        <f>IF($R$2217="","",INDEX(전체채점!BY$3:BY$62,$R$2217))</f>
        <v/>
      </c>
      <c r="O2249" s="33">
        <f>IF($R$2217="","",INDEX(전체채점!BZ$3:BZ$62,$R$2217))</f>
        <v/>
      </c>
      <c r="P2249" s="33">
        <f>IF($R$2217="","",INDEX(전체채점!CA$3:CA$62,$R$2217))</f>
        <v/>
      </c>
    </row>
    <row r="2250">
      <c r="A2250" s="50" t="inlineStr">
        <is>
          <t>문항 번호</t>
        </is>
      </c>
      <c r="B2250" s="51" t="n">
        <v>31</v>
      </c>
      <c r="C2250" s="51" t="n">
        <v>32</v>
      </c>
      <c r="D2250" s="51" t="n">
        <v>33</v>
      </c>
      <c r="E2250" s="51" t="n">
        <v>34</v>
      </c>
      <c r="F2250" s="51" t="n">
        <v>35</v>
      </c>
      <c r="G2250" s="51" t="n">
        <v>36</v>
      </c>
      <c r="H2250" s="51" t="n">
        <v>37</v>
      </c>
      <c r="I2250" s="51" t="n">
        <v>38</v>
      </c>
      <c r="J2250" s="51" t="n">
        <v>39</v>
      </c>
      <c r="K2250" s="51" t="n">
        <v>40</v>
      </c>
      <c r="L2250" s="51" t="n">
        <v>41</v>
      </c>
      <c r="M2250" s="51" t="n">
        <v>42</v>
      </c>
      <c r="N2250" s="51" t="n">
        <v>43</v>
      </c>
      <c r="O2250" s="51" t="n">
        <v>44</v>
      </c>
      <c r="P2250" s="51" t="n">
        <v>45</v>
      </c>
    </row>
    <row r="2251">
      <c r="A2251" s="52" t="inlineStr">
        <is>
          <t>정답</t>
        </is>
      </c>
      <c r="B2251" s="33">
        <f>IF($R$2218="","",IF($R$2218="언어와 매체",자동계산!$D$34,자동계산!$B$34))</f>
        <v/>
      </c>
      <c r="C2251" s="33">
        <f>IF($R$2218="","",IF($R$2218="언어와 매체",자동계산!$D$35,자동계산!$B$35))</f>
        <v/>
      </c>
      <c r="D2251" s="33">
        <f>IF($R$2218="","",IF($R$2218="언어와 매체",자동계산!$D$36,자동계산!$B$36))</f>
        <v/>
      </c>
      <c r="E2251" s="33">
        <f>IF($R$2218="","",IF($R$2218="언어와 매체",자동계산!$D$37,자동계산!$B$37))</f>
        <v/>
      </c>
      <c r="F2251" s="33">
        <f>IF($R$2218="","",IF($R$2218="언어와 매체",자동계산!$D$38,자동계산!$B$38))</f>
        <v/>
      </c>
      <c r="G2251" s="33">
        <f>IF($R$2218="","",IF($R$2218="언어와 매체",자동계산!$D$39,자동계산!$B$39))</f>
        <v/>
      </c>
      <c r="H2251" s="33">
        <f>IF($R$2218="","",IF($R$2218="언어와 매체",자동계산!$D$40,자동계산!$B$40))</f>
        <v/>
      </c>
      <c r="I2251" s="33">
        <f>IF($R$2218="","",IF($R$2218="언어와 매체",자동계산!$D$41,자동계산!$B$41))</f>
        <v/>
      </c>
      <c r="J2251" s="33">
        <f>IF($R$2218="","",IF($R$2218="언어와 매체",자동계산!$D$42,자동계산!$B$42))</f>
        <v/>
      </c>
      <c r="K2251" s="33">
        <f>IF($R$2218="","",IF($R$2218="언어와 매체",자동계산!$D$43,자동계산!$B$43))</f>
        <v/>
      </c>
      <c r="L2251" s="33">
        <f>IF($R$2218="","",IF($R$2218="언어와 매체",자동계산!$D$44,자동계산!$B$44))</f>
        <v/>
      </c>
      <c r="M2251" s="33">
        <f>IF($R$2218="","",IF($R$2218="언어와 매체",자동계산!$D$45,자동계산!$B$45))</f>
        <v/>
      </c>
      <c r="N2251" s="33">
        <f>IF($R$2218="","",IF($R$2218="언어와 매체",자동계산!$D$46,자동계산!$B$46))</f>
        <v/>
      </c>
      <c r="O2251" s="33">
        <f>IF($R$2218="","",IF($R$2218="언어와 매체",자동계산!$D$47,자동계산!$B$47))</f>
        <v/>
      </c>
      <c r="P2251" s="33">
        <f>IF($R$2218="","",IF($R$2218="언어와 매체",자동계산!$D$48,자동계산!$B$48))</f>
        <v/>
      </c>
    </row>
    <row r="2252">
      <c r="A2252" s="52" t="inlineStr">
        <is>
          <t>학생답안</t>
        </is>
      </c>
      <c r="B2252" s="33">
        <f>IF($R$2217="","",INDEX(전체채점!AI$3:AI$62,$R$2217))</f>
        <v/>
      </c>
      <c r="C2252" s="33">
        <f>IF($R$2217="","",INDEX(전체채점!AJ$3:AJ$62,$R$2217))</f>
        <v/>
      </c>
      <c r="D2252" s="33">
        <f>IF($R$2217="","",INDEX(전체채점!AK$3:AK$62,$R$2217))</f>
        <v/>
      </c>
      <c r="E2252" s="33">
        <f>IF($R$2217="","",INDEX(전체채점!AL$3:AL$62,$R$2217))</f>
        <v/>
      </c>
      <c r="F2252" s="33">
        <f>IF($R$2217="","",INDEX(전체채점!AM$3:AM$62,$R$2217))</f>
        <v/>
      </c>
      <c r="G2252" s="33">
        <f>IF($R$2217="","",INDEX(전체채점!AN$3:AN$62,$R$2217))</f>
        <v/>
      </c>
      <c r="H2252" s="33">
        <f>IF($R$2217="","",INDEX(전체채점!AO$3:AO$62,$R$2217))</f>
        <v/>
      </c>
      <c r="I2252" s="33">
        <f>IF($R$2217="","",INDEX(전체채점!AP$3:AP$62,$R$2217))</f>
        <v/>
      </c>
      <c r="J2252" s="33">
        <f>IF($R$2217="","",INDEX(전체채점!AQ$3:AQ$62,$R$2217))</f>
        <v/>
      </c>
      <c r="K2252" s="33">
        <f>IF($R$2217="","",INDEX(전체채점!AR$3:AR$62,$R$2217))</f>
        <v/>
      </c>
      <c r="L2252" s="33">
        <f>IF($R$2217="","",INDEX(전체채점!AS$3:AS$62,$R$2217))</f>
        <v/>
      </c>
      <c r="M2252" s="33">
        <f>IF($R$2217="","",INDEX(전체채점!AT$3:AT$62,$R$2217))</f>
        <v/>
      </c>
      <c r="N2252" s="33">
        <f>IF($R$2217="","",INDEX(전체채점!AU$3:AU$62,$R$2217))</f>
        <v/>
      </c>
      <c r="O2252" s="33">
        <f>IF($R$2217="","",INDEX(전체채점!AV$3:AV$62,$R$2217))</f>
        <v/>
      </c>
      <c r="P2252" s="33">
        <f>IF($R$2217="","",INDEX(전체채점!AW$3:AW$62,$R$2217))</f>
        <v/>
      </c>
    </row>
    <row r="2253">
      <c r="A2253" s="52" t="inlineStr">
        <is>
          <t>정오</t>
        </is>
      </c>
      <c r="B2253" s="33">
        <f>IF($R$2217="","",INDEX(전체채점!CB$3:CB$62,$R$2217))</f>
        <v/>
      </c>
      <c r="C2253" s="33">
        <f>IF($R$2217="","",INDEX(전체채점!CC$3:CC$62,$R$2217))</f>
        <v/>
      </c>
      <c r="D2253" s="33">
        <f>IF($R$2217="","",INDEX(전체채점!CD$3:CD$62,$R$2217))</f>
        <v/>
      </c>
      <c r="E2253" s="33">
        <f>IF($R$2217="","",INDEX(전체채점!CE$3:CE$62,$R$2217))</f>
        <v/>
      </c>
      <c r="F2253" s="33">
        <f>IF($R$2217="","",INDEX(전체채점!CF$3:CF$62,$R$2217))</f>
        <v/>
      </c>
      <c r="G2253" s="33">
        <f>IF($R$2217="","",INDEX(전체채점!CG$3:CG$62,$R$2217))</f>
        <v/>
      </c>
      <c r="H2253" s="33">
        <f>IF($R$2217="","",INDEX(전체채점!CH$3:CH$62,$R$2217))</f>
        <v/>
      </c>
      <c r="I2253" s="33">
        <f>IF($R$2217="","",INDEX(전체채점!CI$3:CI$62,$R$2217))</f>
        <v/>
      </c>
      <c r="J2253" s="33">
        <f>IF($R$2217="","",INDEX(전체채점!CJ$3:CJ$62,$R$2217))</f>
        <v/>
      </c>
      <c r="K2253" s="33">
        <f>IF($R$2217="","",INDEX(전체채점!CK$3:CK$62,$R$2217))</f>
        <v/>
      </c>
      <c r="L2253" s="33">
        <f>IF($R$2217="","",INDEX(전체채점!CL$3:CL$62,$R$2217))</f>
        <v/>
      </c>
      <c r="M2253" s="33">
        <f>IF($R$2217="","",INDEX(전체채점!CM$3:CM$62,$R$2217))</f>
        <v/>
      </c>
      <c r="N2253" s="33">
        <f>IF($R$2217="","",INDEX(전체채점!CN$3:CN$62,$R$2217))</f>
        <v/>
      </c>
      <c r="O2253" s="33">
        <f>IF($R$2217="","",INDEX(전체채점!CO$3:CO$62,$R$2217))</f>
        <v/>
      </c>
      <c r="P2253" s="33">
        <f>IF($R$2217="","",INDEX(전체채점!CP$3:CP$62,$R$2217))</f>
        <v/>
      </c>
    </row>
    <row r="2256" ht="34" customHeight="1">
      <c r="A2256" s="36">
        <f>IF($R$2258="","",회차설정!$B$2&amp;" 성적표")</f>
        <v/>
      </c>
    </row>
    <row r="2258">
      <c r="A2258" s="12" t="inlineStr">
        <is>
          <t>1. 학생정보</t>
        </is>
      </c>
      <c r="R2258" s="37">
        <f>IF(답안입력!$A$58="","",56)</f>
        <v/>
      </c>
      <c r="S2258" s="37">
        <f>IF($R$2259="","",IFERROR(IF($R$2259="언어와 매체",MATCH(1,회차설정!$G$13:$G$27,0),MATCH(1,회차설정!$F$13:$F$27,0)),""))</f>
        <v/>
      </c>
    </row>
    <row r="2259">
      <c r="A2259" s="13" t="inlineStr">
        <is>
          <t>성명</t>
        </is>
      </c>
      <c r="B2259" s="7" t="n"/>
      <c r="C2259" s="8" t="n"/>
      <c r="D2259" s="13" t="inlineStr">
        <is>
          <t>선택과목</t>
        </is>
      </c>
      <c r="E2259" s="7" t="n"/>
      <c r="F2259" s="7" t="n"/>
      <c r="G2259" s="8" t="n"/>
      <c r="H2259" s="13" t="inlineStr">
        <is>
          <t>학년</t>
        </is>
      </c>
      <c r="I2259" s="7" t="n"/>
      <c r="J2259" s="7" t="n"/>
      <c r="K2259" s="8" t="n"/>
      <c r="L2259" s="13" t="inlineStr">
        <is>
          <t>시행일</t>
        </is>
      </c>
      <c r="M2259" s="7" t="n"/>
      <c r="N2259" s="7" t="n"/>
      <c r="O2259" s="7" t="n"/>
      <c r="P2259" s="8" t="n"/>
      <c r="R2259" s="37">
        <f>IF($R$2258="","",INDEX(전체채점!$B$3:$B$62,$R$2258))</f>
        <v/>
      </c>
      <c r="S2259" s="37">
        <f>IF($R$2259="","",IFERROR(IF($R$2259="언어와 매체",MATCH(2,회차설정!$G$13:$G$27,0),MATCH(2,회차설정!$F$13:$F$27,0)),""))</f>
        <v/>
      </c>
    </row>
    <row r="2260" ht="26" customHeight="1">
      <c r="A2260" s="39">
        <f>IF($R$2258="","",INDEX(답안입력!$A$3:$A$62,$R$2258))</f>
        <v/>
      </c>
      <c r="B2260" s="7" t="n"/>
      <c r="C2260" s="8" t="n"/>
      <c r="D2260" s="39">
        <f>IF($R$2258="","",INDEX(답안입력!$C$3:$C$62,$R$2258))</f>
        <v/>
      </c>
      <c r="E2260" s="7" t="n"/>
      <c r="F2260" s="7" t="n"/>
      <c r="G2260" s="8" t="n"/>
      <c r="H2260" s="39">
        <f>IF($R$2258="","",INDEX(답안입력!$B$3:$B$62,$R$2258))</f>
        <v/>
      </c>
      <c r="I2260" s="7" t="n"/>
      <c r="J2260" s="7" t="n"/>
      <c r="K2260" s="8" t="n"/>
      <c r="L2260" s="40">
        <f>회차설정!$B$3</f>
        <v/>
      </c>
      <c r="M2260" s="7" t="n"/>
      <c r="N2260" s="7" t="n"/>
      <c r="O2260" s="7" t="n"/>
      <c r="P2260" s="8" t="n"/>
      <c r="R2260" s="37">
        <f>IF($R$2259="언어와 매체",회차설정!$B$9,회차설정!$B$8)</f>
        <v/>
      </c>
      <c r="S2260" s="37">
        <f>IF($R$2259="","",IFERROR(IF($R$2259="언어와 매체",MATCH(3,회차설정!$G$13:$G$27,0),MATCH(3,회차설정!$F$13:$F$27,0)),""))</f>
        <v/>
      </c>
    </row>
    <row r="2261">
      <c r="R2261" s="37">
        <f>IF($R$2259="언어와 매체",회차설정!$C$9,회차설정!$C$8)</f>
        <v/>
      </c>
      <c r="S2261" s="37">
        <f>IF($R$2259="","",IFERROR(IF($R$2259="언어와 매체",MATCH(4,회차설정!$G$13:$G$27,0),MATCH(4,회차설정!$F$13:$F$27,0)),""))</f>
        <v/>
      </c>
    </row>
    <row r="2262">
      <c r="A2262" s="12" t="inlineStr">
        <is>
          <t>2. 성적</t>
        </is>
      </c>
      <c r="R2262" s="37">
        <f>IF($R$2259="언어와 매체",회차설정!$D$9,회차설정!$D$8)</f>
        <v/>
      </c>
      <c r="S2262" s="37">
        <f>IF($R$2259="","",IFERROR(IF($R$2259="언어와 매체",MATCH(5,회차설정!$G$13:$G$27,0),MATCH(5,회차설정!$F$13:$F$27,0)),""))</f>
        <v/>
      </c>
    </row>
    <row r="2263">
      <c r="A2263" s="13" t="inlineStr">
        <is>
          <t>점수 (100점 만점)</t>
        </is>
      </c>
      <c r="B2263" s="7" t="n"/>
      <c r="C2263" s="7" t="n"/>
      <c r="D2263" s="7" t="n"/>
      <c r="E2263" s="8" t="n"/>
      <c r="F2263" s="13" t="inlineStr">
        <is>
          <t>등급</t>
        </is>
      </c>
      <c r="G2263" s="7" t="n"/>
      <c r="H2263" s="8" t="n"/>
      <c r="I2263" s="13" t="inlineStr">
        <is>
          <t>등급컷</t>
        </is>
      </c>
      <c r="J2263" s="7" t="n"/>
      <c r="K2263" s="7" t="n"/>
      <c r="L2263" s="8" t="n"/>
      <c r="M2263" s="13" t="inlineStr">
        <is>
          <t>같은 선택과목 평균</t>
        </is>
      </c>
      <c r="N2263" s="7" t="n"/>
      <c r="O2263" s="7" t="n"/>
      <c r="P2263" s="8" t="n"/>
      <c r="R2263" s="37">
        <f>IF($R$2259="언어와 매체",회차설정!$E$9,회차설정!$E$8)</f>
        <v/>
      </c>
      <c r="S2263" s="37">
        <f>IF($R$2259="","",IFERROR(IF($R$2259="언어와 매체",MATCH(6,회차설정!$G$13:$G$27,0),MATCH(6,회차설정!$F$13:$F$27,0)),""))</f>
        <v/>
      </c>
    </row>
    <row r="2264" ht="34" customHeight="1">
      <c r="A2264" s="41">
        <f>IF($R$2258="","",INDEX(전체채점!$C$3:$C$62,$R$2258))</f>
        <v/>
      </c>
      <c r="B2264" s="7" t="n"/>
      <c r="C2264" s="7" t="n"/>
      <c r="D2264" s="7" t="n"/>
      <c r="E2264" s="8" t="n"/>
      <c r="F2264" s="42">
        <f>IF($R$2258="","",INDEX(전체채점!$D$3:$D$62,$R$2258))</f>
        <v/>
      </c>
      <c r="G2264" s="7" t="n"/>
      <c r="H2264" s="8" t="n"/>
      <c r="I2264" s="43">
        <f>IF($R$2258="","",$R$2260&amp;"-"&amp;$R$2261&amp;"-"&amp;$R$2262&amp;"-"&amp;$R$2263)</f>
        <v/>
      </c>
      <c r="J2264" s="7" t="n"/>
      <c r="K2264" s="7" t="n"/>
      <c r="L2264" s="8" t="n"/>
      <c r="M2264" s="44">
        <f>IFERROR(AVERAGEIF(전체채점!$B$3:$B$62,$R$2259,전체채점!$C$3:$C$62),"")</f>
        <v/>
      </c>
      <c r="N2264" s="7" t="n"/>
      <c r="O2264" s="7" t="n"/>
      <c r="P2264" s="8" t="n"/>
      <c r="S2264" s="37">
        <f>IF($R$2259="","",IFERROR(IF($R$2259="언어와 매체",MATCH(7,회차설정!$G$13:$G$27,0),MATCH(7,회차설정!$F$13:$F$27,0)),""))</f>
        <v/>
      </c>
    </row>
    <row r="2265">
      <c r="S2265" s="37">
        <f>IF($R$2259="","",IFERROR(IF($R$2259="언어와 매체",MATCH(8,회차설정!$G$13:$G$27,0),MATCH(8,회차설정!$F$13:$F$27,0)),""))</f>
        <v/>
      </c>
    </row>
    <row r="2266">
      <c r="A2266" s="12" t="inlineStr">
        <is>
          <t>3. 영역분류별 성취도 분석</t>
        </is>
      </c>
      <c r="F2266" s="45">
        <f>IF(OR($R$2258="",$E2280=""),"",IF($E2280=INDEX(전체채점!$C$3:$C$62,$R$2258),"","※ 회차설정의 영역 표를 확인하세요 — 영역 합계와 점수가 다릅니다"))</f>
        <v/>
      </c>
      <c r="S2266" s="37">
        <f>IF($R$2259="","",IFERROR(IF($R$2259="언어와 매체",MATCH(9,회차설정!$G$13:$G$27,0),MATCH(9,회차설정!$F$13:$F$27,0)),""))</f>
        <v/>
      </c>
    </row>
    <row r="2267">
      <c r="A2267" s="13" t="inlineStr">
        <is>
          <t>분류</t>
        </is>
      </c>
      <c r="B2267" s="13" t="inlineStr">
        <is>
          <t>영역</t>
        </is>
      </c>
      <c r="C2267" s="8" t="n"/>
      <c r="D2267" s="13" t="inlineStr">
        <is>
          <t>배점</t>
        </is>
      </c>
      <c r="E2267" s="13" t="inlineStr">
        <is>
          <t>득점</t>
        </is>
      </c>
      <c r="F2267" s="13" t="inlineStr">
        <is>
          <t>성취도(%)</t>
        </is>
      </c>
      <c r="G2267" s="8" t="n"/>
      <c r="H2267" s="13" t="inlineStr"/>
      <c r="I2267" s="7" t="n"/>
      <c r="J2267" s="7" t="n"/>
      <c r="K2267" s="7" t="n"/>
      <c r="L2267" s="7" t="n"/>
      <c r="M2267" s="7" t="n"/>
      <c r="N2267" s="7" t="n"/>
      <c r="O2267" s="7" t="n"/>
      <c r="P2267" s="8" t="n"/>
      <c r="S2267" s="37">
        <f>IF($R$2259="","",IFERROR(IF($R$2259="언어와 매체",MATCH(10,회차설정!$G$13:$G$27,0),MATCH(10,회차설정!$F$13:$F$27,0)),""))</f>
        <v/>
      </c>
    </row>
    <row r="2268">
      <c r="A2268" s="14">
        <f>IF($S$2258="","",INDEX(회차설정!$A$13:$A$27,$S$2258))</f>
        <v/>
      </c>
      <c r="B2268" s="14">
        <f>IF($S$2258="","",INDEX(회차설정!$B$13:$B$27,$S$2258))</f>
        <v/>
      </c>
      <c r="C2268" s="8" t="n"/>
      <c r="D2268" s="14">
        <f>IF($S$2258="","",IF($R$2259="언어와 매체",SUMPRODUCT((자동계산!$A$4:$A$48&gt;=INDEX(회차설정!$C$13:$C$27,$S$2258))*(자동계산!$A$4:$A$48&lt;=INDEX(회차설정!$D$13:$D$27,$S$2258))*자동계산!$E$4:$E$48),SUMPRODUCT((자동계산!$A$4:$A$48&gt;=INDEX(회차설정!$C$13:$C$27,$S$2258))*(자동계산!$A$4:$A$48&lt;=INDEX(회차설정!$D$13:$D$27,$S$2258))*자동계산!$C$4:$C$48)))</f>
        <v/>
      </c>
      <c r="E2268" s="14">
        <f>IF(OR($S$2258="",$R$2258=""),"",SUM(OFFSET(전체채점!$AW$2,$R$2258,INDEX(회차설정!$C$13:$C$27,$S$2258),1,INDEX(회차설정!$D$13:$D$27,$S$2258)-INDEX(회차설정!$C$13:$C$27,$S$2258)+1)))</f>
        <v/>
      </c>
      <c r="F2268" s="46">
        <f>IF(OR($S$2258="",$D2268=0,$D2268="",$E2268=""),"",$E2268/$D2268*100)</f>
        <v/>
      </c>
      <c r="G2268" s="8" t="n"/>
      <c r="H2268" s="47">
        <f>IF($F2268="","",REPT("■",ROUND($F2268/5,0)))</f>
        <v/>
      </c>
      <c r="I2268" s="7" t="n"/>
      <c r="J2268" s="7" t="n"/>
      <c r="K2268" s="7" t="n"/>
      <c r="L2268" s="7" t="n"/>
      <c r="M2268" s="7" t="n"/>
      <c r="N2268" s="7" t="n"/>
      <c r="O2268" s="7" t="n"/>
      <c r="P2268" s="8" t="n"/>
      <c r="S2268" s="37">
        <f>IF($R$2259="","",IFERROR(IF($R$2259="언어와 매체",MATCH(11,회차설정!$G$13:$G$27,0),MATCH(11,회차설정!$F$13:$F$27,0)),""))</f>
        <v/>
      </c>
    </row>
    <row r="2269">
      <c r="A2269" s="14">
        <f>IF($S$2259="","",INDEX(회차설정!$A$13:$A$27,$S$2259))</f>
        <v/>
      </c>
      <c r="B2269" s="14">
        <f>IF($S$2259="","",INDEX(회차설정!$B$13:$B$27,$S$2259))</f>
        <v/>
      </c>
      <c r="C2269" s="8" t="n"/>
      <c r="D2269" s="14">
        <f>IF($S$2259="","",IF($R$2259="언어와 매체",SUMPRODUCT((자동계산!$A$4:$A$48&gt;=INDEX(회차설정!$C$13:$C$27,$S$2259))*(자동계산!$A$4:$A$48&lt;=INDEX(회차설정!$D$13:$D$27,$S$2259))*자동계산!$E$4:$E$48),SUMPRODUCT((자동계산!$A$4:$A$48&gt;=INDEX(회차설정!$C$13:$C$27,$S$2259))*(자동계산!$A$4:$A$48&lt;=INDEX(회차설정!$D$13:$D$27,$S$2259))*자동계산!$C$4:$C$48)))</f>
        <v/>
      </c>
      <c r="E2269" s="14">
        <f>IF(OR($S$2259="",$R$2258=""),"",SUM(OFFSET(전체채점!$AW$2,$R$2258,INDEX(회차설정!$C$13:$C$27,$S$2259),1,INDEX(회차설정!$D$13:$D$27,$S$2259)-INDEX(회차설정!$C$13:$C$27,$S$2259)+1)))</f>
        <v/>
      </c>
      <c r="F2269" s="46">
        <f>IF(OR($S$2259="",$D2269=0,$D2269="",$E2269=""),"",$E2269/$D2269*100)</f>
        <v/>
      </c>
      <c r="G2269" s="8" t="n"/>
      <c r="H2269" s="47">
        <f>IF($F2269="","",REPT("■",ROUND($F2269/5,0)))</f>
        <v/>
      </c>
      <c r="I2269" s="7" t="n"/>
      <c r="J2269" s="7" t="n"/>
      <c r="K2269" s="7" t="n"/>
      <c r="L2269" s="7" t="n"/>
      <c r="M2269" s="7" t="n"/>
      <c r="N2269" s="7" t="n"/>
      <c r="O2269" s="7" t="n"/>
      <c r="P2269" s="8" t="n"/>
      <c r="S2269" s="37">
        <f>IF($R$2259="","",IFERROR(IF($R$2259="언어와 매체",MATCH(12,회차설정!$G$13:$G$27,0),MATCH(12,회차설정!$F$13:$F$27,0)),""))</f>
        <v/>
      </c>
    </row>
    <row r="2270">
      <c r="A2270" s="14">
        <f>IF($S$2260="","",INDEX(회차설정!$A$13:$A$27,$S$2260))</f>
        <v/>
      </c>
      <c r="B2270" s="14">
        <f>IF($S$2260="","",INDEX(회차설정!$B$13:$B$27,$S$2260))</f>
        <v/>
      </c>
      <c r="C2270" s="8" t="n"/>
      <c r="D2270" s="14">
        <f>IF($S$2260="","",IF($R$2259="언어와 매체",SUMPRODUCT((자동계산!$A$4:$A$48&gt;=INDEX(회차설정!$C$13:$C$27,$S$2260))*(자동계산!$A$4:$A$48&lt;=INDEX(회차설정!$D$13:$D$27,$S$2260))*자동계산!$E$4:$E$48),SUMPRODUCT((자동계산!$A$4:$A$48&gt;=INDEX(회차설정!$C$13:$C$27,$S$2260))*(자동계산!$A$4:$A$48&lt;=INDEX(회차설정!$D$13:$D$27,$S$2260))*자동계산!$C$4:$C$48)))</f>
        <v/>
      </c>
      <c r="E2270" s="14">
        <f>IF(OR($S$2260="",$R$2258=""),"",SUM(OFFSET(전체채점!$AW$2,$R$2258,INDEX(회차설정!$C$13:$C$27,$S$2260),1,INDEX(회차설정!$D$13:$D$27,$S$2260)-INDEX(회차설정!$C$13:$C$27,$S$2260)+1)))</f>
        <v/>
      </c>
      <c r="F2270" s="46">
        <f>IF(OR($S$2260="",$D2270=0,$D2270="",$E2270=""),"",$E2270/$D2270*100)</f>
        <v/>
      </c>
      <c r="G2270" s="8" t="n"/>
      <c r="H2270" s="47">
        <f>IF($F2270="","",REPT("■",ROUND($F2270/5,0)))</f>
        <v/>
      </c>
      <c r="I2270" s="7" t="n"/>
      <c r="J2270" s="7" t="n"/>
      <c r="K2270" s="7" t="n"/>
      <c r="L2270" s="7" t="n"/>
      <c r="M2270" s="7" t="n"/>
      <c r="N2270" s="7" t="n"/>
      <c r="O2270" s="7" t="n"/>
      <c r="P2270" s="8" t="n"/>
    </row>
    <row r="2271">
      <c r="A2271" s="14">
        <f>IF($S$2261="","",INDEX(회차설정!$A$13:$A$27,$S$2261))</f>
        <v/>
      </c>
      <c r="B2271" s="14">
        <f>IF($S$2261="","",INDEX(회차설정!$B$13:$B$27,$S$2261))</f>
        <v/>
      </c>
      <c r="C2271" s="8" t="n"/>
      <c r="D2271" s="14">
        <f>IF($S$2261="","",IF($R$2259="언어와 매체",SUMPRODUCT((자동계산!$A$4:$A$48&gt;=INDEX(회차설정!$C$13:$C$27,$S$2261))*(자동계산!$A$4:$A$48&lt;=INDEX(회차설정!$D$13:$D$27,$S$2261))*자동계산!$E$4:$E$48),SUMPRODUCT((자동계산!$A$4:$A$48&gt;=INDEX(회차설정!$C$13:$C$27,$S$2261))*(자동계산!$A$4:$A$48&lt;=INDEX(회차설정!$D$13:$D$27,$S$2261))*자동계산!$C$4:$C$48)))</f>
        <v/>
      </c>
      <c r="E2271" s="14">
        <f>IF(OR($S$2261="",$R$2258=""),"",SUM(OFFSET(전체채점!$AW$2,$R$2258,INDEX(회차설정!$C$13:$C$27,$S$2261),1,INDEX(회차설정!$D$13:$D$27,$S$2261)-INDEX(회차설정!$C$13:$C$27,$S$2261)+1)))</f>
        <v/>
      </c>
      <c r="F2271" s="46">
        <f>IF(OR($S$2261="",$D2271=0,$D2271="",$E2271=""),"",$E2271/$D2271*100)</f>
        <v/>
      </c>
      <c r="G2271" s="8" t="n"/>
      <c r="H2271" s="47">
        <f>IF($F2271="","",REPT("■",ROUND($F2271/5,0)))</f>
        <v/>
      </c>
      <c r="I2271" s="7" t="n"/>
      <c r="J2271" s="7" t="n"/>
      <c r="K2271" s="7" t="n"/>
      <c r="L2271" s="7" t="n"/>
      <c r="M2271" s="7" t="n"/>
      <c r="N2271" s="7" t="n"/>
      <c r="O2271" s="7" t="n"/>
      <c r="P2271" s="8" t="n"/>
    </row>
    <row r="2272">
      <c r="A2272" s="14">
        <f>IF($S$2262="","",INDEX(회차설정!$A$13:$A$27,$S$2262))</f>
        <v/>
      </c>
      <c r="B2272" s="14">
        <f>IF($S$2262="","",INDEX(회차설정!$B$13:$B$27,$S$2262))</f>
        <v/>
      </c>
      <c r="C2272" s="8" t="n"/>
      <c r="D2272" s="14">
        <f>IF($S$2262="","",IF($R$2259="언어와 매체",SUMPRODUCT((자동계산!$A$4:$A$48&gt;=INDEX(회차설정!$C$13:$C$27,$S$2262))*(자동계산!$A$4:$A$48&lt;=INDEX(회차설정!$D$13:$D$27,$S$2262))*자동계산!$E$4:$E$48),SUMPRODUCT((자동계산!$A$4:$A$48&gt;=INDEX(회차설정!$C$13:$C$27,$S$2262))*(자동계산!$A$4:$A$48&lt;=INDEX(회차설정!$D$13:$D$27,$S$2262))*자동계산!$C$4:$C$48)))</f>
        <v/>
      </c>
      <c r="E2272" s="14">
        <f>IF(OR($S$2262="",$R$2258=""),"",SUM(OFFSET(전체채점!$AW$2,$R$2258,INDEX(회차설정!$C$13:$C$27,$S$2262),1,INDEX(회차설정!$D$13:$D$27,$S$2262)-INDEX(회차설정!$C$13:$C$27,$S$2262)+1)))</f>
        <v/>
      </c>
      <c r="F2272" s="46">
        <f>IF(OR($S$2262="",$D2272=0,$D2272="",$E2272=""),"",$E2272/$D2272*100)</f>
        <v/>
      </c>
      <c r="G2272" s="8" t="n"/>
      <c r="H2272" s="47">
        <f>IF($F2272="","",REPT("■",ROUND($F2272/5,0)))</f>
        <v/>
      </c>
      <c r="I2272" s="7" t="n"/>
      <c r="J2272" s="7" t="n"/>
      <c r="K2272" s="7" t="n"/>
      <c r="L2272" s="7" t="n"/>
      <c r="M2272" s="7" t="n"/>
      <c r="N2272" s="7" t="n"/>
      <c r="O2272" s="7" t="n"/>
      <c r="P2272" s="8" t="n"/>
    </row>
    <row r="2273">
      <c r="A2273" s="14">
        <f>IF($S$2263="","",INDEX(회차설정!$A$13:$A$27,$S$2263))</f>
        <v/>
      </c>
      <c r="B2273" s="14">
        <f>IF($S$2263="","",INDEX(회차설정!$B$13:$B$27,$S$2263))</f>
        <v/>
      </c>
      <c r="C2273" s="8" t="n"/>
      <c r="D2273" s="14">
        <f>IF($S$2263="","",IF($R$2259="언어와 매체",SUMPRODUCT((자동계산!$A$4:$A$48&gt;=INDEX(회차설정!$C$13:$C$27,$S$2263))*(자동계산!$A$4:$A$48&lt;=INDEX(회차설정!$D$13:$D$27,$S$2263))*자동계산!$E$4:$E$48),SUMPRODUCT((자동계산!$A$4:$A$48&gt;=INDEX(회차설정!$C$13:$C$27,$S$2263))*(자동계산!$A$4:$A$48&lt;=INDEX(회차설정!$D$13:$D$27,$S$2263))*자동계산!$C$4:$C$48)))</f>
        <v/>
      </c>
      <c r="E2273" s="14">
        <f>IF(OR($S$2263="",$R$2258=""),"",SUM(OFFSET(전체채점!$AW$2,$R$2258,INDEX(회차설정!$C$13:$C$27,$S$2263),1,INDEX(회차설정!$D$13:$D$27,$S$2263)-INDEX(회차설정!$C$13:$C$27,$S$2263)+1)))</f>
        <v/>
      </c>
      <c r="F2273" s="46">
        <f>IF(OR($S$2263="",$D2273=0,$D2273="",$E2273=""),"",$E2273/$D2273*100)</f>
        <v/>
      </c>
      <c r="G2273" s="8" t="n"/>
      <c r="H2273" s="47">
        <f>IF($F2273="","",REPT("■",ROUND($F2273/5,0)))</f>
        <v/>
      </c>
      <c r="I2273" s="7" t="n"/>
      <c r="J2273" s="7" t="n"/>
      <c r="K2273" s="7" t="n"/>
      <c r="L2273" s="7" t="n"/>
      <c r="M2273" s="7" t="n"/>
      <c r="N2273" s="7" t="n"/>
      <c r="O2273" s="7" t="n"/>
      <c r="P2273" s="8" t="n"/>
    </row>
    <row r="2274">
      <c r="A2274" s="14">
        <f>IF($S$2264="","",INDEX(회차설정!$A$13:$A$27,$S$2264))</f>
        <v/>
      </c>
      <c r="B2274" s="14">
        <f>IF($S$2264="","",INDEX(회차설정!$B$13:$B$27,$S$2264))</f>
        <v/>
      </c>
      <c r="C2274" s="8" t="n"/>
      <c r="D2274" s="14">
        <f>IF($S$2264="","",IF($R$2259="언어와 매체",SUMPRODUCT((자동계산!$A$4:$A$48&gt;=INDEX(회차설정!$C$13:$C$27,$S$2264))*(자동계산!$A$4:$A$48&lt;=INDEX(회차설정!$D$13:$D$27,$S$2264))*자동계산!$E$4:$E$48),SUMPRODUCT((자동계산!$A$4:$A$48&gt;=INDEX(회차설정!$C$13:$C$27,$S$2264))*(자동계산!$A$4:$A$48&lt;=INDEX(회차설정!$D$13:$D$27,$S$2264))*자동계산!$C$4:$C$48)))</f>
        <v/>
      </c>
      <c r="E2274" s="14">
        <f>IF(OR($S$2264="",$R$2258=""),"",SUM(OFFSET(전체채점!$AW$2,$R$2258,INDEX(회차설정!$C$13:$C$27,$S$2264),1,INDEX(회차설정!$D$13:$D$27,$S$2264)-INDEX(회차설정!$C$13:$C$27,$S$2264)+1)))</f>
        <v/>
      </c>
      <c r="F2274" s="46">
        <f>IF(OR($S$2264="",$D2274=0,$D2274="",$E2274=""),"",$E2274/$D2274*100)</f>
        <v/>
      </c>
      <c r="G2274" s="8" t="n"/>
      <c r="H2274" s="47">
        <f>IF($F2274="","",REPT("■",ROUND($F2274/5,0)))</f>
        <v/>
      </c>
      <c r="I2274" s="7" t="n"/>
      <c r="J2274" s="7" t="n"/>
      <c r="K2274" s="7" t="n"/>
      <c r="L2274" s="7" t="n"/>
      <c r="M2274" s="7" t="n"/>
      <c r="N2274" s="7" t="n"/>
      <c r="O2274" s="7" t="n"/>
      <c r="P2274" s="8" t="n"/>
    </row>
    <row r="2275">
      <c r="A2275" s="14">
        <f>IF($S$2265="","",INDEX(회차설정!$A$13:$A$27,$S$2265))</f>
        <v/>
      </c>
      <c r="B2275" s="14">
        <f>IF($S$2265="","",INDEX(회차설정!$B$13:$B$27,$S$2265))</f>
        <v/>
      </c>
      <c r="C2275" s="8" t="n"/>
      <c r="D2275" s="14">
        <f>IF($S$2265="","",IF($R$2259="언어와 매체",SUMPRODUCT((자동계산!$A$4:$A$48&gt;=INDEX(회차설정!$C$13:$C$27,$S$2265))*(자동계산!$A$4:$A$48&lt;=INDEX(회차설정!$D$13:$D$27,$S$2265))*자동계산!$E$4:$E$48),SUMPRODUCT((자동계산!$A$4:$A$48&gt;=INDEX(회차설정!$C$13:$C$27,$S$2265))*(자동계산!$A$4:$A$48&lt;=INDEX(회차설정!$D$13:$D$27,$S$2265))*자동계산!$C$4:$C$48)))</f>
        <v/>
      </c>
      <c r="E2275" s="14">
        <f>IF(OR($S$2265="",$R$2258=""),"",SUM(OFFSET(전체채점!$AW$2,$R$2258,INDEX(회차설정!$C$13:$C$27,$S$2265),1,INDEX(회차설정!$D$13:$D$27,$S$2265)-INDEX(회차설정!$C$13:$C$27,$S$2265)+1)))</f>
        <v/>
      </c>
      <c r="F2275" s="46">
        <f>IF(OR($S$2265="",$D2275=0,$D2275="",$E2275=""),"",$E2275/$D2275*100)</f>
        <v/>
      </c>
      <c r="G2275" s="8" t="n"/>
      <c r="H2275" s="47">
        <f>IF($F2275="","",REPT("■",ROUND($F2275/5,0)))</f>
        <v/>
      </c>
      <c r="I2275" s="7" t="n"/>
      <c r="J2275" s="7" t="n"/>
      <c r="K2275" s="7" t="n"/>
      <c r="L2275" s="7" t="n"/>
      <c r="M2275" s="7" t="n"/>
      <c r="N2275" s="7" t="n"/>
      <c r="O2275" s="7" t="n"/>
      <c r="P2275" s="8" t="n"/>
    </row>
    <row r="2276">
      <c r="A2276" s="14">
        <f>IF($S$2266="","",INDEX(회차설정!$A$13:$A$27,$S$2266))</f>
        <v/>
      </c>
      <c r="B2276" s="14">
        <f>IF($S$2266="","",INDEX(회차설정!$B$13:$B$27,$S$2266))</f>
        <v/>
      </c>
      <c r="C2276" s="8" t="n"/>
      <c r="D2276" s="14">
        <f>IF($S$2266="","",IF($R$2259="언어와 매체",SUMPRODUCT((자동계산!$A$4:$A$48&gt;=INDEX(회차설정!$C$13:$C$27,$S$2266))*(자동계산!$A$4:$A$48&lt;=INDEX(회차설정!$D$13:$D$27,$S$2266))*자동계산!$E$4:$E$48),SUMPRODUCT((자동계산!$A$4:$A$48&gt;=INDEX(회차설정!$C$13:$C$27,$S$2266))*(자동계산!$A$4:$A$48&lt;=INDEX(회차설정!$D$13:$D$27,$S$2266))*자동계산!$C$4:$C$48)))</f>
        <v/>
      </c>
      <c r="E2276" s="14">
        <f>IF(OR($S$2266="",$R$2258=""),"",SUM(OFFSET(전체채점!$AW$2,$R$2258,INDEX(회차설정!$C$13:$C$27,$S$2266),1,INDEX(회차설정!$D$13:$D$27,$S$2266)-INDEX(회차설정!$C$13:$C$27,$S$2266)+1)))</f>
        <v/>
      </c>
      <c r="F2276" s="46">
        <f>IF(OR($S$2266="",$D2276=0,$D2276="",$E2276=""),"",$E2276/$D2276*100)</f>
        <v/>
      </c>
      <c r="G2276" s="8" t="n"/>
      <c r="H2276" s="47">
        <f>IF($F2276="","",REPT("■",ROUND($F2276/5,0)))</f>
        <v/>
      </c>
      <c r="I2276" s="7" t="n"/>
      <c r="J2276" s="7" t="n"/>
      <c r="K2276" s="7" t="n"/>
      <c r="L2276" s="7" t="n"/>
      <c r="M2276" s="7" t="n"/>
      <c r="N2276" s="7" t="n"/>
      <c r="O2276" s="7" t="n"/>
      <c r="P2276" s="8" t="n"/>
    </row>
    <row r="2277">
      <c r="A2277" s="14">
        <f>IF($S$2267="","",INDEX(회차설정!$A$13:$A$27,$S$2267))</f>
        <v/>
      </c>
      <c r="B2277" s="14">
        <f>IF($S$2267="","",INDEX(회차설정!$B$13:$B$27,$S$2267))</f>
        <v/>
      </c>
      <c r="C2277" s="8" t="n"/>
      <c r="D2277" s="14">
        <f>IF($S$2267="","",IF($R$2259="언어와 매체",SUMPRODUCT((자동계산!$A$4:$A$48&gt;=INDEX(회차설정!$C$13:$C$27,$S$2267))*(자동계산!$A$4:$A$48&lt;=INDEX(회차설정!$D$13:$D$27,$S$2267))*자동계산!$E$4:$E$48),SUMPRODUCT((자동계산!$A$4:$A$48&gt;=INDEX(회차설정!$C$13:$C$27,$S$2267))*(자동계산!$A$4:$A$48&lt;=INDEX(회차설정!$D$13:$D$27,$S$2267))*자동계산!$C$4:$C$48)))</f>
        <v/>
      </c>
      <c r="E2277" s="14">
        <f>IF(OR($S$2267="",$R$2258=""),"",SUM(OFFSET(전체채점!$AW$2,$R$2258,INDEX(회차설정!$C$13:$C$27,$S$2267),1,INDEX(회차설정!$D$13:$D$27,$S$2267)-INDEX(회차설정!$C$13:$C$27,$S$2267)+1)))</f>
        <v/>
      </c>
      <c r="F2277" s="46">
        <f>IF(OR($S$2267="",$D2277=0,$D2277="",$E2277=""),"",$E2277/$D2277*100)</f>
        <v/>
      </c>
      <c r="G2277" s="8" t="n"/>
      <c r="H2277" s="47">
        <f>IF($F2277="","",REPT("■",ROUND($F2277/5,0)))</f>
        <v/>
      </c>
      <c r="I2277" s="7" t="n"/>
      <c r="J2277" s="7" t="n"/>
      <c r="K2277" s="7" t="n"/>
      <c r="L2277" s="7" t="n"/>
      <c r="M2277" s="7" t="n"/>
      <c r="N2277" s="7" t="n"/>
      <c r="O2277" s="7" t="n"/>
      <c r="P2277" s="8" t="n"/>
    </row>
    <row r="2278">
      <c r="A2278" s="14">
        <f>IF($S$2268="","",INDEX(회차설정!$A$13:$A$27,$S$2268))</f>
        <v/>
      </c>
      <c r="B2278" s="14">
        <f>IF($S$2268="","",INDEX(회차설정!$B$13:$B$27,$S$2268))</f>
        <v/>
      </c>
      <c r="C2278" s="8" t="n"/>
      <c r="D2278" s="14">
        <f>IF($S$2268="","",IF($R$2259="언어와 매체",SUMPRODUCT((자동계산!$A$4:$A$48&gt;=INDEX(회차설정!$C$13:$C$27,$S$2268))*(자동계산!$A$4:$A$48&lt;=INDEX(회차설정!$D$13:$D$27,$S$2268))*자동계산!$E$4:$E$48),SUMPRODUCT((자동계산!$A$4:$A$48&gt;=INDEX(회차설정!$C$13:$C$27,$S$2268))*(자동계산!$A$4:$A$48&lt;=INDEX(회차설정!$D$13:$D$27,$S$2268))*자동계산!$C$4:$C$48)))</f>
        <v/>
      </c>
      <c r="E2278" s="14">
        <f>IF(OR($S$2268="",$R$2258=""),"",SUM(OFFSET(전체채점!$AW$2,$R$2258,INDEX(회차설정!$C$13:$C$27,$S$2268),1,INDEX(회차설정!$D$13:$D$27,$S$2268)-INDEX(회차설정!$C$13:$C$27,$S$2268)+1)))</f>
        <v/>
      </c>
      <c r="F2278" s="46">
        <f>IF(OR($S$2268="",$D2278=0,$D2278="",$E2278=""),"",$E2278/$D2278*100)</f>
        <v/>
      </c>
      <c r="G2278" s="8" t="n"/>
      <c r="H2278" s="47">
        <f>IF($F2278="","",REPT("■",ROUND($F2278/5,0)))</f>
        <v/>
      </c>
      <c r="I2278" s="7" t="n"/>
      <c r="J2278" s="7" t="n"/>
      <c r="K2278" s="7" t="n"/>
      <c r="L2278" s="7" t="n"/>
      <c r="M2278" s="7" t="n"/>
      <c r="N2278" s="7" t="n"/>
      <c r="O2278" s="7" t="n"/>
      <c r="P2278" s="8" t="n"/>
    </row>
    <row r="2279">
      <c r="A2279" s="14">
        <f>IF($S$2269="","",INDEX(회차설정!$A$13:$A$27,$S$2269))</f>
        <v/>
      </c>
      <c r="B2279" s="14">
        <f>IF($S$2269="","",INDEX(회차설정!$B$13:$B$27,$S$2269))</f>
        <v/>
      </c>
      <c r="C2279" s="8" t="n"/>
      <c r="D2279" s="14">
        <f>IF($S$2269="","",IF($R$2259="언어와 매체",SUMPRODUCT((자동계산!$A$4:$A$48&gt;=INDEX(회차설정!$C$13:$C$27,$S$2269))*(자동계산!$A$4:$A$48&lt;=INDEX(회차설정!$D$13:$D$27,$S$2269))*자동계산!$E$4:$E$48),SUMPRODUCT((자동계산!$A$4:$A$48&gt;=INDEX(회차설정!$C$13:$C$27,$S$2269))*(자동계산!$A$4:$A$48&lt;=INDEX(회차설정!$D$13:$D$27,$S$2269))*자동계산!$C$4:$C$48)))</f>
        <v/>
      </c>
      <c r="E2279" s="14">
        <f>IF(OR($S$2269="",$R$2258=""),"",SUM(OFFSET(전체채점!$AW$2,$R$2258,INDEX(회차설정!$C$13:$C$27,$S$2269),1,INDEX(회차설정!$D$13:$D$27,$S$2269)-INDEX(회차설정!$C$13:$C$27,$S$2269)+1)))</f>
        <v/>
      </c>
      <c r="F2279" s="46">
        <f>IF(OR($S$2269="",$D2279=0,$D2279="",$E2279=""),"",$E2279/$D2279*100)</f>
        <v/>
      </c>
      <c r="G2279" s="8" t="n"/>
      <c r="H2279" s="47">
        <f>IF($F2279="","",REPT("■",ROUND($F2279/5,0)))</f>
        <v/>
      </c>
      <c r="I2279" s="7" t="n"/>
      <c r="J2279" s="7" t="n"/>
      <c r="K2279" s="7" t="n"/>
      <c r="L2279" s="7" t="n"/>
      <c r="M2279" s="7" t="n"/>
      <c r="N2279" s="7" t="n"/>
      <c r="O2279" s="7" t="n"/>
      <c r="P2279" s="8" t="n"/>
    </row>
    <row r="2280">
      <c r="A2280" s="5">
        <f>IF($R$2258="","","합계")</f>
        <v/>
      </c>
      <c r="B2280" s="7" t="n"/>
      <c r="C2280" s="8" t="n"/>
      <c r="D2280" s="5">
        <f>IF($R$2258="","",SUM(D2268:D2279))</f>
        <v/>
      </c>
      <c r="E2280" s="5">
        <f>IF($R$2258="","",SUM(E2268:E2279))</f>
        <v/>
      </c>
      <c r="F2280" s="48">
        <f>IF(OR($D2280=0,$D2280=""),"",$E2280/$D2280*100)</f>
        <v/>
      </c>
      <c r="G2280" s="8" t="n"/>
      <c r="H2280" s="49">
        <f>IF($F2280="","",REPT("■",ROUND($F2280/5,0)))</f>
        <v/>
      </c>
      <c r="I2280" s="7" t="n"/>
      <c r="J2280" s="7" t="n"/>
      <c r="K2280" s="7" t="n"/>
      <c r="L2280" s="7" t="n"/>
      <c r="M2280" s="7" t="n"/>
      <c r="N2280" s="7" t="n"/>
      <c r="O2280" s="7" t="n"/>
      <c r="P2280" s="8" t="n"/>
    </row>
    <row r="2282">
      <c r="A2282" s="12" t="inlineStr">
        <is>
          <t>4. 문항 채점표</t>
        </is>
      </c>
    </row>
    <row r="2283">
      <c r="A2283" s="50" t="inlineStr">
        <is>
          <t>문항 번호</t>
        </is>
      </c>
      <c r="B2283" s="51" t="n">
        <v>1</v>
      </c>
      <c r="C2283" s="51" t="n">
        <v>2</v>
      </c>
      <c r="D2283" s="51" t="n">
        <v>3</v>
      </c>
      <c r="E2283" s="51" t="n">
        <v>4</v>
      </c>
      <c r="F2283" s="51" t="n">
        <v>5</v>
      </c>
      <c r="G2283" s="51" t="n">
        <v>6</v>
      </c>
      <c r="H2283" s="51" t="n">
        <v>7</v>
      </c>
      <c r="I2283" s="51" t="n">
        <v>8</v>
      </c>
      <c r="J2283" s="51" t="n">
        <v>9</v>
      </c>
      <c r="K2283" s="51" t="n">
        <v>10</v>
      </c>
      <c r="L2283" s="51" t="n">
        <v>11</v>
      </c>
      <c r="M2283" s="51" t="n">
        <v>12</v>
      </c>
      <c r="N2283" s="51" t="n">
        <v>13</v>
      </c>
      <c r="O2283" s="51" t="n">
        <v>14</v>
      </c>
      <c r="P2283" s="51" t="n">
        <v>15</v>
      </c>
    </row>
    <row r="2284">
      <c r="A2284" s="52" t="inlineStr">
        <is>
          <t>정답</t>
        </is>
      </c>
      <c r="B2284" s="33">
        <f>IF($R$2259="","",IF($R$2259="언어와 매체",자동계산!$D$4,자동계산!$B$4))</f>
        <v/>
      </c>
      <c r="C2284" s="33">
        <f>IF($R$2259="","",IF($R$2259="언어와 매체",자동계산!$D$5,자동계산!$B$5))</f>
        <v/>
      </c>
      <c r="D2284" s="33">
        <f>IF($R$2259="","",IF($R$2259="언어와 매체",자동계산!$D$6,자동계산!$B$6))</f>
        <v/>
      </c>
      <c r="E2284" s="33">
        <f>IF($R$2259="","",IF($R$2259="언어와 매체",자동계산!$D$7,자동계산!$B$7))</f>
        <v/>
      </c>
      <c r="F2284" s="33">
        <f>IF($R$2259="","",IF($R$2259="언어와 매체",자동계산!$D$8,자동계산!$B$8))</f>
        <v/>
      </c>
      <c r="G2284" s="33">
        <f>IF($R$2259="","",IF($R$2259="언어와 매체",자동계산!$D$9,자동계산!$B$9))</f>
        <v/>
      </c>
      <c r="H2284" s="33">
        <f>IF($R$2259="","",IF($R$2259="언어와 매체",자동계산!$D$10,자동계산!$B$10))</f>
        <v/>
      </c>
      <c r="I2284" s="33">
        <f>IF($R$2259="","",IF($R$2259="언어와 매체",자동계산!$D$11,자동계산!$B$11))</f>
        <v/>
      </c>
      <c r="J2284" s="33">
        <f>IF($R$2259="","",IF($R$2259="언어와 매체",자동계산!$D$12,자동계산!$B$12))</f>
        <v/>
      </c>
      <c r="K2284" s="33">
        <f>IF($R$2259="","",IF($R$2259="언어와 매체",자동계산!$D$13,자동계산!$B$13))</f>
        <v/>
      </c>
      <c r="L2284" s="33">
        <f>IF($R$2259="","",IF($R$2259="언어와 매체",자동계산!$D$14,자동계산!$B$14))</f>
        <v/>
      </c>
      <c r="M2284" s="33">
        <f>IF($R$2259="","",IF($R$2259="언어와 매체",자동계산!$D$15,자동계산!$B$15))</f>
        <v/>
      </c>
      <c r="N2284" s="33">
        <f>IF($R$2259="","",IF($R$2259="언어와 매체",자동계산!$D$16,자동계산!$B$16))</f>
        <v/>
      </c>
      <c r="O2284" s="33">
        <f>IF($R$2259="","",IF($R$2259="언어와 매체",자동계산!$D$17,자동계산!$B$17))</f>
        <v/>
      </c>
      <c r="P2284" s="33">
        <f>IF($R$2259="","",IF($R$2259="언어와 매체",자동계산!$D$18,자동계산!$B$18))</f>
        <v/>
      </c>
    </row>
    <row r="2285">
      <c r="A2285" s="52" t="inlineStr">
        <is>
          <t>학생답안</t>
        </is>
      </c>
      <c r="B2285" s="33">
        <f>IF($R$2258="","",INDEX(전체채점!E$3:E$62,$R$2258))</f>
        <v/>
      </c>
      <c r="C2285" s="33">
        <f>IF($R$2258="","",INDEX(전체채점!F$3:F$62,$R$2258))</f>
        <v/>
      </c>
      <c r="D2285" s="33">
        <f>IF($R$2258="","",INDEX(전체채점!G$3:G$62,$R$2258))</f>
        <v/>
      </c>
      <c r="E2285" s="33">
        <f>IF($R$2258="","",INDEX(전체채점!H$3:H$62,$R$2258))</f>
        <v/>
      </c>
      <c r="F2285" s="33">
        <f>IF($R$2258="","",INDEX(전체채점!I$3:I$62,$R$2258))</f>
        <v/>
      </c>
      <c r="G2285" s="33">
        <f>IF($R$2258="","",INDEX(전체채점!J$3:J$62,$R$2258))</f>
        <v/>
      </c>
      <c r="H2285" s="33">
        <f>IF($R$2258="","",INDEX(전체채점!K$3:K$62,$R$2258))</f>
        <v/>
      </c>
      <c r="I2285" s="33">
        <f>IF($R$2258="","",INDEX(전체채점!L$3:L$62,$R$2258))</f>
        <v/>
      </c>
      <c r="J2285" s="33">
        <f>IF($R$2258="","",INDEX(전체채점!M$3:M$62,$R$2258))</f>
        <v/>
      </c>
      <c r="K2285" s="33">
        <f>IF($R$2258="","",INDEX(전체채점!N$3:N$62,$R$2258))</f>
        <v/>
      </c>
      <c r="L2285" s="33">
        <f>IF($R$2258="","",INDEX(전체채점!O$3:O$62,$R$2258))</f>
        <v/>
      </c>
      <c r="M2285" s="33">
        <f>IF($R$2258="","",INDEX(전체채점!P$3:P$62,$R$2258))</f>
        <v/>
      </c>
      <c r="N2285" s="33">
        <f>IF($R$2258="","",INDEX(전체채점!Q$3:Q$62,$R$2258))</f>
        <v/>
      </c>
      <c r="O2285" s="33">
        <f>IF($R$2258="","",INDEX(전체채점!R$3:R$62,$R$2258))</f>
        <v/>
      </c>
      <c r="P2285" s="33">
        <f>IF($R$2258="","",INDEX(전체채점!S$3:S$62,$R$2258))</f>
        <v/>
      </c>
    </row>
    <row r="2286">
      <c r="A2286" s="52" t="inlineStr">
        <is>
          <t>정오</t>
        </is>
      </c>
      <c r="B2286" s="33">
        <f>IF($R$2258="","",INDEX(전체채점!AX$3:AX$62,$R$2258))</f>
        <v/>
      </c>
      <c r="C2286" s="33">
        <f>IF($R$2258="","",INDEX(전체채점!AY$3:AY$62,$R$2258))</f>
        <v/>
      </c>
      <c r="D2286" s="33">
        <f>IF($R$2258="","",INDEX(전체채점!AZ$3:AZ$62,$R$2258))</f>
        <v/>
      </c>
      <c r="E2286" s="33">
        <f>IF($R$2258="","",INDEX(전체채점!BA$3:BA$62,$R$2258))</f>
        <v/>
      </c>
      <c r="F2286" s="33">
        <f>IF($R$2258="","",INDEX(전체채점!BB$3:BB$62,$R$2258))</f>
        <v/>
      </c>
      <c r="G2286" s="33">
        <f>IF($R$2258="","",INDEX(전체채점!BC$3:BC$62,$R$2258))</f>
        <v/>
      </c>
      <c r="H2286" s="33">
        <f>IF($R$2258="","",INDEX(전체채점!BD$3:BD$62,$R$2258))</f>
        <v/>
      </c>
      <c r="I2286" s="33">
        <f>IF($R$2258="","",INDEX(전체채점!BE$3:BE$62,$R$2258))</f>
        <v/>
      </c>
      <c r="J2286" s="33">
        <f>IF($R$2258="","",INDEX(전체채점!BF$3:BF$62,$R$2258))</f>
        <v/>
      </c>
      <c r="K2286" s="33">
        <f>IF($R$2258="","",INDEX(전체채점!BG$3:BG$62,$R$2258))</f>
        <v/>
      </c>
      <c r="L2286" s="33">
        <f>IF($R$2258="","",INDEX(전체채점!BH$3:BH$62,$R$2258))</f>
        <v/>
      </c>
      <c r="M2286" s="33">
        <f>IF($R$2258="","",INDEX(전체채점!BI$3:BI$62,$R$2258))</f>
        <v/>
      </c>
      <c r="N2286" s="33">
        <f>IF($R$2258="","",INDEX(전체채점!BJ$3:BJ$62,$R$2258))</f>
        <v/>
      </c>
      <c r="O2286" s="33">
        <f>IF($R$2258="","",INDEX(전체채점!BK$3:BK$62,$R$2258))</f>
        <v/>
      </c>
      <c r="P2286" s="33">
        <f>IF($R$2258="","",INDEX(전체채점!BL$3:BL$62,$R$2258))</f>
        <v/>
      </c>
    </row>
    <row r="2287">
      <c r="A2287" s="50" t="inlineStr">
        <is>
          <t>문항 번호</t>
        </is>
      </c>
      <c r="B2287" s="51" t="n">
        <v>16</v>
      </c>
      <c r="C2287" s="51" t="n">
        <v>17</v>
      </c>
      <c r="D2287" s="51" t="n">
        <v>18</v>
      </c>
      <c r="E2287" s="51" t="n">
        <v>19</v>
      </c>
      <c r="F2287" s="51" t="n">
        <v>20</v>
      </c>
      <c r="G2287" s="51" t="n">
        <v>21</v>
      </c>
      <c r="H2287" s="51" t="n">
        <v>22</v>
      </c>
      <c r="I2287" s="51" t="n">
        <v>23</v>
      </c>
      <c r="J2287" s="51" t="n">
        <v>24</v>
      </c>
      <c r="K2287" s="51" t="n">
        <v>25</v>
      </c>
      <c r="L2287" s="51" t="n">
        <v>26</v>
      </c>
      <c r="M2287" s="51" t="n">
        <v>27</v>
      </c>
      <c r="N2287" s="51" t="n">
        <v>28</v>
      </c>
      <c r="O2287" s="51" t="n">
        <v>29</v>
      </c>
      <c r="P2287" s="51" t="n">
        <v>30</v>
      </c>
    </row>
    <row r="2288">
      <c r="A2288" s="52" t="inlineStr">
        <is>
          <t>정답</t>
        </is>
      </c>
      <c r="B2288" s="33">
        <f>IF($R$2259="","",IF($R$2259="언어와 매체",자동계산!$D$19,자동계산!$B$19))</f>
        <v/>
      </c>
      <c r="C2288" s="33">
        <f>IF($R$2259="","",IF($R$2259="언어와 매체",자동계산!$D$20,자동계산!$B$20))</f>
        <v/>
      </c>
      <c r="D2288" s="33">
        <f>IF($R$2259="","",IF($R$2259="언어와 매체",자동계산!$D$21,자동계산!$B$21))</f>
        <v/>
      </c>
      <c r="E2288" s="33">
        <f>IF($R$2259="","",IF($R$2259="언어와 매체",자동계산!$D$22,자동계산!$B$22))</f>
        <v/>
      </c>
      <c r="F2288" s="33">
        <f>IF($R$2259="","",IF($R$2259="언어와 매체",자동계산!$D$23,자동계산!$B$23))</f>
        <v/>
      </c>
      <c r="G2288" s="33">
        <f>IF($R$2259="","",IF($R$2259="언어와 매체",자동계산!$D$24,자동계산!$B$24))</f>
        <v/>
      </c>
      <c r="H2288" s="33">
        <f>IF($R$2259="","",IF($R$2259="언어와 매체",자동계산!$D$25,자동계산!$B$25))</f>
        <v/>
      </c>
      <c r="I2288" s="33">
        <f>IF($R$2259="","",IF($R$2259="언어와 매체",자동계산!$D$26,자동계산!$B$26))</f>
        <v/>
      </c>
      <c r="J2288" s="33">
        <f>IF($R$2259="","",IF($R$2259="언어와 매체",자동계산!$D$27,자동계산!$B$27))</f>
        <v/>
      </c>
      <c r="K2288" s="33">
        <f>IF($R$2259="","",IF($R$2259="언어와 매체",자동계산!$D$28,자동계산!$B$28))</f>
        <v/>
      </c>
      <c r="L2288" s="33">
        <f>IF($R$2259="","",IF($R$2259="언어와 매체",자동계산!$D$29,자동계산!$B$29))</f>
        <v/>
      </c>
      <c r="M2288" s="33">
        <f>IF($R$2259="","",IF($R$2259="언어와 매체",자동계산!$D$30,자동계산!$B$30))</f>
        <v/>
      </c>
      <c r="N2288" s="33">
        <f>IF($R$2259="","",IF($R$2259="언어와 매체",자동계산!$D$31,자동계산!$B$31))</f>
        <v/>
      </c>
      <c r="O2288" s="33">
        <f>IF($R$2259="","",IF($R$2259="언어와 매체",자동계산!$D$32,자동계산!$B$32))</f>
        <v/>
      </c>
      <c r="P2288" s="33">
        <f>IF($R$2259="","",IF($R$2259="언어와 매체",자동계산!$D$33,자동계산!$B$33))</f>
        <v/>
      </c>
    </row>
    <row r="2289">
      <c r="A2289" s="52" t="inlineStr">
        <is>
          <t>학생답안</t>
        </is>
      </c>
      <c r="B2289" s="33">
        <f>IF($R$2258="","",INDEX(전체채점!T$3:T$62,$R$2258))</f>
        <v/>
      </c>
      <c r="C2289" s="33">
        <f>IF($R$2258="","",INDEX(전체채점!U$3:U$62,$R$2258))</f>
        <v/>
      </c>
      <c r="D2289" s="33">
        <f>IF($R$2258="","",INDEX(전체채점!V$3:V$62,$R$2258))</f>
        <v/>
      </c>
      <c r="E2289" s="33">
        <f>IF($R$2258="","",INDEX(전체채점!W$3:W$62,$R$2258))</f>
        <v/>
      </c>
      <c r="F2289" s="33">
        <f>IF($R$2258="","",INDEX(전체채점!X$3:X$62,$R$2258))</f>
        <v/>
      </c>
      <c r="G2289" s="33">
        <f>IF($R$2258="","",INDEX(전체채점!Y$3:Y$62,$R$2258))</f>
        <v/>
      </c>
      <c r="H2289" s="33">
        <f>IF($R$2258="","",INDEX(전체채점!Z$3:Z$62,$R$2258))</f>
        <v/>
      </c>
      <c r="I2289" s="33">
        <f>IF($R$2258="","",INDEX(전체채점!AA$3:AA$62,$R$2258))</f>
        <v/>
      </c>
      <c r="J2289" s="33">
        <f>IF($R$2258="","",INDEX(전체채점!AB$3:AB$62,$R$2258))</f>
        <v/>
      </c>
      <c r="K2289" s="33">
        <f>IF($R$2258="","",INDEX(전체채점!AC$3:AC$62,$R$2258))</f>
        <v/>
      </c>
      <c r="L2289" s="33">
        <f>IF($R$2258="","",INDEX(전체채점!AD$3:AD$62,$R$2258))</f>
        <v/>
      </c>
      <c r="M2289" s="33">
        <f>IF($R$2258="","",INDEX(전체채점!AE$3:AE$62,$R$2258))</f>
        <v/>
      </c>
      <c r="N2289" s="33">
        <f>IF($R$2258="","",INDEX(전체채점!AF$3:AF$62,$R$2258))</f>
        <v/>
      </c>
      <c r="O2289" s="33">
        <f>IF($R$2258="","",INDEX(전체채점!AG$3:AG$62,$R$2258))</f>
        <v/>
      </c>
      <c r="P2289" s="33">
        <f>IF($R$2258="","",INDEX(전체채점!AH$3:AH$62,$R$2258))</f>
        <v/>
      </c>
    </row>
    <row r="2290">
      <c r="A2290" s="52" t="inlineStr">
        <is>
          <t>정오</t>
        </is>
      </c>
      <c r="B2290" s="33">
        <f>IF($R$2258="","",INDEX(전체채점!BM$3:BM$62,$R$2258))</f>
        <v/>
      </c>
      <c r="C2290" s="33">
        <f>IF($R$2258="","",INDEX(전체채점!BN$3:BN$62,$R$2258))</f>
        <v/>
      </c>
      <c r="D2290" s="33">
        <f>IF($R$2258="","",INDEX(전체채점!BO$3:BO$62,$R$2258))</f>
        <v/>
      </c>
      <c r="E2290" s="33">
        <f>IF($R$2258="","",INDEX(전체채점!BP$3:BP$62,$R$2258))</f>
        <v/>
      </c>
      <c r="F2290" s="33">
        <f>IF($R$2258="","",INDEX(전체채점!BQ$3:BQ$62,$R$2258))</f>
        <v/>
      </c>
      <c r="G2290" s="33">
        <f>IF($R$2258="","",INDEX(전체채점!BR$3:BR$62,$R$2258))</f>
        <v/>
      </c>
      <c r="H2290" s="33">
        <f>IF($R$2258="","",INDEX(전체채점!BS$3:BS$62,$R$2258))</f>
        <v/>
      </c>
      <c r="I2290" s="33">
        <f>IF($R$2258="","",INDEX(전체채점!BT$3:BT$62,$R$2258))</f>
        <v/>
      </c>
      <c r="J2290" s="33">
        <f>IF($R$2258="","",INDEX(전체채점!BU$3:BU$62,$R$2258))</f>
        <v/>
      </c>
      <c r="K2290" s="33">
        <f>IF($R$2258="","",INDEX(전체채점!BV$3:BV$62,$R$2258))</f>
        <v/>
      </c>
      <c r="L2290" s="33">
        <f>IF($R$2258="","",INDEX(전체채점!BW$3:BW$62,$R$2258))</f>
        <v/>
      </c>
      <c r="M2290" s="33">
        <f>IF($R$2258="","",INDEX(전체채점!BX$3:BX$62,$R$2258))</f>
        <v/>
      </c>
      <c r="N2290" s="33">
        <f>IF($R$2258="","",INDEX(전체채점!BY$3:BY$62,$R$2258))</f>
        <v/>
      </c>
      <c r="O2290" s="33">
        <f>IF($R$2258="","",INDEX(전체채점!BZ$3:BZ$62,$R$2258))</f>
        <v/>
      </c>
      <c r="P2290" s="33">
        <f>IF($R$2258="","",INDEX(전체채점!CA$3:CA$62,$R$2258))</f>
        <v/>
      </c>
    </row>
    <row r="2291">
      <c r="A2291" s="50" t="inlineStr">
        <is>
          <t>문항 번호</t>
        </is>
      </c>
      <c r="B2291" s="51" t="n">
        <v>31</v>
      </c>
      <c r="C2291" s="51" t="n">
        <v>32</v>
      </c>
      <c r="D2291" s="51" t="n">
        <v>33</v>
      </c>
      <c r="E2291" s="51" t="n">
        <v>34</v>
      </c>
      <c r="F2291" s="51" t="n">
        <v>35</v>
      </c>
      <c r="G2291" s="51" t="n">
        <v>36</v>
      </c>
      <c r="H2291" s="51" t="n">
        <v>37</v>
      </c>
      <c r="I2291" s="51" t="n">
        <v>38</v>
      </c>
      <c r="J2291" s="51" t="n">
        <v>39</v>
      </c>
      <c r="K2291" s="51" t="n">
        <v>40</v>
      </c>
      <c r="L2291" s="51" t="n">
        <v>41</v>
      </c>
      <c r="M2291" s="51" t="n">
        <v>42</v>
      </c>
      <c r="N2291" s="51" t="n">
        <v>43</v>
      </c>
      <c r="O2291" s="51" t="n">
        <v>44</v>
      </c>
      <c r="P2291" s="51" t="n">
        <v>45</v>
      </c>
    </row>
    <row r="2292">
      <c r="A2292" s="52" t="inlineStr">
        <is>
          <t>정답</t>
        </is>
      </c>
      <c r="B2292" s="33">
        <f>IF($R$2259="","",IF($R$2259="언어와 매체",자동계산!$D$34,자동계산!$B$34))</f>
        <v/>
      </c>
      <c r="C2292" s="33">
        <f>IF($R$2259="","",IF($R$2259="언어와 매체",자동계산!$D$35,자동계산!$B$35))</f>
        <v/>
      </c>
      <c r="D2292" s="33">
        <f>IF($R$2259="","",IF($R$2259="언어와 매체",자동계산!$D$36,자동계산!$B$36))</f>
        <v/>
      </c>
      <c r="E2292" s="33">
        <f>IF($R$2259="","",IF($R$2259="언어와 매체",자동계산!$D$37,자동계산!$B$37))</f>
        <v/>
      </c>
      <c r="F2292" s="33">
        <f>IF($R$2259="","",IF($R$2259="언어와 매체",자동계산!$D$38,자동계산!$B$38))</f>
        <v/>
      </c>
      <c r="G2292" s="33">
        <f>IF($R$2259="","",IF($R$2259="언어와 매체",자동계산!$D$39,자동계산!$B$39))</f>
        <v/>
      </c>
      <c r="H2292" s="33">
        <f>IF($R$2259="","",IF($R$2259="언어와 매체",자동계산!$D$40,자동계산!$B$40))</f>
        <v/>
      </c>
      <c r="I2292" s="33">
        <f>IF($R$2259="","",IF($R$2259="언어와 매체",자동계산!$D$41,자동계산!$B$41))</f>
        <v/>
      </c>
      <c r="J2292" s="33">
        <f>IF($R$2259="","",IF($R$2259="언어와 매체",자동계산!$D$42,자동계산!$B$42))</f>
        <v/>
      </c>
      <c r="K2292" s="33">
        <f>IF($R$2259="","",IF($R$2259="언어와 매체",자동계산!$D$43,자동계산!$B$43))</f>
        <v/>
      </c>
      <c r="L2292" s="33">
        <f>IF($R$2259="","",IF($R$2259="언어와 매체",자동계산!$D$44,자동계산!$B$44))</f>
        <v/>
      </c>
      <c r="M2292" s="33">
        <f>IF($R$2259="","",IF($R$2259="언어와 매체",자동계산!$D$45,자동계산!$B$45))</f>
        <v/>
      </c>
      <c r="N2292" s="33">
        <f>IF($R$2259="","",IF($R$2259="언어와 매체",자동계산!$D$46,자동계산!$B$46))</f>
        <v/>
      </c>
      <c r="O2292" s="33">
        <f>IF($R$2259="","",IF($R$2259="언어와 매체",자동계산!$D$47,자동계산!$B$47))</f>
        <v/>
      </c>
      <c r="P2292" s="33">
        <f>IF($R$2259="","",IF($R$2259="언어와 매체",자동계산!$D$48,자동계산!$B$48))</f>
        <v/>
      </c>
    </row>
    <row r="2293">
      <c r="A2293" s="52" t="inlineStr">
        <is>
          <t>학생답안</t>
        </is>
      </c>
      <c r="B2293" s="33">
        <f>IF($R$2258="","",INDEX(전체채점!AI$3:AI$62,$R$2258))</f>
        <v/>
      </c>
      <c r="C2293" s="33">
        <f>IF($R$2258="","",INDEX(전체채점!AJ$3:AJ$62,$R$2258))</f>
        <v/>
      </c>
      <c r="D2293" s="33">
        <f>IF($R$2258="","",INDEX(전체채점!AK$3:AK$62,$R$2258))</f>
        <v/>
      </c>
      <c r="E2293" s="33">
        <f>IF($R$2258="","",INDEX(전체채점!AL$3:AL$62,$R$2258))</f>
        <v/>
      </c>
      <c r="F2293" s="33">
        <f>IF($R$2258="","",INDEX(전체채점!AM$3:AM$62,$R$2258))</f>
        <v/>
      </c>
      <c r="G2293" s="33">
        <f>IF($R$2258="","",INDEX(전체채점!AN$3:AN$62,$R$2258))</f>
        <v/>
      </c>
      <c r="H2293" s="33">
        <f>IF($R$2258="","",INDEX(전체채점!AO$3:AO$62,$R$2258))</f>
        <v/>
      </c>
      <c r="I2293" s="33">
        <f>IF($R$2258="","",INDEX(전체채점!AP$3:AP$62,$R$2258))</f>
        <v/>
      </c>
      <c r="J2293" s="33">
        <f>IF($R$2258="","",INDEX(전체채점!AQ$3:AQ$62,$R$2258))</f>
        <v/>
      </c>
      <c r="K2293" s="33">
        <f>IF($R$2258="","",INDEX(전체채점!AR$3:AR$62,$R$2258))</f>
        <v/>
      </c>
      <c r="L2293" s="33">
        <f>IF($R$2258="","",INDEX(전체채점!AS$3:AS$62,$R$2258))</f>
        <v/>
      </c>
      <c r="M2293" s="33">
        <f>IF($R$2258="","",INDEX(전체채점!AT$3:AT$62,$R$2258))</f>
        <v/>
      </c>
      <c r="N2293" s="33">
        <f>IF($R$2258="","",INDEX(전체채점!AU$3:AU$62,$R$2258))</f>
        <v/>
      </c>
      <c r="O2293" s="33">
        <f>IF($R$2258="","",INDEX(전체채점!AV$3:AV$62,$R$2258))</f>
        <v/>
      </c>
      <c r="P2293" s="33">
        <f>IF($R$2258="","",INDEX(전체채점!AW$3:AW$62,$R$2258))</f>
        <v/>
      </c>
    </row>
    <row r="2294">
      <c r="A2294" s="52" t="inlineStr">
        <is>
          <t>정오</t>
        </is>
      </c>
      <c r="B2294" s="33">
        <f>IF($R$2258="","",INDEX(전체채점!CB$3:CB$62,$R$2258))</f>
        <v/>
      </c>
      <c r="C2294" s="33">
        <f>IF($R$2258="","",INDEX(전체채점!CC$3:CC$62,$R$2258))</f>
        <v/>
      </c>
      <c r="D2294" s="33">
        <f>IF($R$2258="","",INDEX(전체채점!CD$3:CD$62,$R$2258))</f>
        <v/>
      </c>
      <c r="E2294" s="33">
        <f>IF($R$2258="","",INDEX(전체채점!CE$3:CE$62,$R$2258))</f>
        <v/>
      </c>
      <c r="F2294" s="33">
        <f>IF($R$2258="","",INDEX(전체채점!CF$3:CF$62,$R$2258))</f>
        <v/>
      </c>
      <c r="G2294" s="33">
        <f>IF($R$2258="","",INDEX(전체채점!CG$3:CG$62,$R$2258))</f>
        <v/>
      </c>
      <c r="H2294" s="33">
        <f>IF($R$2258="","",INDEX(전체채점!CH$3:CH$62,$R$2258))</f>
        <v/>
      </c>
      <c r="I2294" s="33">
        <f>IF($R$2258="","",INDEX(전체채점!CI$3:CI$62,$R$2258))</f>
        <v/>
      </c>
      <c r="J2294" s="33">
        <f>IF($R$2258="","",INDEX(전체채점!CJ$3:CJ$62,$R$2258))</f>
        <v/>
      </c>
      <c r="K2294" s="33">
        <f>IF($R$2258="","",INDEX(전체채점!CK$3:CK$62,$R$2258))</f>
        <v/>
      </c>
      <c r="L2294" s="33">
        <f>IF($R$2258="","",INDEX(전체채점!CL$3:CL$62,$R$2258))</f>
        <v/>
      </c>
      <c r="M2294" s="33">
        <f>IF($R$2258="","",INDEX(전체채점!CM$3:CM$62,$R$2258))</f>
        <v/>
      </c>
      <c r="N2294" s="33">
        <f>IF($R$2258="","",INDEX(전체채점!CN$3:CN$62,$R$2258))</f>
        <v/>
      </c>
      <c r="O2294" s="33">
        <f>IF($R$2258="","",INDEX(전체채점!CO$3:CO$62,$R$2258))</f>
        <v/>
      </c>
      <c r="P2294" s="33">
        <f>IF($R$2258="","",INDEX(전체채점!CP$3:CP$62,$R$2258))</f>
        <v/>
      </c>
    </row>
    <row r="2297" ht="34" customHeight="1">
      <c r="A2297" s="36">
        <f>IF($R$2299="","",회차설정!$B$2&amp;" 성적표")</f>
        <v/>
      </c>
    </row>
    <row r="2299">
      <c r="A2299" s="12" t="inlineStr">
        <is>
          <t>1. 학생정보</t>
        </is>
      </c>
      <c r="R2299" s="37">
        <f>IF(답안입력!$A$59="","",57)</f>
        <v/>
      </c>
      <c r="S2299" s="37">
        <f>IF($R$2300="","",IFERROR(IF($R$2300="언어와 매체",MATCH(1,회차설정!$G$13:$G$27,0),MATCH(1,회차설정!$F$13:$F$27,0)),""))</f>
        <v/>
      </c>
    </row>
    <row r="2300">
      <c r="A2300" s="13" t="inlineStr">
        <is>
          <t>성명</t>
        </is>
      </c>
      <c r="B2300" s="7" t="n"/>
      <c r="C2300" s="8" t="n"/>
      <c r="D2300" s="13" t="inlineStr">
        <is>
          <t>선택과목</t>
        </is>
      </c>
      <c r="E2300" s="7" t="n"/>
      <c r="F2300" s="7" t="n"/>
      <c r="G2300" s="8" t="n"/>
      <c r="H2300" s="13" t="inlineStr">
        <is>
          <t>학년</t>
        </is>
      </c>
      <c r="I2300" s="7" t="n"/>
      <c r="J2300" s="7" t="n"/>
      <c r="K2300" s="8" t="n"/>
      <c r="L2300" s="13" t="inlineStr">
        <is>
          <t>시행일</t>
        </is>
      </c>
      <c r="M2300" s="7" t="n"/>
      <c r="N2300" s="7" t="n"/>
      <c r="O2300" s="7" t="n"/>
      <c r="P2300" s="8" t="n"/>
      <c r="R2300" s="37">
        <f>IF($R$2299="","",INDEX(전체채점!$B$3:$B$62,$R$2299))</f>
        <v/>
      </c>
      <c r="S2300" s="37">
        <f>IF($R$2300="","",IFERROR(IF($R$2300="언어와 매체",MATCH(2,회차설정!$G$13:$G$27,0),MATCH(2,회차설정!$F$13:$F$27,0)),""))</f>
        <v/>
      </c>
    </row>
    <row r="2301" ht="26" customHeight="1">
      <c r="A2301" s="39">
        <f>IF($R$2299="","",INDEX(답안입력!$A$3:$A$62,$R$2299))</f>
        <v/>
      </c>
      <c r="B2301" s="7" t="n"/>
      <c r="C2301" s="8" t="n"/>
      <c r="D2301" s="39">
        <f>IF($R$2299="","",INDEX(답안입력!$C$3:$C$62,$R$2299))</f>
        <v/>
      </c>
      <c r="E2301" s="7" t="n"/>
      <c r="F2301" s="7" t="n"/>
      <c r="G2301" s="8" t="n"/>
      <c r="H2301" s="39">
        <f>IF($R$2299="","",INDEX(답안입력!$B$3:$B$62,$R$2299))</f>
        <v/>
      </c>
      <c r="I2301" s="7" t="n"/>
      <c r="J2301" s="7" t="n"/>
      <c r="K2301" s="8" t="n"/>
      <c r="L2301" s="40">
        <f>회차설정!$B$3</f>
        <v/>
      </c>
      <c r="M2301" s="7" t="n"/>
      <c r="N2301" s="7" t="n"/>
      <c r="O2301" s="7" t="n"/>
      <c r="P2301" s="8" t="n"/>
      <c r="R2301" s="37">
        <f>IF($R$2300="언어와 매체",회차설정!$B$9,회차설정!$B$8)</f>
        <v/>
      </c>
      <c r="S2301" s="37">
        <f>IF($R$2300="","",IFERROR(IF($R$2300="언어와 매체",MATCH(3,회차설정!$G$13:$G$27,0),MATCH(3,회차설정!$F$13:$F$27,0)),""))</f>
        <v/>
      </c>
    </row>
    <row r="2302">
      <c r="R2302" s="37">
        <f>IF($R$2300="언어와 매체",회차설정!$C$9,회차설정!$C$8)</f>
        <v/>
      </c>
      <c r="S2302" s="37">
        <f>IF($R$2300="","",IFERROR(IF($R$2300="언어와 매체",MATCH(4,회차설정!$G$13:$G$27,0),MATCH(4,회차설정!$F$13:$F$27,0)),""))</f>
        <v/>
      </c>
    </row>
    <row r="2303">
      <c r="A2303" s="12" t="inlineStr">
        <is>
          <t>2. 성적</t>
        </is>
      </c>
      <c r="R2303" s="37">
        <f>IF($R$2300="언어와 매체",회차설정!$D$9,회차설정!$D$8)</f>
        <v/>
      </c>
      <c r="S2303" s="37">
        <f>IF($R$2300="","",IFERROR(IF($R$2300="언어와 매체",MATCH(5,회차설정!$G$13:$G$27,0),MATCH(5,회차설정!$F$13:$F$27,0)),""))</f>
        <v/>
      </c>
    </row>
    <row r="2304">
      <c r="A2304" s="13" t="inlineStr">
        <is>
          <t>점수 (100점 만점)</t>
        </is>
      </c>
      <c r="B2304" s="7" t="n"/>
      <c r="C2304" s="7" t="n"/>
      <c r="D2304" s="7" t="n"/>
      <c r="E2304" s="8" t="n"/>
      <c r="F2304" s="13" t="inlineStr">
        <is>
          <t>등급</t>
        </is>
      </c>
      <c r="G2304" s="7" t="n"/>
      <c r="H2304" s="8" t="n"/>
      <c r="I2304" s="13" t="inlineStr">
        <is>
          <t>등급컷</t>
        </is>
      </c>
      <c r="J2304" s="7" t="n"/>
      <c r="K2304" s="7" t="n"/>
      <c r="L2304" s="8" t="n"/>
      <c r="M2304" s="13" t="inlineStr">
        <is>
          <t>같은 선택과목 평균</t>
        </is>
      </c>
      <c r="N2304" s="7" t="n"/>
      <c r="O2304" s="7" t="n"/>
      <c r="P2304" s="8" t="n"/>
      <c r="R2304" s="37">
        <f>IF($R$2300="언어와 매체",회차설정!$E$9,회차설정!$E$8)</f>
        <v/>
      </c>
      <c r="S2304" s="37">
        <f>IF($R$2300="","",IFERROR(IF($R$2300="언어와 매체",MATCH(6,회차설정!$G$13:$G$27,0),MATCH(6,회차설정!$F$13:$F$27,0)),""))</f>
        <v/>
      </c>
    </row>
    <row r="2305" ht="34" customHeight="1">
      <c r="A2305" s="41">
        <f>IF($R$2299="","",INDEX(전체채점!$C$3:$C$62,$R$2299))</f>
        <v/>
      </c>
      <c r="B2305" s="7" t="n"/>
      <c r="C2305" s="7" t="n"/>
      <c r="D2305" s="7" t="n"/>
      <c r="E2305" s="8" t="n"/>
      <c r="F2305" s="42">
        <f>IF($R$2299="","",INDEX(전체채점!$D$3:$D$62,$R$2299))</f>
        <v/>
      </c>
      <c r="G2305" s="7" t="n"/>
      <c r="H2305" s="8" t="n"/>
      <c r="I2305" s="43">
        <f>IF($R$2299="","",$R$2301&amp;"-"&amp;$R$2302&amp;"-"&amp;$R$2303&amp;"-"&amp;$R$2304)</f>
        <v/>
      </c>
      <c r="J2305" s="7" t="n"/>
      <c r="K2305" s="7" t="n"/>
      <c r="L2305" s="8" t="n"/>
      <c r="M2305" s="44">
        <f>IFERROR(AVERAGEIF(전체채점!$B$3:$B$62,$R$2300,전체채점!$C$3:$C$62),"")</f>
        <v/>
      </c>
      <c r="N2305" s="7" t="n"/>
      <c r="O2305" s="7" t="n"/>
      <c r="P2305" s="8" t="n"/>
      <c r="S2305" s="37">
        <f>IF($R$2300="","",IFERROR(IF($R$2300="언어와 매체",MATCH(7,회차설정!$G$13:$G$27,0),MATCH(7,회차설정!$F$13:$F$27,0)),""))</f>
        <v/>
      </c>
    </row>
    <row r="2306">
      <c r="S2306" s="37">
        <f>IF($R$2300="","",IFERROR(IF($R$2300="언어와 매체",MATCH(8,회차설정!$G$13:$G$27,0),MATCH(8,회차설정!$F$13:$F$27,0)),""))</f>
        <v/>
      </c>
    </row>
    <row r="2307">
      <c r="A2307" s="12" t="inlineStr">
        <is>
          <t>3. 영역분류별 성취도 분석</t>
        </is>
      </c>
      <c r="F2307" s="45">
        <f>IF(OR($R$2299="",$E2321=""),"",IF($E2321=INDEX(전체채점!$C$3:$C$62,$R$2299),"","※ 회차설정의 영역 표를 확인하세요 — 영역 합계와 점수가 다릅니다"))</f>
        <v/>
      </c>
      <c r="S2307" s="37">
        <f>IF($R$2300="","",IFERROR(IF($R$2300="언어와 매체",MATCH(9,회차설정!$G$13:$G$27,0),MATCH(9,회차설정!$F$13:$F$27,0)),""))</f>
        <v/>
      </c>
    </row>
    <row r="2308">
      <c r="A2308" s="13" t="inlineStr">
        <is>
          <t>분류</t>
        </is>
      </c>
      <c r="B2308" s="13" t="inlineStr">
        <is>
          <t>영역</t>
        </is>
      </c>
      <c r="C2308" s="8" t="n"/>
      <c r="D2308" s="13" t="inlineStr">
        <is>
          <t>배점</t>
        </is>
      </c>
      <c r="E2308" s="13" t="inlineStr">
        <is>
          <t>득점</t>
        </is>
      </c>
      <c r="F2308" s="13" t="inlineStr">
        <is>
          <t>성취도(%)</t>
        </is>
      </c>
      <c r="G2308" s="8" t="n"/>
      <c r="H2308" s="13" t="inlineStr"/>
      <c r="I2308" s="7" t="n"/>
      <c r="J2308" s="7" t="n"/>
      <c r="K2308" s="7" t="n"/>
      <c r="L2308" s="7" t="n"/>
      <c r="M2308" s="7" t="n"/>
      <c r="N2308" s="7" t="n"/>
      <c r="O2308" s="7" t="n"/>
      <c r="P2308" s="8" t="n"/>
      <c r="S2308" s="37">
        <f>IF($R$2300="","",IFERROR(IF($R$2300="언어와 매체",MATCH(10,회차설정!$G$13:$G$27,0),MATCH(10,회차설정!$F$13:$F$27,0)),""))</f>
        <v/>
      </c>
    </row>
    <row r="2309">
      <c r="A2309" s="14">
        <f>IF($S$2299="","",INDEX(회차설정!$A$13:$A$27,$S$2299))</f>
        <v/>
      </c>
      <c r="B2309" s="14">
        <f>IF($S$2299="","",INDEX(회차설정!$B$13:$B$27,$S$2299))</f>
        <v/>
      </c>
      <c r="C2309" s="8" t="n"/>
      <c r="D2309" s="14">
        <f>IF($S$2299="","",IF($R$2300="언어와 매체",SUMPRODUCT((자동계산!$A$4:$A$48&gt;=INDEX(회차설정!$C$13:$C$27,$S$2299))*(자동계산!$A$4:$A$48&lt;=INDEX(회차설정!$D$13:$D$27,$S$2299))*자동계산!$E$4:$E$48),SUMPRODUCT((자동계산!$A$4:$A$48&gt;=INDEX(회차설정!$C$13:$C$27,$S$2299))*(자동계산!$A$4:$A$48&lt;=INDEX(회차설정!$D$13:$D$27,$S$2299))*자동계산!$C$4:$C$48)))</f>
        <v/>
      </c>
      <c r="E2309" s="14">
        <f>IF(OR($S$2299="",$R$2299=""),"",SUM(OFFSET(전체채점!$AW$2,$R$2299,INDEX(회차설정!$C$13:$C$27,$S$2299),1,INDEX(회차설정!$D$13:$D$27,$S$2299)-INDEX(회차설정!$C$13:$C$27,$S$2299)+1)))</f>
        <v/>
      </c>
      <c r="F2309" s="46">
        <f>IF(OR($S$2299="",$D2309=0,$D2309="",$E2309=""),"",$E2309/$D2309*100)</f>
        <v/>
      </c>
      <c r="G2309" s="8" t="n"/>
      <c r="H2309" s="47">
        <f>IF($F2309="","",REPT("■",ROUND($F2309/5,0)))</f>
        <v/>
      </c>
      <c r="I2309" s="7" t="n"/>
      <c r="J2309" s="7" t="n"/>
      <c r="K2309" s="7" t="n"/>
      <c r="L2309" s="7" t="n"/>
      <c r="M2309" s="7" t="n"/>
      <c r="N2309" s="7" t="n"/>
      <c r="O2309" s="7" t="n"/>
      <c r="P2309" s="8" t="n"/>
      <c r="S2309" s="37">
        <f>IF($R$2300="","",IFERROR(IF($R$2300="언어와 매체",MATCH(11,회차설정!$G$13:$G$27,0),MATCH(11,회차설정!$F$13:$F$27,0)),""))</f>
        <v/>
      </c>
    </row>
    <row r="2310">
      <c r="A2310" s="14">
        <f>IF($S$2300="","",INDEX(회차설정!$A$13:$A$27,$S$2300))</f>
        <v/>
      </c>
      <c r="B2310" s="14">
        <f>IF($S$2300="","",INDEX(회차설정!$B$13:$B$27,$S$2300))</f>
        <v/>
      </c>
      <c r="C2310" s="8" t="n"/>
      <c r="D2310" s="14">
        <f>IF($S$2300="","",IF($R$2300="언어와 매체",SUMPRODUCT((자동계산!$A$4:$A$48&gt;=INDEX(회차설정!$C$13:$C$27,$S$2300))*(자동계산!$A$4:$A$48&lt;=INDEX(회차설정!$D$13:$D$27,$S$2300))*자동계산!$E$4:$E$48),SUMPRODUCT((자동계산!$A$4:$A$48&gt;=INDEX(회차설정!$C$13:$C$27,$S$2300))*(자동계산!$A$4:$A$48&lt;=INDEX(회차설정!$D$13:$D$27,$S$2300))*자동계산!$C$4:$C$48)))</f>
        <v/>
      </c>
      <c r="E2310" s="14">
        <f>IF(OR($S$2300="",$R$2299=""),"",SUM(OFFSET(전체채점!$AW$2,$R$2299,INDEX(회차설정!$C$13:$C$27,$S$2300),1,INDEX(회차설정!$D$13:$D$27,$S$2300)-INDEX(회차설정!$C$13:$C$27,$S$2300)+1)))</f>
        <v/>
      </c>
      <c r="F2310" s="46">
        <f>IF(OR($S$2300="",$D2310=0,$D2310="",$E2310=""),"",$E2310/$D2310*100)</f>
        <v/>
      </c>
      <c r="G2310" s="8" t="n"/>
      <c r="H2310" s="47">
        <f>IF($F2310="","",REPT("■",ROUND($F2310/5,0)))</f>
        <v/>
      </c>
      <c r="I2310" s="7" t="n"/>
      <c r="J2310" s="7" t="n"/>
      <c r="K2310" s="7" t="n"/>
      <c r="L2310" s="7" t="n"/>
      <c r="M2310" s="7" t="n"/>
      <c r="N2310" s="7" t="n"/>
      <c r="O2310" s="7" t="n"/>
      <c r="P2310" s="8" t="n"/>
      <c r="S2310" s="37">
        <f>IF($R$2300="","",IFERROR(IF($R$2300="언어와 매체",MATCH(12,회차설정!$G$13:$G$27,0),MATCH(12,회차설정!$F$13:$F$27,0)),""))</f>
        <v/>
      </c>
    </row>
    <row r="2311">
      <c r="A2311" s="14">
        <f>IF($S$2301="","",INDEX(회차설정!$A$13:$A$27,$S$2301))</f>
        <v/>
      </c>
      <c r="B2311" s="14">
        <f>IF($S$2301="","",INDEX(회차설정!$B$13:$B$27,$S$2301))</f>
        <v/>
      </c>
      <c r="C2311" s="8" t="n"/>
      <c r="D2311" s="14">
        <f>IF($S$2301="","",IF($R$2300="언어와 매체",SUMPRODUCT((자동계산!$A$4:$A$48&gt;=INDEX(회차설정!$C$13:$C$27,$S$2301))*(자동계산!$A$4:$A$48&lt;=INDEX(회차설정!$D$13:$D$27,$S$2301))*자동계산!$E$4:$E$48),SUMPRODUCT((자동계산!$A$4:$A$48&gt;=INDEX(회차설정!$C$13:$C$27,$S$2301))*(자동계산!$A$4:$A$48&lt;=INDEX(회차설정!$D$13:$D$27,$S$2301))*자동계산!$C$4:$C$48)))</f>
        <v/>
      </c>
      <c r="E2311" s="14">
        <f>IF(OR($S$2301="",$R$2299=""),"",SUM(OFFSET(전체채점!$AW$2,$R$2299,INDEX(회차설정!$C$13:$C$27,$S$2301),1,INDEX(회차설정!$D$13:$D$27,$S$2301)-INDEX(회차설정!$C$13:$C$27,$S$2301)+1)))</f>
        <v/>
      </c>
      <c r="F2311" s="46">
        <f>IF(OR($S$2301="",$D2311=0,$D2311="",$E2311=""),"",$E2311/$D2311*100)</f>
        <v/>
      </c>
      <c r="G2311" s="8" t="n"/>
      <c r="H2311" s="47">
        <f>IF($F2311="","",REPT("■",ROUND($F2311/5,0)))</f>
        <v/>
      </c>
      <c r="I2311" s="7" t="n"/>
      <c r="J2311" s="7" t="n"/>
      <c r="K2311" s="7" t="n"/>
      <c r="L2311" s="7" t="n"/>
      <c r="M2311" s="7" t="n"/>
      <c r="N2311" s="7" t="n"/>
      <c r="O2311" s="7" t="n"/>
      <c r="P2311" s="8" t="n"/>
    </row>
    <row r="2312">
      <c r="A2312" s="14">
        <f>IF($S$2302="","",INDEX(회차설정!$A$13:$A$27,$S$2302))</f>
        <v/>
      </c>
      <c r="B2312" s="14">
        <f>IF($S$2302="","",INDEX(회차설정!$B$13:$B$27,$S$2302))</f>
        <v/>
      </c>
      <c r="C2312" s="8" t="n"/>
      <c r="D2312" s="14">
        <f>IF($S$2302="","",IF($R$2300="언어와 매체",SUMPRODUCT((자동계산!$A$4:$A$48&gt;=INDEX(회차설정!$C$13:$C$27,$S$2302))*(자동계산!$A$4:$A$48&lt;=INDEX(회차설정!$D$13:$D$27,$S$2302))*자동계산!$E$4:$E$48),SUMPRODUCT((자동계산!$A$4:$A$48&gt;=INDEX(회차설정!$C$13:$C$27,$S$2302))*(자동계산!$A$4:$A$48&lt;=INDEX(회차설정!$D$13:$D$27,$S$2302))*자동계산!$C$4:$C$48)))</f>
        <v/>
      </c>
      <c r="E2312" s="14">
        <f>IF(OR($S$2302="",$R$2299=""),"",SUM(OFFSET(전체채점!$AW$2,$R$2299,INDEX(회차설정!$C$13:$C$27,$S$2302),1,INDEX(회차설정!$D$13:$D$27,$S$2302)-INDEX(회차설정!$C$13:$C$27,$S$2302)+1)))</f>
        <v/>
      </c>
      <c r="F2312" s="46">
        <f>IF(OR($S$2302="",$D2312=0,$D2312="",$E2312=""),"",$E2312/$D2312*100)</f>
        <v/>
      </c>
      <c r="G2312" s="8" t="n"/>
      <c r="H2312" s="47">
        <f>IF($F2312="","",REPT("■",ROUND($F2312/5,0)))</f>
        <v/>
      </c>
      <c r="I2312" s="7" t="n"/>
      <c r="J2312" s="7" t="n"/>
      <c r="K2312" s="7" t="n"/>
      <c r="L2312" s="7" t="n"/>
      <c r="M2312" s="7" t="n"/>
      <c r="N2312" s="7" t="n"/>
      <c r="O2312" s="7" t="n"/>
      <c r="P2312" s="8" t="n"/>
    </row>
    <row r="2313">
      <c r="A2313" s="14">
        <f>IF($S$2303="","",INDEX(회차설정!$A$13:$A$27,$S$2303))</f>
        <v/>
      </c>
      <c r="B2313" s="14">
        <f>IF($S$2303="","",INDEX(회차설정!$B$13:$B$27,$S$2303))</f>
        <v/>
      </c>
      <c r="C2313" s="8" t="n"/>
      <c r="D2313" s="14">
        <f>IF($S$2303="","",IF($R$2300="언어와 매체",SUMPRODUCT((자동계산!$A$4:$A$48&gt;=INDEX(회차설정!$C$13:$C$27,$S$2303))*(자동계산!$A$4:$A$48&lt;=INDEX(회차설정!$D$13:$D$27,$S$2303))*자동계산!$E$4:$E$48),SUMPRODUCT((자동계산!$A$4:$A$48&gt;=INDEX(회차설정!$C$13:$C$27,$S$2303))*(자동계산!$A$4:$A$48&lt;=INDEX(회차설정!$D$13:$D$27,$S$2303))*자동계산!$C$4:$C$48)))</f>
        <v/>
      </c>
      <c r="E2313" s="14">
        <f>IF(OR($S$2303="",$R$2299=""),"",SUM(OFFSET(전체채점!$AW$2,$R$2299,INDEX(회차설정!$C$13:$C$27,$S$2303),1,INDEX(회차설정!$D$13:$D$27,$S$2303)-INDEX(회차설정!$C$13:$C$27,$S$2303)+1)))</f>
        <v/>
      </c>
      <c r="F2313" s="46">
        <f>IF(OR($S$2303="",$D2313=0,$D2313="",$E2313=""),"",$E2313/$D2313*100)</f>
        <v/>
      </c>
      <c r="G2313" s="8" t="n"/>
      <c r="H2313" s="47">
        <f>IF($F2313="","",REPT("■",ROUND($F2313/5,0)))</f>
        <v/>
      </c>
      <c r="I2313" s="7" t="n"/>
      <c r="J2313" s="7" t="n"/>
      <c r="K2313" s="7" t="n"/>
      <c r="L2313" s="7" t="n"/>
      <c r="M2313" s="7" t="n"/>
      <c r="N2313" s="7" t="n"/>
      <c r="O2313" s="7" t="n"/>
      <c r="P2313" s="8" t="n"/>
    </row>
    <row r="2314">
      <c r="A2314" s="14">
        <f>IF($S$2304="","",INDEX(회차설정!$A$13:$A$27,$S$2304))</f>
        <v/>
      </c>
      <c r="B2314" s="14">
        <f>IF($S$2304="","",INDEX(회차설정!$B$13:$B$27,$S$2304))</f>
        <v/>
      </c>
      <c r="C2314" s="8" t="n"/>
      <c r="D2314" s="14">
        <f>IF($S$2304="","",IF($R$2300="언어와 매체",SUMPRODUCT((자동계산!$A$4:$A$48&gt;=INDEX(회차설정!$C$13:$C$27,$S$2304))*(자동계산!$A$4:$A$48&lt;=INDEX(회차설정!$D$13:$D$27,$S$2304))*자동계산!$E$4:$E$48),SUMPRODUCT((자동계산!$A$4:$A$48&gt;=INDEX(회차설정!$C$13:$C$27,$S$2304))*(자동계산!$A$4:$A$48&lt;=INDEX(회차설정!$D$13:$D$27,$S$2304))*자동계산!$C$4:$C$48)))</f>
        <v/>
      </c>
      <c r="E2314" s="14">
        <f>IF(OR($S$2304="",$R$2299=""),"",SUM(OFFSET(전체채점!$AW$2,$R$2299,INDEX(회차설정!$C$13:$C$27,$S$2304),1,INDEX(회차설정!$D$13:$D$27,$S$2304)-INDEX(회차설정!$C$13:$C$27,$S$2304)+1)))</f>
        <v/>
      </c>
      <c r="F2314" s="46">
        <f>IF(OR($S$2304="",$D2314=0,$D2314="",$E2314=""),"",$E2314/$D2314*100)</f>
        <v/>
      </c>
      <c r="G2314" s="8" t="n"/>
      <c r="H2314" s="47">
        <f>IF($F2314="","",REPT("■",ROUND($F2314/5,0)))</f>
        <v/>
      </c>
      <c r="I2314" s="7" t="n"/>
      <c r="J2314" s="7" t="n"/>
      <c r="K2314" s="7" t="n"/>
      <c r="L2314" s="7" t="n"/>
      <c r="M2314" s="7" t="n"/>
      <c r="N2314" s="7" t="n"/>
      <c r="O2314" s="7" t="n"/>
      <c r="P2314" s="8" t="n"/>
    </row>
    <row r="2315">
      <c r="A2315" s="14">
        <f>IF($S$2305="","",INDEX(회차설정!$A$13:$A$27,$S$2305))</f>
        <v/>
      </c>
      <c r="B2315" s="14">
        <f>IF($S$2305="","",INDEX(회차설정!$B$13:$B$27,$S$2305))</f>
        <v/>
      </c>
      <c r="C2315" s="8" t="n"/>
      <c r="D2315" s="14">
        <f>IF($S$2305="","",IF($R$2300="언어와 매체",SUMPRODUCT((자동계산!$A$4:$A$48&gt;=INDEX(회차설정!$C$13:$C$27,$S$2305))*(자동계산!$A$4:$A$48&lt;=INDEX(회차설정!$D$13:$D$27,$S$2305))*자동계산!$E$4:$E$48),SUMPRODUCT((자동계산!$A$4:$A$48&gt;=INDEX(회차설정!$C$13:$C$27,$S$2305))*(자동계산!$A$4:$A$48&lt;=INDEX(회차설정!$D$13:$D$27,$S$2305))*자동계산!$C$4:$C$48)))</f>
        <v/>
      </c>
      <c r="E2315" s="14">
        <f>IF(OR($S$2305="",$R$2299=""),"",SUM(OFFSET(전체채점!$AW$2,$R$2299,INDEX(회차설정!$C$13:$C$27,$S$2305),1,INDEX(회차설정!$D$13:$D$27,$S$2305)-INDEX(회차설정!$C$13:$C$27,$S$2305)+1)))</f>
        <v/>
      </c>
      <c r="F2315" s="46">
        <f>IF(OR($S$2305="",$D2315=0,$D2315="",$E2315=""),"",$E2315/$D2315*100)</f>
        <v/>
      </c>
      <c r="G2315" s="8" t="n"/>
      <c r="H2315" s="47">
        <f>IF($F2315="","",REPT("■",ROUND($F2315/5,0)))</f>
        <v/>
      </c>
      <c r="I2315" s="7" t="n"/>
      <c r="J2315" s="7" t="n"/>
      <c r="K2315" s="7" t="n"/>
      <c r="L2315" s="7" t="n"/>
      <c r="M2315" s="7" t="n"/>
      <c r="N2315" s="7" t="n"/>
      <c r="O2315" s="7" t="n"/>
      <c r="P2315" s="8" t="n"/>
    </row>
    <row r="2316">
      <c r="A2316" s="14">
        <f>IF($S$2306="","",INDEX(회차설정!$A$13:$A$27,$S$2306))</f>
        <v/>
      </c>
      <c r="B2316" s="14">
        <f>IF($S$2306="","",INDEX(회차설정!$B$13:$B$27,$S$2306))</f>
        <v/>
      </c>
      <c r="C2316" s="8" t="n"/>
      <c r="D2316" s="14">
        <f>IF($S$2306="","",IF($R$2300="언어와 매체",SUMPRODUCT((자동계산!$A$4:$A$48&gt;=INDEX(회차설정!$C$13:$C$27,$S$2306))*(자동계산!$A$4:$A$48&lt;=INDEX(회차설정!$D$13:$D$27,$S$2306))*자동계산!$E$4:$E$48),SUMPRODUCT((자동계산!$A$4:$A$48&gt;=INDEX(회차설정!$C$13:$C$27,$S$2306))*(자동계산!$A$4:$A$48&lt;=INDEX(회차설정!$D$13:$D$27,$S$2306))*자동계산!$C$4:$C$48)))</f>
        <v/>
      </c>
      <c r="E2316" s="14">
        <f>IF(OR($S$2306="",$R$2299=""),"",SUM(OFFSET(전체채점!$AW$2,$R$2299,INDEX(회차설정!$C$13:$C$27,$S$2306),1,INDEX(회차설정!$D$13:$D$27,$S$2306)-INDEX(회차설정!$C$13:$C$27,$S$2306)+1)))</f>
        <v/>
      </c>
      <c r="F2316" s="46">
        <f>IF(OR($S$2306="",$D2316=0,$D2316="",$E2316=""),"",$E2316/$D2316*100)</f>
        <v/>
      </c>
      <c r="G2316" s="8" t="n"/>
      <c r="H2316" s="47">
        <f>IF($F2316="","",REPT("■",ROUND($F2316/5,0)))</f>
        <v/>
      </c>
      <c r="I2316" s="7" t="n"/>
      <c r="J2316" s="7" t="n"/>
      <c r="K2316" s="7" t="n"/>
      <c r="L2316" s="7" t="n"/>
      <c r="M2316" s="7" t="n"/>
      <c r="N2316" s="7" t="n"/>
      <c r="O2316" s="7" t="n"/>
      <c r="P2316" s="8" t="n"/>
    </row>
    <row r="2317">
      <c r="A2317" s="14">
        <f>IF($S$2307="","",INDEX(회차설정!$A$13:$A$27,$S$2307))</f>
        <v/>
      </c>
      <c r="B2317" s="14">
        <f>IF($S$2307="","",INDEX(회차설정!$B$13:$B$27,$S$2307))</f>
        <v/>
      </c>
      <c r="C2317" s="8" t="n"/>
      <c r="D2317" s="14">
        <f>IF($S$2307="","",IF($R$2300="언어와 매체",SUMPRODUCT((자동계산!$A$4:$A$48&gt;=INDEX(회차설정!$C$13:$C$27,$S$2307))*(자동계산!$A$4:$A$48&lt;=INDEX(회차설정!$D$13:$D$27,$S$2307))*자동계산!$E$4:$E$48),SUMPRODUCT((자동계산!$A$4:$A$48&gt;=INDEX(회차설정!$C$13:$C$27,$S$2307))*(자동계산!$A$4:$A$48&lt;=INDEX(회차설정!$D$13:$D$27,$S$2307))*자동계산!$C$4:$C$48)))</f>
        <v/>
      </c>
      <c r="E2317" s="14">
        <f>IF(OR($S$2307="",$R$2299=""),"",SUM(OFFSET(전체채점!$AW$2,$R$2299,INDEX(회차설정!$C$13:$C$27,$S$2307),1,INDEX(회차설정!$D$13:$D$27,$S$2307)-INDEX(회차설정!$C$13:$C$27,$S$2307)+1)))</f>
        <v/>
      </c>
      <c r="F2317" s="46">
        <f>IF(OR($S$2307="",$D2317=0,$D2317="",$E2317=""),"",$E2317/$D2317*100)</f>
        <v/>
      </c>
      <c r="G2317" s="8" t="n"/>
      <c r="H2317" s="47">
        <f>IF($F2317="","",REPT("■",ROUND($F2317/5,0)))</f>
        <v/>
      </c>
      <c r="I2317" s="7" t="n"/>
      <c r="J2317" s="7" t="n"/>
      <c r="K2317" s="7" t="n"/>
      <c r="L2317" s="7" t="n"/>
      <c r="M2317" s="7" t="n"/>
      <c r="N2317" s="7" t="n"/>
      <c r="O2317" s="7" t="n"/>
      <c r="P2317" s="8" t="n"/>
    </row>
    <row r="2318">
      <c r="A2318" s="14">
        <f>IF($S$2308="","",INDEX(회차설정!$A$13:$A$27,$S$2308))</f>
        <v/>
      </c>
      <c r="B2318" s="14">
        <f>IF($S$2308="","",INDEX(회차설정!$B$13:$B$27,$S$2308))</f>
        <v/>
      </c>
      <c r="C2318" s="8" t="n"/>
      <c r="D2318" s="14">
        <f>IF($S$2308="","",IF($R$2300="언어와 매체",SUMPRODUCT((자동계산!$A$4:$A$48&gt;=INDEX(회차설정!$C$13:$C$27,$S$2308))*(자동계산!$A$4:$A$48&lt;=INDEX(회차설정!$D$13:$D$27,$S$2308))*자동계산!$E$4:$E$48),SUMPRODUCT((자동계산!$A$4:$A$48&gt;=INDEX(회차설정!$C$13:$C$27,$S$2308))*(자동계산!$A$4:$A$48&lt;=INDEX(회차설정!$D$13:$D$27,$S$2308))*자동계산!$C$4:$C$48)))</f>
        <v/>
      </c>
      <c r="E2318" s="14">
        <f>IF(OR($S$2308="",$R$2299=""),"",SUM(OFFSET(전체채점!$AW$2,$R$2299,INDEX(회차설정!$C$13:$C$27,$S$2308),1,INDEX(회차설정!$D$13:$D$27,$S$2308)-INDEX(회차설정!$C$13:$C$27,$S$2308)+1)))</f>
        <v/>
      </c>
      <c r="F2318" s="46">
        <f>IF(OR($S$2308="",$D2318=0,$D2318="",$E2318=""),"",$E2318/$D2318*100)</f>
        <v/>
      </c>
      <c r="G2318" s="8" t="n"/>
      <c r="H2318" s="47">
        <f>IF($F2318="","",REPT("■",ROUND($F2318/5,0)))</f>
        <v/>
      </c>
      <c r="I2318" s="7" t="n"/>
      <c r="J2318" s="7" t="n"/>
      <c r="K2318" s="7" t="n"/>
      <c r="L2318" s="7" t="n"/>
      <c r="M2318" s="7" t="n"/>
      <c r="N2318" s="7" t="n"/>
      <c r="O2318" s="7" t="n"/>
      <c r="P2318" s="8" t="n"/>
    </row>
    <row r="2319">
      <c r="A2319" s="14">
        <f>IF($S$2309="","",INDEX(회차설정!$A$13:$A$27,$S$2309))</f>
        <v/>
      </c>
      <c r="B2319" s="14">
        <f>IF($S$2309="","",INDEX(회차설정!$B$13:$B$27,$S$2309))</f>
        <v/>
      </c>
      <c r="C2319" s="8" t="n"/>
      <c r="D2319" s="14">
        <f>IF($S$2309="","",IF($R$2300="언어와 매체",SUMPRODUCT((자동계산!$A$4:$A$48&gt;=INDEX(회차설정!$C$13:$C$27,$S$2309))*(자동계산!$A$4:$A$48&lt;=INDEX(회차설정!$D$13:$D$27,$S$2309))*자동계산!$E$4:$E$48),SUMPRODUCT((자동계산!$A$4:$A$48&gt;=INDEX(회차설정!$C$13:$C$27,$S$2309))*(자동계산!$A$4:$A$48&lt;=INDEX(회차설정!$D$13:$D$27,$S$2309))*자동계산!$C$4:$C$48)))</f>
        <v/>
      </c>
      <c r="E2319" s="14">
        <f>IF(OR($S$2309="",$R$2299=""),"",SUM(OFFSET(전체채점!$AW$2,$R$2299,INDEX(회차설정!$C$13:$C$27,$S$2309),1,INDEX(회차설정!$D$13:$D$27,$S$2309)-INDEX(회차설정!$C$13:$C$27,$S$2309)+1)))</f>
        <v/>
      </c>
      <c r="F2319" s="46">
        <f>IF(OR($S$2309="",$D2319=0,$D2319="",$E2319=""),"",$E2319/$D2319*100)</f>
        <v/>
      </c>
      <c r="G2319" s="8" t="n"/>
      <c r="H2319" s="47">
        <f>IF($F2319="","",REPT("■",ROUND($F2319/5,0)))</f>
        <v/>
      </c>
      <c r="I2319" s="7" t="n"/>
      <c r="J2319" s="7" t="n"/>
      <c r="K2319" s="7" t="n"/>
      <c r="L2319" s="7" t="n"/>
      <c r="M2319" s="7" t="n"/>
      <c r="N2319" s="7" t="n"/>
      <c r="O2319" s="7" t="n"/>
      <c r="P2319" s="8" t="n"/>
    </row>
    <row r="2320">
      <c r="A2320" s="14">
        <f>IF($S$2310="","",INDEX(회차설정!$A$13:$A$27,$S$2310))</f>
        <v/>
      </c>
      <c r="B2320" s="14">
        <f>IF($S$2310="","",INDEX(회차설정!$B$13:$B$27,$S$2310))</f>
        <v/>
      </c>
      <c r="C2320" s="8" t="n"/>
      <c r="D2320" s="14">
        <f>IF($S$2310="","",IF($R$2300="언어와 매체",SUMPRODUCT((자동계산!$A$4:$A$48&gt;=INDEX(회차설정!$C$13:$C$27,$S$2310))*(자동계산!$A$4:$A$48&lt;=INDEX(회차설정!$D$13:$D$27,$S$2310))*자동계산!$E$4:$E$48),SUMPRODUCT((자동계산!$A$4:$A$48&gt;=INDEX(회차설정!$C$13:$C$27,$S$2310))*(자동계산!$A$4:$A$48&lt;=INDEX(회차설정!$D$13:$D$27,$S$2310))*자동계산!$C$4:$C$48)))</f>
        <v/>
      </c>
      <c r="E2320" s="14">
        <f>IF(OR($S$2310="",$R$2299=""),"",SUM(OFFSET(전체채점!$AW$2,$R$2299,INDEX(회차설정!$C$13:$C$27,$S$2310),1,INDEX(회차설정!$D$13:$D$27,$S$2310)-INDEX(회차설정!$C$13:$C$27,$S$2310)+1)))</f>
        <v/>
      </c>
      <c r="F2320" s="46">
        <f>IF(OR($S$2310="",$D2320=0,$D2320="",$E2320=""),"",$E2320/$D2320*100)</f>
        <v/>
      </c>
      <c r="G2320" s="8" t="n"/>
      <c r="H2320" s="47">
        <f>IF($F2320="","",REPT("■",ROUND($F2320/5,0)))</f>
        <v/>
      </c>
      <c r="I2320" s="7" t="n"/>
      <c r="J2320" s="7" t="n"/>
      <c r="K2320" s="7" t="n"/>
      <c r="L2320" s="7" t="n"/>
      <c r="M2320" s="7" t="n"/>
      <c r="N2320" s="7" t="n"/>
      <c r="O2320" s="7" t="n"/>
      <c r="P2320" s="8" t="n"/>
    </row>
    <row r="2321">
      <c r="A2321" s="5">
        <f>IF($R$2299="","","합계")</f>
        <v/>
      </c>
      <c r="B2321" s="7" t="n"/>
      <c r="C2321" s="8" t="n"/>
      <c r="D2321" s="5">
        <f>IF($R$2299="","",SUM(D2309:D2320))</f>
        <v/>
      </c>
      <c r="E2321" s="5">
        <f>IF($R$2299="","",SUM(E2309:E2320))</f>
        <v/>
      </c>
      <c r="F2321" s="48">
        <f>IF(OR($D2321=0,$D2321=""),"",$E2321/$D2321*100)</f>
        <v/>
      </c>
      <c r="G2321" s="8" t="n"/>
      <c r="H2321" s="49">
        <f>IF($F2321="","",REPT("■",ROUND($F2321/5,0)))</f>
        <v/>
      </c>
      <c r="I2321" s="7" t="n"/>
      <c r="J2321" s="7" t="n"/>
      <c r="K2321" s="7" t="n"/>
      <c r="L2321" s="7" t="n"/>
      <c r="M2321" s="7" t="n"/>
      <c r="N2321" s="7" t="n"/>
      <c r="O2321" s="7" t="n"/>
      <c r="P2321" s="8" t="n"/>
    </row>
    <row r="2323">
      <c r="A2323" s="12" t="inlineStr">
        <is>
          <t>4. 문항 채점표</t>
        </is>
      </c>
    </row>
    <row r="2324">
      <c r="A2324" s="50" t="inlineStr">
        <is>
          <t>문항 번호</t>
        </is>
      </c>
      <c r="B2324" s="51" t="n">
        <v>1</v>
      </c>
      <c r="C2324" s="51" t="n">
        <v>2</v>
      </c>
      <c r="D2324" s="51" t="n">
        <v>3</v>
      </c>
      <c r="E2324" s="51" t="n">
        <v>4</v>
      </c>
      <c r="F2324" s="51" t="n">
        <v>5</v>
      </c>
      <c r="G2324" s="51" t="n">
        <v>6</v>
      </c>
      <c r="H2324" s="51" t="n">
        <v>7</v>
      </c>
      <c r="I2324" s="51" t="n">
        <v>8</v>
      </c>
      <c r="J2324" s="51" t="n">
        <v>9</v>
      </c>
      <c r="K2324" s="51" t="n">
        <v>10</v>
      </c>
      <c r="L2324" s="51" t="n">
        <v>11</v>
      </c>
      <c r="M2324" s="51" t="n">
        <v>12</v>
      </c>
      <c r="N2324" s="51" t="n">
        <v>13</v>
      </c>
      <c r="O2324" s="51" t="n">
        <v>14</v>
      </c>
      <c r="P2324" s="51" t="n">
        <v>15</v>
      </c>
    </row>
    <row r="2325">
      <c r="A2325" s="52" t="inlineStr">
        <is>
          <t>정답</t>
        </is>
      </c>
      <c r="B2325" s="33">
        <f>IF($R$2300="","",IF($R$2300="언어와 매체",자동계산!$D$4,자동계산!$B$4))</f>
        <v/>
      </c>
      <c r="C2325" s="33">
        <f>IF($R$2300="","",IF($R$2300="언어와 매체",자동계산!$D$5,자동계산!$B$5))</f>
        <v/>
      </c>
      <c r="D2325" s="33">
        <f>IF($R$2300="","",IF($R$2300="언어와 매체",자동계산!$D$6,자동계산!$B$6))</f>
        <v/>
      </c>
      <c r="E2325" s="33">
        <f>IF($R$2300="","",IF($R$2300="언어와 매체",자동계산!$D$7,자동계산!$B$7))</f>
        <v/>
      </c>
      <c r="F2325" s="33">
        <f>IF($R$2300="","",IF($R$2300="언어와 매체",자동계산!$D$8,자동계산!$B$8))</f>
        <v/>
      </c>
      <c r="G2325" s="33">
        <f>IF($R$2300="","",IF($R$2300="언어와 매체",자동계산!$D$9,자동계산!$B$9))</f>
        <v/>
      </c>
      <c r="H2325" s="33">
        <f>IF($R$2300="","",IF($R$2300="언어와 매체",자동계산!$D$10,자동계산!$B$10))</f>
        <v/>
      </c>
      <c r="I2325" s="33">
        <f>IF($R$2300="","",IF($R$2300="언어와 매체",자동계산!$D$11,자동계산!$B$11))</f>
        <v/>
      </c>
      <c r="J2325" s="33">
        <f>IF($R$2300="","",IF($R$2300="언어와 매체",자동계산!$D$12,자동계산!$B$12))</f>
        <v/>
      </c>
      <c r="K2325" s="33">
        <f>IF($R$2300="","",IF($R$2300="언어와 매체",자동계산!$D$13,자동계산!$B$13))</f>
        <v/>
      </c>
      <c r="L2325" s="33">
        <f>IF($R$2300="","",IF($R$2300="언어와 매체",자동계산!$D$14,자동계산!$B$14))</f>
        <v/>
      </c>
      <c r="M2325" s="33">
        <f>IF($R$2300="","",IF($R$2300="언어와 매체",자동계산!$D$15,자동계산!$B$15))</f>
        <v/>
      </c>
      <c r="N2325" s="33">
        <f>IF($R$2300="","",IF($R$2300="언어와 매체",자동계산!$D$16,자동계산!$B$16))</f>
        <v/>
      </c>
      <c r="O2325" s="33">
        <f>IF($R$2300="","",IF($R$2300="언어와 매체",자동계산!$D$17,자동계산!$B$17))</f>
        <v/>
      </c>
      <c r="P2325" s="33">
        <f>IF($R$2300="","",IF($R$2300="언어와 매체",자동계산!$D$18,자동계산!$B$18))</f>
        <v/>
      </c>
    </row>
    <row r="2326">
      <c r="A2326" s="52" t="inlineStr">
        <is>
          <t>학생답안</t>
        </is>
      </c>
      <c r="B2326" s="33">
        <f>IF($R$2299="","",INDEX(전체채점!E$3:E$62,$R$2299))</f>
        <v/>
      </c>
      <c r="C2326" s="33">
        <f>IF($R$2299="","",INDEX(전체채점!F$3:F$62,$R$2299))</f>
        <v/>
      </c>
      <c r="D2326" s="33">
        <f>IF($R$2299="","",INDEX(전체채점!G$3:G$62,$R$2299))</f>
        <v/>
      </c>
      <c r="E2326" s="33">
        <f>IF($R$2299="","",INDEX(전체채점!H$3:H$62,$R$2299))</f>
        <v/>
      </c>
      <c r="F2326" s="33">
        <f>IF($R$2299="","",INDEX(전체채점!I$3:I$62,$R$2299))</f>
        <v/>
      </c>
      <c r="G2326" s="33">
        <f>IF($R$2299="","",INDEX(전체채점!J$3:J$62,$R$2299))</f>
        <v/>
      </c>
      <c r="H2326" s="33">
        <f>IF($R$2299="","",INDEX(전체채점!K$3:K$62,$R$2299))</f>
        <v/>
      </c>
      <c r="I2326" s="33">
        <f>IF($R$2299="","",INDEX(전체채점!L$3:L$62,$R$2299))</f>
        <v/>
      </c>
      <c r="J2326" s="33">
        <f>IF($R$2299="","",INDEX(전체채점!M$3:M$62,$R$2299))</f>
        <v/>
      </c>
      <c r="K2326" s="33">
        <f>IF($R$2299="","",INDEX(전체채점!N$3:N$62,$R$2299))</f>
        <v/>
      </c>
      <c r="L2326" s="33">
        <f>IF($R$2299="","",INDEX(전체채점!O$3:O$62,$R$2299))</f>
        <v/>
      </c>
      <c r="M2326" s="33">
        <f>IF($R$2299="","",INDEX(전체채점!P$3:P$62,$R$2299))</f>
        <v/>
      </c>
      <c r="N2326" s="33">
        <f>IF($R$2299="","",INDEX(전체채점!Q$3:Q$62,$R$2299))</f>
        <v/>
      </c>
      <c r="O2326" s="33">
        <f>IF($R$2299="","",INDEX(전체채점!R$3:R$62,$R$2299))</f>
        <v/>
      </c>
      <c r="P2326" s="33">
        <f>IF($R$2299="","",INDEX(전체채점!S$3:S$62,$R$2299))</f>
        <v/>
      </c>
    </row>
    <row r="2327">
      <c r="A2327" s="52" t="inlineStr">
        <is>
          <t>정오</t>
        </is>
      </c>
      <c r="B2327" s="33">
        <f>IF($R$2299="","",INDEX(전체채점!AX$3:AX$62,$R$2299))</f>
        <v/>
      </c>
      <c r="C2327" s="33">
        <f>IF($R$2299="","",INDEX(전체채점!AY$3:AY$62,$R$2299))</f>
        <v/>
      </c>
      <c r="D2327" s="33">
        <f>IF($R$2299="","",INDEX(전체채점!AZ$3:AZ$62,$R$2299))</f>
        <v/>
      </c>
      <c r="E2327" s="33">
        <f>IF($R$2299="","",INDEX(전체채점!BA$3:BA$62,$R$2299))</f>
        <v/>
      </c>
      <c r="F2327" s="33">
        <f>IF($R$2299="","",INDEX(전체채점!BB$3:BB$62,$R$2299))</f>
        <v/>
      </c>
      <c r="G2327" s="33">
        <f>IF($R$2299="","",INDEX(전체채점!BC$3:BC$62,$R$2299))</f>
        <v/>
      </c>
      <c r="H2327" s="33">
        <f>IF($R$2299="","",INDEX(전체채점!BD$3:BD$62,$R$2299))</f>
        <v/>
      </c>
      <c r="I2327" s="33">
        <f>IF($R$2299="","",INDEX(전체채점!BE$3:BE$62,$R$2299))</f>
        <v/>
      </c>
      <c r="J2327" s="33">
        <f>IF($R$2299="","",INDEX(전체채점!BF$3:BF$62,$R$2299))</f>
        <v/>
      </c>
      <c r="K2327" s="33">
        <f>IF($R$2299="","",INDEX(전체채점!BG$3:BG$62,$R$2299))</f>
        <v/>
      </c>
      <c r="L2327" s="33">
        <f>IF($R$2299="","",INDEX(전체채점!BH$3:BH$62,$R$2299))</f>
        <v/>
      </c>
      <c r="M2327" s="33">
        <f>IF($R$2299="","",INDEX(전체채점!BI$3:BI$62,$R$2299))</f>
        <v/>
      </c>
      <c r="N2327" s="33">
        <f>IF($R$2299="","",INDEX(전체채점!BJ$3:BJ$62,$R$2299))</f>
        <v/>
      </c>
      <c r="O2327" s="33">
        <f>IF($R$2299="","",INDEX(전체채점!BK$3:BK$62,$R$2299))</f>
        <v/>
      </c>
      <c r="P2327" s="33">
        <f>IF($R$2299="","",INDEX(전체채점!BL$3:BL$62,$R$2299))</f>
        <v/>
      </c>
    </row>
    <row r="2328">
      <c r="A2328" s="50" t="inlineStr">
        <is>
          <t>문항 번호</t>
        </is>
      </c>
      <c r="B2328" s="51" t="n">
        <v>16</v>
      </c>
      <c r="C2328" s="51" t="n">
        <v>17</v>
      </c>
      <c r="D2328" s="51" t="n">
        <v>18</v>
      </c>
      <c r="E2328" s="51" t="n">
        <v>19</v>
      </c>
      <c r="F2328" s="51" t="n">
        <v>20</v>
      </c>
      <c r="G2328" s="51" t="n">
        <v>21</v>
      </c>
      <c r="H2328" s="51" t="n">
        <v>22</v>
      </c>
      <c r="I2328" s="51" t="n">
        <v>23</v>
      </c>
      <c r="J2328" s="51" t="n">
        <v>24</v>
      </c>
      <c r="K2328" s="51" t="n">
        <v>25</v>
      </c>
      <c r="L2328" s="51" t="n">
        <v>26</v>
      </c>
      <c r="M2328" s="51" t="n">
        <v>27</v>
      </c>
      <c r="N2328" s="51" t="n">
        <v>28</v>
      </c>
      <c r="O2328" s="51" t="n">
        <v>29</v>
      </c>
      <c r="P2328" s="51" t="n">
        <v>30</v>
      </c>
    </row>
    <row r="2329">
      <c r="A2329" s="52" t="inlineStr">
        <is>
          <t>정답</t>
        </is>
      </c>
      <c r="B2329" s="33">
        <f>IF($R$2300="","",IF($R$2300="언어와 매체",자동계산!$D$19,자동계산!$B$19))</f>
        <v/>
      </c>
      <c r="C2329" s="33">
        <f>IF($R$2300="","",IF($R$2300="언어와 매체",자동계산!$D$20,자동계산!$B$20))</f>
        <v/>
      </c>
      <c r="D2329" s="33">
        <f>IF($R$2300="","",IF($R$2300="언어와 매체",자동계산!$D$21,자동계산!$B$21))</f>
        <v/>
      </c>
      <c r="E2329" s="33">
        <f>IF($R$2300="","",IF($R$2300="언어와 매체",자동계산!$D$22,자동계산!$B$22))</f>
        <v/>
      </c>
      <c r="F2329" s="33">
        <f>IF($R$2300="","",IF($R$2300="언어와 매체",자동계산!$D$23,자동계산!$B$23))</f>
        <v/>
      </c>
      <c r="G2329" s="33">
        <f>IF($R$2300="","",IF($R$2300="언어와 매체",자동계산!$D$24,자동계산!$B$24))</f>
        <v/>
      </c>
      <c r="H2329" s="33">
        <f>IF($R$2300="","",IF($R$2300="언어와 매체",자동계산!$D$25,자동계산!$B$25))</f>
        <v/>
      </c>
      <c r="I2329" s="33">
        <f>IF($R$2300="","",IF($R$2300="언어와 매체",자동계산!$D$26,자동계산!$B$26))</f>
        <v/>
      </c>
      <c r="J2329" s="33">
        <f>IF($R$2300="","",IF($R$2300="언어와 매체",자동계산!$D$27,자동계산!$B$27))</f>
        <v/>
      </c>
      <c r="K2329" s="33">
        <f>IF($R$2300="","",IF($R$2300="언어와 매체",자동계산!$D$28,자동계산!$B$28))</f>
        <v/>
      </c>
      <c r="L2329" s="33">
        <f>IF($R$2300="","",IF($R$2300="언어와 매체",자동계산!$D$29,자동계산!$B$29))</f>
        <v/>
      </c>
      <c r="M2329" s="33">
        <f>IF($R$2300="","",IF($R$2300="언어와 매체",자동계산!$D$30,자동계산!$B$30))</f>
        <v/>
      </c>
      <c r="N2329" s="33">
        <f>IF($R$2300="","",IF($R$2300="언어와 매체",자동계산!$D$31,자동계산!$B$31))</f>
        <v/>
      </c>
      <c r="O2329" s="33">
        <f>IF($R$2300="","",IF($R$2300="언어와 매체",자동계산!$D$32,자동계산!$B$32))</f>
        <v/>
      </c>
      <c r="P2329" s="33">
        <f>IF($R$2300="","",IF($R$2300="언어와 매체",자동계산!$D$33,자동계산!$B$33))</f>
        <v/>
      </c>
    </row>
    <row r="2330">
      <c r="A2330" s="52" t="inlineStr">
        <is>
          <t>학생답안</t>
        </is>
      </c>
      <c r="B2330" s="33">
        <f>IF($R$2299="","",INDEX(전체채점!T$3:T$62,$R$2299))</f>
        <v/>
      </c>
      <c r="C2330" s="33">
        <f>IF($R$2299="","",INDEX(전체채점!U$3:U$62,$R$2299))</f>
        <v/>
      </c>
      <c r="D2330" s="33">
        <f>IF($R$2299="","",INDEX(전체채점!V$3:V$62,$R$2299))</f>
        <v/>
      </c>
      <c r="E2330" s="33">
        <f>IF($R$2299="","",INDEX(전체채점!W$3:W$62,$R$2299))</f>
        <v/>
      </c>
      <c r="F2330" s="33">
        <f>IF($R$2299="","",INDEX(전체채점!X$3:X$62,$R$2299))</f>
        <v/>
      </c>
      <c r="G2330" s="33">
        <f>IF($R$2299="","",INDEX(전체채점!Y$3:Y$62,$R$2299))</f>
        <v/>
      </c>
      <c r="H2330" s="33">
        <f>IF($R$2299="","",INDEX(전체채점!Z$3:Z$62,$R$2299))</f>
        <v/>
      </c>
      <c r="I2330" s="33">
        <f>IF($R$2299="","",INDEX(전체채점!AA$3:AA$62,$R$2299))</f>
        <v/>
      </c>
      <c r="J2330" s="33">
        <f>IF($R$2299="","",INDEX(전체채점!AB$3:AB$62,$R$2299))</f>
        <v/>
      </c>
      <c r="K2330" s="33">
        <f>IF($R$2299="","",INDEX(전체채점!AC$3:AC$62,$R$2299))</f>
        <v/>
      </c>
      <c r="L2330" s="33">
        <f>IF($R$2299="","",INDEX(전체채점!AD$3:AD$62,$R$2299))</f>
        <v/>
      </c>
      <c r="M2330" s="33">
        <f>IF($R$2299="","",INDEX(전체채점!AE$3:AE$62,$R$2299))</f>
        <v/>
      </c>
      <c r="N2330" s="33">
        <f>IF($R$2299="","",INDEX(전체채점!AF$3:AF$62,$R$2299))</f>
        <v/>
      </c>
      <c r="O2330" s="33">
        <f>IF($R$2299="","",INDEX(전체채점!AG$3:AG$62,$R$2299))</f>
        <v/>
      </c>
      <c r="P2330" s="33">
        <f>IF($R$2299="","",INDEX(전체채점!AH$3:AH$62,$R$2299))</f>
        <v/>
      </c>
    </row>
    <row r="2331">
      <c r="A2331" s="52" t="inlineStr">
        <is>
          <t>정오</t>
        </is>
      </c>
      <c r="B2331" s="33">
        <f>IF($R$2299="","",INDEX(전체채점!BM$3:BM$62,$R$2299))</f>
        <v/>
      </c>
      <c r="C2331" s="33">
        <f>IF($R$2299="","",INDEX(전체채점!BN$3:BN$62,$R$2299))</f>
        <v/>
      </c>
      <c r="D2331" s="33">
        <f>IF($R$2299="","",INDEX(전체채점!BO$3:BO$62,$R$2299))</f>
        <v/>
      </c>
      <c r="E2331" s="33">
        <f>IF($R$2299="","",INDEX(전체채점!BP$3:BP$62,$R$2299))</f>
        <v/>
      </c>
      <c r="F2331" s="33">
        <f>IF($R$2299="","",INDEX(전체채점!BQ$3:BQ$62,$R$2299))</f>
        <v/>
      </c>
      <c r="G2331" s="33">
        <f>IF($R$2299="","",INDEX(전체채점!BR$3:BR$62,$R$2299))</f>
        <v/>
      </c>
      <c r="H2331" s="33">
        <f>IF($R$2299="","",INDEX(전체채점!BS$3:BS$62,$R$2299))</f>
        <v/>
      </c>
      <c r="I2331" s="33">
        <f>IF($R$2299="","",INDEX(전체채점!BT$3:BT$62,$R$2299))</f>
        <v/>
      </c>
      <c r="J2331" s="33">
        <f>IF($R$2299="","",INDEX(전체채점!BU$3:BU$62,$R$2299))</f>
        <v/>
      </c>
      <c r="K2331" s="33">
        <f>IF($R$2299="","",INDEX(전체채점!BV$3:BV$62,$R$2299))</f>
        <v/>
      </c>
      <c r="L2331" s="33">
        <f>IF($R$2299="","",INDEX(전체채점!BW$3:BW$62,$R$2299))</f>
        <v/>
      </c>
      <c r="M2331" s="33">
        <f>IF($R$2299="","",INDEX(전체채점!BX$3:BX$62,$R$2299))</f>
        <v/>
      </c>
      <c r="N2331" s="33">
        <f>IF($R$2299="","",INDEX(전체채점!BY$3:BY$62,$R$2299))</f>
        <v/>
      </c>
      <c r="O2331" s="33">
        <f>IF($R$2299="","",INDEX(전체채점!BZ$3:BZ$62,$R$2299))</f>
        <v/>
      </c>
      <c r="P2331" s="33">
        <f>IF($R$2299="","",INDEX(전체채점!CA$3:CA$62,$R$2299))</f>
        <v/>
      </c>
    </row>
    <row r="2332">
      <c r="A2332" s="50" t="inlineStr">
        <is>
          <t>문항 번호</t>
        </is>
      </c>
      <c r="B2332" s="51" t="n">
        <v>31</v>
      </c>
      <c r="C2332" s="51" t="n">
        <v>32</v>
      </c>
      <c r="D2332" s="51" t="n">
        <v>33</v>
      </c>
      <c r="E2332" s="51" t="n">
        <v>34</v>
      </c>
      <c r="F2332" s="51" t="n">
        <v>35</v>
      </c>
      <c r="G2332" s="51" t="n">
        <v>36</v>
      </c>
      <c r="H2332" s="51" t="n">
        <v>37</v>
      </c>
      <c r="I2332" s="51" t="n">
        <v>38</v>
      </c>
      <c r="J2332" s="51" t="n">
        <v>39</v>
      </c>
      <c r="K2332" s="51" t="n">
        <v>40</v>
      </c>
      <c r="L2332" s="51" t="n">
        <v>41</v>
      </c>
      <c r="M2332" s="51" t="n">
        <v>42</v>
      </c>
      <c r="N2332" s="51" t="n">
        <v>43</v>
      </c>
      <c r="O2332" s="51" t="n">
        <v>44</v>
      </c>
      <c r="P2332" s="51" t="n">
        <v>45</v>
      </c>
    </row>
    <row r="2333">
      <c r="A2333" s="52" t="inlineStr">
        <is>
          <t>정답</t>
        </is>
      </c>
      <c r="B2333" s="33">
        <f>IF($R$2300="","",IF($R$2300="언어와 매체",자동계산!$D$34,자동계산!$B$34))</f>
        <v/>
      </c>
      <c r="C2333" s="33">
        <f>IF($R$2300="","",IF($R$2300="언어와 매체",자동계산!$D$35,자동계산!$B$35))</f>
        <v/>
      </c>
      <c r="D2333" s="33">
        <f>IF($R$2300="","",IF($R$2300="언어와 매체",자동계산!$D$36,자동계산!$B$36))</f>
        <v/>
      </c>
      <c r="E2333" s="33">
        <f>IF($R$2300="","",IF($R$2300="언어와 매체",자동계산!$D$37,자동계산!$B$37))</f>
        <v/>
      </c>
      <c r="F2333" s="33">
        <f>IF($R$2300="","",IF($R$2300="언어와 매체",자동계산!$D$38,자동계산!$B$38))</f>
        <v/>
      </c>
      <c r="G2333" s="33">
        <f>IF($R$2300="","",IF($R$2300="언어와 매체",자동계산!$D$39,자동계산!$B$39))</f>
        <v/>
      </c>
      <c r="H2333" s="33">
        <f>IF($R$2300="","",IF($R$2300="언어와 매체",자동계산!$D$40,자동계산!$B$40))</f>
        <v/>
      </c>
      <c r="I2333" s="33">
        <f>IF($R$2300="","",IF($R$2300="언어와 매체",자동계산!$D$41,자동계산!$B$41))</f>
        <v/>
      </c>
      <c r="J2333" s="33">
        <f>IF($R$2300="","",IF($R$2300="언어와 매체",자동계산!$D$42,자동계산!$B$42))</f>
        <v/>
      </c>
      <c r="K2333" s="33">
        <f>IF($R$2300="","",IF($R$2300="언어와 매체",자동계산!$D$43,자동계산!$B$43))</f>
        <v/>
      </c>
      <c r="L2333" s="33">
        <f>IF($R$2300="","",IF($R$2300="언어와 매체",자동계산!$D$44,자동계산!$B$44))</f>
        <v/>
      </c>
      <c r="M2333" s="33">
        <f>IF($R$2300="","",IF($R$2300="언어와 매체",자동계산!$D$45,자동계산!$B$45))</f>
        <v/>
      </c>
      <c r="N2333" s="33">
        <f>IF($R$2300="","",IF($R$2300="언어와 매체",자동계산!$D$46,자동계산!$B$46))</f>
        <v/>
      </c>
      <c r="O2333" s="33">
        <f>IF($R$2300="","",IF($R$2300="언어와 매체",자동계산!$D$47,자동계산!$B$47))</f>
        <v/>
      </c>
      <c r="P2333" s="33">
        <f>IF($R$2300="","",IF($R$2300="언어와 매체",자동계산!$D$48,자동계산!$B$48))</f>
        <v/>
      </c>
    </row>
    <row r="2334">
      <c r="A2334" s="52" t="inlineStr">
        <is>
          <t>학생답안</t>
        </is>
      </c>
      <c r="B2334" s="33">
        <f>IF($R$2299="","",INDEX(전체채점!AI$3:AI$62,$R$2299))</f>
        <v/>
      </c>
      <c r="C2334" s="33">
        <f>IF($R$2299="","",INDEX(전체채점!AJ$3:AJ$62,$R$2299))</f>
        <v/>
      </c>
      <c r="D2334" s="33">
        <f>IF($R$2299="","",INDEX(전체채점!AK$3:AK$62,$R$2299))</f>
        <v/>
      </c>
      <c r="E2334" s="33">
        <f>IF($R$2299="","",INDEX(전체채점!AL$3:AL$62,$R$2299))</f>
        <v/>
      </c>
      <c r="F2334" s="33">
        <f>IF($R$2299="","",INDEX(전체채점!AM$3:AM$62,$R$2299))</f>
        <v/>
      </c>
      <c r="G2334" s="33">
        <f>IF($R$2299="","",INDEX(전체채점!AN$3:AN$62,$R$2299))</f>
        <v/>
      </c>
      <c r="H2334" s="33">
        <f>IF($R$2299="","",INDEX(전체채점!AO$3:AO$62,$R$2299))</f>
        <v/>
      </c>
      <c r="I2334" s="33">
        <f>IF($R$2299="","",INDEX(전체채점!AP$3:AP$62,$R$2299))</f>
        <v/>
      </c>
      <c r="J2334" s="33">
        <f>IF($R$2299="","",INDEX(전체채점!AQ$3:AQ$62,$R$2299))</f>
        <v/>
      </c>
      <c r="K2334" s="33">
        <f>IF($R$2299="","",INDEX(전체채점!AR$3:AR$62,$R$2299))</f>
        <v/>
      </c>
      <c r="L2334" s="33">
        <f>IF($R$2299="","",INDEX(전체채점!AS$3:AS$62,$R$2299))</f>
        <v/>
      </c>
      <c r="M2334" s="33">
        <f>IF($R$2299="","",INDEX(전체채점!AT$3:AT$62,$R$2299))</f>
        <v/>
      </c>
      <c r="N2334" s="33">
        <f>IF($R$2299="","",INDEX(전체채점!AU$3:AU$62,$R$2299))</f>
        <v/>
      </c>
      <c r="O2334" s="33">
        <f>IF($R$2299="","",INDEX(전체채점!AV$3:AV$62,$R$2299))</f>
        <v/>
      </c>
      <c r="P2334" s="33">
        <f>IF($R$2299="","",INDEX(전체채점!AW$3:AW$62,$R$2299))</f>
        <v/>
      </c>
    </row>
    <row r="2335">
      <c r="A2335" s="52" t="inlineStr">
        <is>
          <t>정오</t>
        </is>
      </c>
      <c r="B2335" s="33">
        <f>IF($R$2299="","",INDEX(전체채점!CB$3:CB$62,$R$2299))</f>
        <v/>
      </c>
      <c r="C2335" s="33">
        <f>IF($R$2299="","",INDEX(전체채점!CC$3:CC$62,$R$2299))</f>
        <v/>
      </c>
      <c r="D2335" s="33">
        <f>IF($R$2299="","",INDEX(전체채점!CD$3:CD$62,$R$2299))</f>
        <v/>
      </c>
      <c r="E2335" s="33">
        <f>IF($R$2299="","",INDEX(전체채점!CE$3:CE$62,$R$2299))</f>
        <v/>
      </c>
      <c r="F2335" s="33">
        <f>IF($R$2299="","",INDEX(전체채점!CF$3:CF$62,$R$2299))</f>
        <v/>
      </c>
      <c r="G2335" s="33">
        <f>IF($R$2299="","",INDEX(전체채점!CG$3:CG$62,$R$2299))</f>
        <v/>
      </c>
      <c r="H2335" s="33">
        <f>IF($R$2299="","",INDEX(전체채점!CH$3:CH$62,$R$2299))</f>
        <v/>
      </c>
      <c r="I2335" s="33">
        <f>IF($R$2299="","",INDEX(전체채점!CI$3:CI$62,$R$2299))</f>
        <v/>
      </c>
      <c r="J2335" s="33">
        <f>IF($R$2299="","",INDEX(전체채점!CJ$3:CJ$62,$R$2299))</f>
        <v/>
      </c>
      <c r="K2335" s="33">
        <f>IF($R$2299="","",INDEX(전체채점!CK$3:CK$62,$R$2299))</f>
        <v/>
      </c>
      <c r="L2335" s="33">
        <f>IF($R$2299="","",INDEX(전체채점!CL$3:CL$62,$R$2299))</f>
        <v/>
      </c>
      <c r="M2335" s="33">
        <f>IF($R$2299="","",INDEX(전체채점!CM$3:CM$62,$R$2299))</f>
        <v/>
      </c>
      <c r="N2335" s="33">
        <f>IF($R$2299="","",INDEX(전체채점!CN$3:CN$62,$R$2299))</f>
        <v/>
      </c>
      <c r="O2335" s="33">
        <f>IF($R$2299="","",INDEX(전체채점!CO$3:CO$62,$R$2299))</f>
        <v/>
      </c>
      <c r="P2335" s="33">
        <f>IF($R$2299="","",INDEX(전체채점!CP$3:CP$62,$R$2299))</f>
        <v/>
      </c>
    </row>
    <row r="2338" ht="34" customHeight="1">
      <c r="A2338" s="36">
        <f>IF($R$2340="","",회차설정!$B$2&amp;" 성적표")</f>
        <v/>
      </c>
    </row>
    <row r="2340">
      <c r="A2340" s="12" t="inlineStr">
        <is>
          <t>1. 학생정보</t>
        </is>
      </c>
      <c r="R2340" s="37">
        <f>IF(답안입력!$A$60="","",58)</f>
        <v/>
      </c>
      <c r="S2340" s="37">
        <f>IF($R$2341="","",IFERROR(IF($R$2341="언어와 매체",MATCH(1,회차설정!$G$13:$G$27,0),MATCH(1,회차설정!$F$13:$F$27,0)),""))</f>
        <v/>
      </c>
    </row>
    <row r="2341">
      <c r="A2341" s="13" t="inlineStr">
        <is>
          <t>성명</t>
        </is>
      </c>
      <c r="B2341" s="7" t="n"/>
      <c r="C2341" s="8" t="n"/>
      <c r="D2341" s="13" t="inlineStr">
        <is>
          <t>선택과목</t>
        </is>
      </c>
      <c r="E2341" s="7" t="n"/>
      <c r="F2341" s="7" t="n"/>
      <c r="G2341" s="8" t="n"/>
      <c r="H2341" s="13" t="inlineStr">
        <is>
          <t>학년</t>
        </is>
      </c>
      <c r="I2341" s="7" t="n"/>
      <c r="J2341" s="7" t="n"/>
      <c r="K2341" s="8" t="n"/>
      <c r="L2341" s="13" t="inlineStr">
        <is>
          <t>시행일</t>
        </is>
      </c>
      <c r="M2341" s="7" t="n"/>
      <c r="N2341" s="7" t="n"/>
      <c r="O2341" s="7" t="n"/>
      <c r="P2341" s="8" t="n"/>
      <c r="R2341" s="37">
        <f>IF($R$2340="","",INDEX(전체채점!$B$3:$B$62,$R$2340))</f>
        <v/>
      </c>
      <c r="S2341" s="37">
        <f>IF($R$2341="","",IFERROR(IF($R$2341="언어와 매체",MATCH(2,회차설정!$G$13:$G$27,0),MATCH(2,회차설정!$F$13:$F$27,0)),""))</f>
        <v/>
      </c>
    </row>
    <row r="2342" ht="26" customHeight="1">
      <c r="A2342" s="39">
        <f>IF($R$2340="","",INDEX(답안입력!$A$3:$A$62,$R$2340))</f>
        <v/>
      </c>
      <c r="B2342" s="7" t="n"/>
      <c r="C2342" s="8" t="n"/>
      <c r="D2342" s="39">
        <f>IF($R$2340="","",INDEX(답안입력!$C$3:$C$62,$R$2340))</f>
        <v/>
      </c>
      <c r="E2342" s="7" t="n"/>
      <c r="F2342" s="7" t="n"/>
      <c r="G2342" s="8" t="n"/>
      <c r="H2342" s="39">
        <f>IF($R$2340="","",INDEX(답안입력!$B$3:$B$62,$R$2340))</f>
        <v/>
      </c>
      <c r="I2342" s="7" t="n"/>
      <c r="J2342" s="7" t="n"/>
      <c r="K2342" s="8" t="n"/>
      <c r="L2342" s="40">
        <f>회차설정!$B$3</f>
        <v/>
      </c>
      <c r="M2342" s="7" t="n"/>
      <c r="N2342" s="7" t="n"/>
      <c r="O2342" s="7" t="n"/>
      <c r="P2342" s="8" t="n"/>
      <c r="R2342" s="37">
        <f>IF($R$2341="언어와 매체",회차설정!$B$9,회차설정!$B$8)</f>
        <v/>
      </c>
      <c r="S2342" s="37">
        <f>IF($R$2341="","",IFERROR(IF($R$2341="언어와 매체",MATCH(3,회차설정!$G$13:$G$27,0),MATCH(3,회차설정!$F$13:$F$27,0)),""))</f>
        <v/>
      </c>
    </row>
    <row r="2343">
      <c r="R2343" s="37">
        <f>IF($R$2341="언어와 매체",회차설정!$C$9,회차설정!$C$8)</f>
        <v/>
      </c>
      <c r="S2343" s="37">
        <f>IF($R$2341="","",IFERROR(IF($R$2341="언어와 매체",MATCH(4,회차설정!$G$13:$G$27,0),MATCH(4,회차설정!$F$13:$F$27,0)),""))</f>
        <v/>
      </c>
    </row>
    <row r="2344">
      <c r="A2344" s="12" t="inlineStr">
        <is>
          <t>2. 성적</t>
        </is>
      </c>
      <c r="R2344" s="37">
        <f>IF($R$2341="언어와 매체",회차설정!$D$9,회차설정!$D$8)</f>
        <v/>
      </c>
      <c r="S2344" s="37">
        <f>IF($R$2341="","",IFERROR(IF($R$2341="언어와 매체",MATCH(5,회차설정!$G$13:$G$27,0),MATCH(5,회차설정!$F$13:$F$27,0)),""))</f>
        <v/>
      </c>
    </row>
    <row r="2345">
      <c r="A2345" s="13" t="inlineStr">
        <is>
          <t>점수 (100점 만점)</t>
        </is>
      </c>
      <c r="B2345" s="7" t="n"/>
      <c r="C2345" s="7" t="n"/>
      <c r="D2345" s="7" t="n"/>
      <c r="E2345" s="8" t="n"/>
      <c r="F2345" s="13" t="inlineStr">
        <is>
          <t>등급</t>
        </is>
      </c>
      <c r="G2345" s="7" t="n"/>
      <c r="H2345" s="8" t="n"/>
      <c r="I2345" s="13" t="inlineStr">
        <is>
          <t>등급컷</t>
        </is>
      </c>
      <c r="J2345" s="7" t="n"/>
      <c r="K2345" s="7" t="n"/>
      <c r="L2345" s="8" t="n"/>
      <c r="M2345" s="13" t="inlineStr">
        <is>
          <t>같은 선택과목 평균</t>
        </is>
      </c>
      <c r="N2345" s="7" t="n"/>
      <c r="O2345" s="7" t="n"/>
      <c r="P2345" s="8" t="n"/>
      <c r="R2345" s="37">
        <f>IF($R$2341="언어와 매체",회차설정!$E$9,회차설정!$E$8)</f>
        <v/>
      </c>
      <c r="S2345" s="37">
        <f>IF($R$2341="","",IFERROR(IF($R$2341="언어와 매체",MATCH(6,회차설정!$G$13:$G$27,0),MATCH(6,회차설정!$F$13:$F$27,0)),""))</f>
        <v/>
      </c>
    </row>
    <row r="2346" ht="34" customHeight="1">
      <c r="A2346" s="41">
        <f>IF($R$2340="","",INDEX(전체채점!$C$3:$C$62,$R$2340))</f>
        <v/>
      </c>
      <c r="B2346" s="7" t="n"/>
      <c r="C2346" s="7" t="n"/>
      <c r="D2346" s="7" t="n"/>
      <c r="E2346" s="8" t="n"/>
      <c r="F2346" s="42">
        <f>IF($R$2340="","",INDEX(전체채점!$D$3:$D$62,$R$2340))</f>
        <v/>
      </c>
      <c r="G2346" s="7" t="n"/>
      <c r="H2346" s="8" t="n"/>
      <c r="I2346" s="43">
        <f>IF($R$2340="","",$R$2342&amp;"-"&amp;$R$2343&amp;"-"&amp;$R$2344&amp;"-"&amp;$R$2345)</f>
        <v/>
      </c>
      <c r="J2346" s="7" t="n"/>
      <c r="K2346" s="7" t="n"/>
      <c r="L2346" s="8" t="n"/>
      <c r="M2346" s="44">
        <f>IFERROR(AVERAGEIF(전체채점!$B$3:$B$62,$R$2341,전체채점!$C$3:$C$62),"")</f>
        <v/>
      </c>
      <c r="N2346" s="7" t="n"/>
      <c r="O2346" s="7" t="n"/>
      <c r="P2346" s="8" t="n"/>
      <c r="S2346" s="37">
        <f>IF($R$2341="","",IFERROR(IF($R$2341="언어와 매체",MATCH(7,회차설정!$G$13:$G$27,0),MATCH(7,회차설정!$F$13:$F$27,0)),""))</f>
        <v/>
      </c>
    </row>
    <row r="2347">
      <c r="S2347" s="37">
        <f>IF($R$2341="","",IFERROR(IF($R$2341="언어와 매체",MATCH(8,회차설정!$G$13:$G$27,0),MATCH(8,회차설정!$F$13:$F$27,0)),""))</f>
        <v/>
      </c>
    </row>
    <row r="2348">
      <c r="A2348" s="12" t="inlineStr">
        <is>
          <t>3. 영역분류별 성취도 분석</t>
        </is>
      </c>
      <c r="F2348" s="45">
        <f>IF(OR($R$2340="",$E2362=""),"",IF($E2362=INDEX(전체채점!$C$3:$C$62,$R$2340),"","※ 회차설정의 영역 표를 확인하세요 — 영역 합계와 점수가 다릅니다"))</f>
        <v/>
      </c>
      <c r="S2348" s="37">
        <f>IF($R$2341="","",IFERROR(IF($R$2341="언어와 매체",MATCH(9,회차설정!$G$13:$G$27,0),MATCH(9,회차설정!$F$13:$F$27,0)),""))</f>
        <v/>
      </c>
    </row>
    <row r="2349">
      <c r="A2349" s="13" t="inlineStr">
        <is>
          <t>분류</t>
        </is>
      </c>
      <c r="B2349" s="13" t="inlineStr">
        <is>
          <t>영역</t>
        </is>
      </c>
      <c r="C2349" s="8" t="n"/>
      <c r="D2349" s="13" t="inlineStr">
        <is>
          <t>배점</t>
        </is>
      </c>
      <c r="E2349" s="13" t="inlineStr">
        <is>
          <t>득점</t>
        </is>
      </c>
      <c r="F2349" s="13" t="inlineStr">
        <is>
          <t>성취도(%)</t>
        </is>
      </c>
      <c r="G2349" s="8" t="n"/>
      <c r="H2349" s="13" t="inlineStr"/>
      <c r="I2349" s="7" t="n"/>
      <c r="J2349" s="7" t="n"/>
      <c r="K2349" s="7" t="n"/>
      <c r="L2349" s="7" t="n"/>
      <c r="M2349" s="7" t="n"/>
      <c r="N2349" s="7" t="n"/>
      <c r="O2349" s="7" t="n"/>
      <c r="P2349" s="8" t="n"/>
      <c r="S2349" s="37">
        <f>IF($R$2341="","",IFERROR(IF($R$2341="언어와 매체",MATCH(10,회차설정!$G$13:$G$27,0),MATCH(10,회차설정!$F$13:$F$27,0)),""))</f>
        <v/>
      </c>
    </row>
    <row r="2350">
      <c r="A2350" s="14">
        <f>IF($S$2340="","",INDEX(회차설정!$A$13:$A$27,$S$2340))</f>
        <v/>
      </c>
      <c r="B2350" s="14">
        <f>IF($S$2340="","",INDEX(회차설정!$B$13:$B$27,$S$2340))</f>
        <v/>
      </c>
      <c r="C2350" s="8" t="n"/>
      <c r="D2350" s="14">
        <f>IF($S$2340="","",IF($R$2341="언어와 매체",SUMPRODUCT((자동계산!$A$4:$A$48&gt;=INDEX(회차설정!$C$13:$C$27,$S$2340))*(자동계산!$A$4:$A$48&lt;=INDEX(회차설정!$D$13:$D$27,$S$2340))*자동계산!$E$4:$E$48),SUMPRODUCT((자동계산!$A$4:$A$48&gt;=INDEX(회차설정!$C$13:$C$27,$S$2340))*(자동계산!$A$4:$A$48&lt;=INDEX(회차설정!$D$13:$D$27,$S$2340))*자동계산!$C$4:$C$48)))</f>
        <v/>
      </c>
      <c r="E2350" s="14">
        <f>IF(OR($S$2340="",$R$2340=""),"",SUM(OFFSET(전체채점!$AW$2,$R$2340,INDEX(회차설정!$C$13:$C$27,$S$2340),1,INDEX(회차설정!$D$13:$D$27,$S$2340)-INDEX(회차설정!$C$13:$C$27,$S$2340)+1)))</f>
        <v/>
      </c>
      <c r="F2350" s="46">
        <f>IF(OR($S$2340="",$D2350=0,$D2350="",$E2350=""),"",$E2350/$D2350*100)</f>
        <v/>
      </c>
      <c r="G2350" s="8" t="n"/>
      <c r="H2350" s="47">
        <f>IF($F2350="","",REPT("■",ROUND($F2350/5,0)))</f>
        <v/>
      </c>
      <c r="I2350" s="7" t="n"/>
      <c r="J2350" s="7" t="n"/>
      <c r="K2350" s="7" t="n"/>
      <c r="L2350" s="7" t="n"/>
      <c r="M2350" s="7" t="n"/>
      <c r="N2350" s="7" t="n"/>
      <c r="O2350" s="7" t="n"/>
      <c r="P2350" s="8" t="n"/>
      <c r="S2350" s="37">
        <f>IF($R$2341="","",IFERROR(IF($R$2341="언어와 매체",MATCH(11,회차설정!$G$13:$G$27,0),MATCH(11,회차설정!$F$13:$F$27,0)),""))</f>
        <v/>
      </c>
    </row>
    <row r="2351">
      <c r="A2351" s="14">
        <f>IF($S$2341="","",INDEX(회차설정!$A$13:$A$27,$S$2341))</f>
        <v/>
      </c>
      <c r="B2351" s="14">
        <f>IF($S$2341="","",INDEX(회차설정!$B$13:$B$27,$S$2341))</f>
        <v/>
      </c>
      <c r="C2351" s="8" t="n"/>
      <c r="D2351" s="14">
        <f>IF($S$2341="","",IF($R$2341="언어와 매체",SUMPRODUCT((자동계산!$A$4:$A$48&gt;=INDEX(회차설정!$C$13:$C$27,$S$2341))*(자동계산!$A$4:$A$48&lt;=INDEX(회차설정!$D$13:$D$27,$S$2341))*자동계산!$E$4:$E$48),SUMPRODUCT((자동계산!$A$4:$A$48&gt;=INDEX(회차설정!$C$13:$C$27,$S$2341))*(자동계산!$A$4:$A$48&lt;=INDEX(회차설정!$D$13:$D$27,$S$2341))*자동계산!$C$4:$C$48)))</f>
        <v/>
      </c>
      <c r="E2351" s="14">
        <f>IF(OR($S$2341="",$R$2340=""),"",SUM(OFFSET(전체채점!$AW$2,$R$2340,INDEX(회차설정!$C$13:$C$27,$S$2341),1,INDEX(회차설정!$D$13:$D$27,$S$2341)-INDEX(회차설정!$C$13:$C$27,$S$2341)+1)))</f>
        <v/>
      </c>
      <c r="F2351" s="46">
        <f>IF(OR($S$2341="",$D2351=0,$D2351="",$E2351=""),"",$E2351/$D2351*100)</f>
        <v/>
      </c>
      <c r="G2351" s="8" t="n"/>
      <c r="H2351" s="47">
        <f>IF($F2351="","",REPT("■",ROUND($F2351/5,0)))</f>
        <v/>
      </c>
      <c r="I2351" s="7" t="n"/>
      <c r="J2351" s="7" t="n"/>
      <c r="K2351" s="7" t="n"/>
      <c r="L2351" s="7" t="n"/>
      <c r="M2351" s="7" t="n"/>
      <c r="N2351" s="7" t="n"/>
      <c r="O2351" s="7" t="n"/>
      <c r="P2351" s="8" t="n"/>
      <c r="S2351" s="37">
        <f>IF($R$2341="","",IFERROR(IF($R$2341="언어와 매체",MATCH(12,회차설정!$G$13:$G$27,0),MATCH(12,회차설정!$F$13:$F$27,0)),""))</f>
        <v/>
      </c>
    </row>
    <row r="2352">
      <c r="A2352" s="14">
        <f>IF($S$2342="","",INDEX(회차설정!$A$13:$A$27,$S$2342))</f>
        <v/>
      </c>
      <c r="B2352" s="14">
        <f>IF($S$2342="","",INDEX(회차설정!$B$13:$B$27,$S$2342))</f>
        <v/>
      </c>
      <c r="C2352" s="8" t="n"/>
      <c r="D2352" s="14">
        <f>IF($S$2342="","",IF($R$2341="언어와 매체",SUMPRODUCT((자동계산!$A$4:$A$48&gt;=INDEX(회차설정!$C$13:$C$27,$S$2342))*(자동계산!$A$4:$A$48&lt;=INDEX(회차설정!$D$13:$D$27,$S$2342))*자동계산!$E$4:$E$48),SUMPRODUCT((자동계산!$A$4:$A$48&gt;=INDEX(회차설정!$C$13:$C$27,$S$2342))*(자동계산!$A$4:$A$48&lt;=INDEX(회차설정!$D$13:$D$27,$S$2342))*자동계산!$C$4:$C$48)))</f>
        <v/>
      </c>
      <c r="E2352" s="14">
        <f>IF(OR($S$2342="",$R$2340=""),"",SUM(OFFSET(전체채점!$AW$2,$R$2340,INDEX(회차설정!$C$13:$C$27,$S$2342),1,INDEX(회차설정!$D$13:$D$27,$S$2342)-INDEX(회차설정!$C$13:$C$27,$S$2342)+1)))</f>
        <v/>
      </c>
      <c r="F2352" s="46">
        <f>IF(OR($S$2342="",$D2352=0,$D2352="",$E2352=""),"",$E2352/$D2352*100)</f>
        <v/>
      </c>
      <c r="G2352" s="8" t="n"/>
      <c r="H2352" s="47">
        <f>IF($F2352="","",REPT("■",ROUND($F2352/5,0)))</f>
        <v/>
      </c>
      <c r="I2352" s="7" t="n"/>
      <c r="J2352" s="7" t="n"/>
      <c r="K2352" s="7" t="n"/>
      <c r="L2352" s="7" t="n"/>
      <c r="M2352" s="7" t="n"/>
      <c r="N2352" s="7" t="n"/>
      <c r="O2352" s="7" t="n"/>
      <c r="P2352" s="8" t="n"/>
    </row>
    <row r="2353">
      <c r="A2353" s="14">
        <f>IF($S$2343="","",INDEX(회차설정!$A$13:$A$27,$S$2343))</f>
        <v/>
      </c>
      <c r="B2353" s="14">
        <f>IF($S$2343="","",INDEX(회차설정!$B$13:$B$27,$S$2343))</f>
        <v/>
      </c>
      <c r="C2353" s="8" t="n"/>
      <c r="D2353" s="14">
        <f>IF($S$2343="","",IF($R$2341="언어와 매체",SUMPRODUCT((자동계산!$A$4:$A$48&gt;=INDEX(회차설정!$C$13:$C$27,$S$2343))*(자동계산!$A$4:$A$48&lt;=INDEX(회차설정!$D$13:$D$27,$S$2343))*자동계산!$E$4:$E$48),SUMPRODUCT((자동계산!$A$4:$A$48&gt;=INDEX(회차설정!$C$13:$C$27,$S$2343))*(자동계산!$A$4:$A$48&lt;=INDEX(회차설정!$D$13:$D$27,$S$2343))*자동계산!$C$4:$C$48)))</f>
        <v/>
      </c>
      <c r="E2353" s="14">
        <f>IF(OR($S$2343="",$R$2340=""),"",SUM(OFFSET(전체채점!$AW$2,$R$2340,INDEX(회차설정!$C$13:$C$27,$S$2343),1,INDEX(회차설정!$D$13:$D$27,$S$2343)-INDEX(회차설정!$C$13:$C$27,$S$2343)+1)))</f>
        <v/>
      </c>
      <c r="F2353" s="46">
        <f>IF(OR($S$2343="",$D2353=0,$D2353="",$E2353=""),"",$E2353/$D2353*100)</f>
        <v/>
      </c>
      <c r="G2353" s="8" t="n"/>
      <c r="H2353" s="47">
        <f>IF($F2353="","",REPT("■",ROUND($F2353/5,0)))</f>
        <v/>
      </c>
      <c r="I2353" s="7" t="n"/>
      <c r="J2353" s="7" t="n"/>
      <c r="K2353" s="7" t="n"/>
      <c r="L2353" s="7" t="n"/>
      <c r="M2353" s="7" t="n"/>
      <c r="N2353" s="7" t="n"/>
      <c r="O2353" s="7" t="n"/>
      <c r="P2353" s="8" t="n"/>
    </row>
    <row r="2354">
      <c r="A2354" s="14">
        <f>IF($S$2344="","",INDEX(회차설정!$A$13:$A$27,$S$2344))</f>
        <v/>
      </c>
      <c r="B2354" s="14">
        <f>IF($S$2344="","",INDEX(회차설정!$B$13:$B$27,$S$2344))</f>
        <v/>
      </c>
      <c r="C2354" s="8" t="n"/>
      <c r="D2354" s="14">
        <f>IF($S$2344="","",IF($R$2341="언어와 매체",SUMPRODUCT((자동계산!$A$4:$A$48&gt;=INDEX(회차설정!$C$13:$C$27,$S$2344))*(자동계산!$A$4:$A$48&lt;=INDEX(회차설정!$D$13:$D$27,$S$2344))*자동계산!$E$4:$E$48),SUMPRODUCT((자동계산!$A$4:$A$48&gt;=INDEX(회차설정!$C$13:$C$27,$S$2344))*(자동계산!$A$4:$A$48&lt;=INDEX(회차설정!$D$13:$D$27,$S$2344))*자동계산!$C$4:$C$48)))</f>
        <v/>
      </c>
      <c r="E2354" s="14">
        <f>IF(OR($S$2344="",$R$2340=""),"",SUM(OFFSET(전체채점!$AW$2,$R$2340,INDEX(회차설정!$C$13:$C$27,$S$2344),1,INDEX(회차설정!$D$13:$D$27,$S$2344)-INDEX(회차설정!$C$13:$C$27,$S$2344)+1)))</f>
        <v/>
      </c>
      <c r="F2354" s="46">
        <f>IF(OR($S$2344="",$D2354=0,$D2354="",$E2354=""),"",$E2354/$D2354*100)</f>
        <v/>
      </c>
      <c r="G2354" s="8" t="n"/>
      <c r="H2354" s="47">
        <f>IF($F2354="","",REPT("■",ROUND($F2354/5,0)))</f>
        <v/>
      </c>
      <c r="I2354" s="7" t="n"/>
      <c r="J2354" s="7" t="n"/>
      <c r="K2354" s="7" t="n"/>
      <c r="L2354" s="7" t="n"/>
      <c r="M2354" s="7" t="n"/>
      <c r="N2354" s="7" t="n"/>
      <c r="O2354" s="7" t="n"/>
      <c r="P2354" s="8" t="n"/>
    </row>
    <row r="2355">
      <c r="A2355" s="14">
        <f>IF($S$2345="","",INDEX(회차설정!$A$13:$A$27,$S$2345))</f>
        <v/>
      </c>
      <c r="B2355" s="14">
        <f>IF($S$2345="","",INDEX(회차설정!$B$13:$B$27,$S$2345))</f>
        <v/>
      </c>
      <c r="C2355" s="8" t="n"/>
      <c r="D2355" s="14">
        <f>IF($S$2345="","",IF($R$2341="언어와 매체",SUMPRODUCT((자동계산!$A$4:$A$48&gt;=INDEX(회차설정!$C$13:$C$27,$S$2345))*(자동계산!$A$4:$A$48&lt;=INDEX(회차설정!$D$13:$D$27,$S$2345))*자동계산!$E$4:$E$48),SUMPRODUCT((자동계산!$A$4:$A$48&gt;=INDEX(회차설정!$C$13:$C$27,$S$2345))*(자동계산!$A$4:$A$48&lt;=INDEX(회차설정!$D$13:$D$27,$S$2345))*자동계산!$C$4:$C$48)))</f>
        <v/>
      </c>
      <c r="E2355" s="14">
        <f>IF(OR($S$2345="",$R$2340=""),"",SUM(OFFSET(전체채점!$AW$2,$R$2340,INDEX(회차설정!$C$13:$C$27,$S$2345),1,INDEX(회차설정!$D$13:$D$27,$S$2345)-INDEX(회차설정!$C$13:$C$27,$S$2345)+1)))</f>
        <v/>
      </c>
      <c r="F2355" s="46">
        <f>IF(OR($S$2345="",$D2355=0,$D2355="",$E2355=""),"",$E2355/$D2355*100)</f>
        <v/>
      </c>
      <c r="G2355" s="8" t="n"/>
      <c r="H2355" s="47">
        <f>IF($F2355="","",REPT("■",ROUND($F2355/5,0)))</f>
        <v/>
      </c>
      <c r="I2355" s="7" t="n"/>
      <c r="J2355" s="7" t="n"/>
      <c r="K2355" s="7" t="n"/>
      <c r="L2355" s="7" t="n"/>
      <c r="M2355" s="7" t="n"/>
      <c r="N2355" s="7" t="n"/>
      <c r="O2355" s="7" t="n"/>
      <c r="P2355" s="8" t="n"/>
    </row>
    <row r="2356">
      <c r="A2356" s="14">
        <f>IF($S$2346="","",INDEX(회차설정!$A$13:$A$27,$S$2346))</f>
        <v/>
      </c>
      <c r="B2356" s="14">
        <f>IF($S$2346="","",INDEX(회차설정!$B$13:$B$27,$S$2346))</f>
        <v/>
      </c>
      <c r="C2356" s="8" t="n"/>
      <c r="D2356" s="14">
        <f>IF($S$2346="","",IF($R$2341="언어와 매체",SUMPRODUCT((자동계산!$A$4:$A$48&gt;=INDEX(회차설정!$C$13:$C$27,$S$2346))*(자동계산!$A$4:$A$48&lt;=INDEX(회차설정!$D$13:$D$27,$S$2346))*자동계산!$E$4:$E$48),SUMPRODUCT((자동계산!$A$4:$A$48&gt;=INDEX(회차설정!$C$13:$C$27,$S$2346))*(자동계산!$A$4:$A$48&lt;=INDEX(회차설정!$D$13:$D$27,$S$2346))*자동계산!$C$4:$C$48)))</f>
        <v/>
      </c>
      <c r="E2356" s="14">
        <f>IF(OR($S$2346="",$R$2340=""),"",SUM(OFFSET(전체채점!$AW$2,$R$2340,INDEX(회차설정!$C$13:$C$27,$S$2346),1,INDEX(회차설정!$D$13:$D$27,$S$2346)-INDEX(회차설정!$C$13:$C$27,$S$2346)+1)))</f>
        <v/>
      </c>
      <c r="F2356" s="46">
        <f>IF(OR($S$2346="",$D2356=0,$D2356="",$E2356=""),"",$E2356/$D2356*100)</f>
        <v/>
      </c>
      <c r="G2356" s="8" t="n"/>
      <c r="H2356" s="47">
        <f>IF($F2356="","",REPT("■",ROUND($F2356/5,0)))</f>
        <v/>
      </c>
      <c r="I2356" s="7" t="n"/>
      <c r="J2356" s="7" t="n"/>
      <c r="K2356" s="7" t="n"/>
      <c r="L2356" s="7" t="n"/>
      <c r="M2356" s="7" t="n"/>
      <c r="N2356" s="7" t="n"/>
      <c r="O2356" s="7" t="n"/>
      <c r="P2356" s="8" t="n"/>
    </row>
    <row r="2357">
      <c r="A2357" s="14">
        <f>IF($S$2347="","",INDEX(회차설정!$A$13:$A$27,$S$2347))</f>
        <v/>
      </c>
      <c r="B2357" s="14">
        <f>IF($S$2347="","",INDEX(회차설정!$B$13:$B$27,$S$2347))</f>
        <v/>
      </c>
      <c r="C2357" s="8" t="n"/>
      <c r="D2357" s="14">
        <f>IF($S$2347="","",IF($R$2341="언어와 매체",SUMPRODUCT((자동계산!$A$4:$A$48&gt;=INDEX(회차설정!$C$13:$C$27,$S$2347))*(자동계산!$A$4:$A$48&lt;=INDEX(회차설정!$D$13:$D$27,$S$2347))*자동계산!$E$4:$E$48),SUMPRODUCT((자동계산!$A$4:$A$48&gt;=INDEX(회차설정!$C$13:$C$27,$S$2347))*(자동계산!$A$4:$A$48&lt;=INDEX(회차설정!$D$13:$D$27,$S$2347))*자동계산!$C$4:$C$48)))</f>
        <v/>
      </c>
      <c r="E2357" s="14">
        <f>IF(OR($S$2347="",$R$2340=""),"",SUM(OFFSET(전체채점!$AW$2,$R$2340,INDEX(회차설정!$C$13:$C$27,$S$2347),1,INDEX(회차설정!$D$13:$D$27,$S$2347)-INDEX(회차설정!$C$13:$C$27,$S$2347)+1)))</f>
        <v/>
      </c>
      <c r="F2357" s="46">
        <f>IF(OR($S$2347="",$D2357=0,$D2357="",$E2357=""),"",$E2357/$D2357*100)</f>
        <v/>
      </c>
      <c r="G2357" s="8" t="n"/>
      <c r="H2357" s="47">
        <f>IF($F2357="","",REPT("■",ROUND($F2357/5,0)))</f>
        <v/>
      </c>
      <c r="I2357" s="7" t="n"/>
      <c r="J2357" s="7" t="n"/>
      <c r="K2357" s="7" t="n"/>
      <c r="L2357" s="7" t="n"/>
      <c r="M2357" s="7" t="n"/>
      <c r="N2357" s="7" t="n"/>
      <c r="O2357" s="7" t="n"/>
      <c r="P2357" s="8" t="n"/>
    </row>
    <row r="2358">
      <c r="A2358" s="14">
        <f>IF($S$2348="","",INDEX(회차설정!$A$13:$A$27,$S$2348))</f>
        <v/>
      </c>
      <c r="B2358" s="14">
        <f>IF($S$2348="","",INDEX(회차설정!$B$13:$B$27,$S$2348))</f>
        <v/>
      </c>
      <c r="C2358" s="8" t="n"/>
      <c r="D2358" s="14">
        <f>IF($S$2348="","",IF($R$2341="언어와 매체",SUMPRODUCT((자동계산!$A$4:$A$48&gt;=INDEX(회차설정!$C$13:$C$27,$S$2348))*(자동계산!$A$4:$A$48&lt;=INDEX(회차설정!$D$13:$D$27,$S$2348))*자동계산!$E$4:$E$48),SUMPRODUCT((자동계산!$A$4:$A$48&gt;=INDEX(회차설정!$C$13:$C$27,$S$2348))*(자동계산!$A$4:$A$48&lt;=INDEX(회차설정!$D$13:$D$27,$S$2348))*자동계산!$C$4:$C$48)))</f>
        <v/>
      </c>
      <c r="E2358" s="14">
        <f>IF(OR($S$2348="",$R$2340=""),"",SUM(OFFSET(전체채점!$AW$2,$R$2340,INDEX(회차설정!$C$13:$C$27,$S$2348),1,INDEX(회차설정!$D$13:$D$27,$S$2348)-INDEX(회차설정!$C$13:$C$27,$S$2348)+1)))</f>
        <v/>
      </c>
      <c r="F2358" s="46">
        <f>IF(OR($S$2348="",$D2358=0,$D2358="",$E2358=""),"",$E2358/$D2358*100)</f>
        <v/>
      </c>
      <c r="G2358" s="8" t="n"/>
      <c r="H2358" s="47">
        <f>IF($F2358="","",REPT("■",ROUND($F2358/5,0)))</f>
        <v/>
      </c>
      <c r="I2358" s="7" t="n"/>
      <c r="J2358" s="7" t="n"/>
      <c r="K2358" s="7" t="n"/>
      <c r="L2358" s="7" t="n"/>
      <c r="M2358" s="7" t="n"/>
      <c r="N2358" s="7" t="n"/>
      <c r="O2358" s="7" t="n"/>
      <c r="P2358" s="8" t="n"/>
    </row>
    <row r="2359">
      <c r="A2359" s="14">
        <f>IF($S$2349="","",INDEX(회차설정!$A$13:$A$27,$S$2349))</f>
        <v/>
      </c>
      <c r="B2359" s="14">
        <f>IF($S$2349="","",INDEX(회차설정!$B$13:$B$27,$S$2349))</f>
        <v/>
      </c>
      <c r="C2359" s="8" t="n"/>
      <c r="D2359" s="14">
        <f>IF($S$2349="","",IF($R$2341="언어와 매체",SUMPRODUCT((자동계산!$A$4:$A$48&gt;=INDEX(회차설정!$C$13:$C$27,$S$2349))*(자동계산!$A$4:$A$48&lt;=INDEX(회차설정!$D$13:$D$27,$S$2349))*자동계산!$E$4:$E$48),SUMPRODUCT((자동계산!$A$4:$A$48&gt;=INDEX(회차설정!$C$13:$C$27,$S$2349))*(자동계산!$A$4:$A$48&lt;=INDEX(회차설정!$D$13:$D$27,$S$2349))*자동계산!$C$4:$C$48)))</f>
        <v/>
      </c>
      <c r="E2359" s="14">
        <f>IF(OR($S$2349="",$R$2340=""),"",SUM(OFFSET(전체채점!$AW$2,$R$2340,INDEX(회차설정!$C$13:$C$27,$S$2349),1,INDEX(회차설정!$D$13:$D$27,$S$2349)-INDEX(회차설정!$C$13:$C$27,$S$2349)+1)))</f>
        <v/>
      </c>
      <c r="F2359" s="46">
        <f>IF(OR($S$2349="",$D2359=0,$D2359="",$E2359=""),"",$E2359/$D2359*100)</f>
        <v/>
      </c>
      <c r="G2359" s="8" t="n"/>
      <c r="H2359" s="47">
        <f>IF($F2359="","",REPT("■",ROUND($F2359/5,0)))</f>
        <v/>
      </c>
      <c r="I2359" s="7" t="n"/>
      <c r="J2359" s="7" t="n"/>
      <c r="K2359" s="7" t="n"/>
      <c r="L2359" s="7" t="n"/>
      <c r="M2359" s="7" t="n"/>
      <c r="N2359" s="7" t="n"/>
      <c r="O2359" s="7" t="n"/>
      <c r="P2359" s="8" t="n"/>
    </row>
    <row r="2360">
      <c r="A2360" s="14">
        <f>IF($S$2350="","",INDEX(회차설정!$A$13:$A$27,$S$2350))</f>
        <v/>
      </c>
      <c r="B2360" s="14">
        <f>IF($S$2350="","",INDEX(회차설정!$B$13:$B$27,$S$2350))</f>
        <v/>
      </c>
      <c r="C2360" s="8" t="n"/>
      <c r="D2360" s="14">
        <f>IF($S$2350="","",IF($R$2341="언어와 매체",SUMPRODUCT((자동계산!$A$4:$A$48&gt;=INDEX(회차설정!$C$13:$C$27,$S$2350))*(자동계산!$A$4:$A$48&lt;=INDEX(회차설정!$D$13:$D$27,$S$2350))*자동계산!$E$4:$E$48),SUMPRODUCT((자동계산!$A$4:$A$48&gt;=INDEX(회차설정!$C$13:$C$27,$S$2350))*(자동계산!$A$4:$A$48&lt;=INDEX(회차설정!$D$13:$D$27,$S$2350))*자동계산!$C$4:$C$48)))</f>
        <v/>
      </c>
      <c r="E2360" s="14">
        <f>IF(OR($S$2350="",$R$2340=""),"",SUM(OFFSET(전체채점!$AW$2,$R$2340,INDEX(회차설정!$C$13:$C$27,$S$2350),1,INDEX(회차설정!$D$13:$D$27,$S$2350)-INDEX(회차설정!$C$13:$C$27,$S$2350)+1)))</f>
        <v/>
      </c>
      <c r="F2360" s="46">
        <f>IF(OR($S$2350="",$D2360=0,$D2360="",$E2360=""),"",$E2360/$D2360*100)</f>
        <v/>
      </c>
      <c r="G2360" s="8" t="n"/>
      <c r="H2360" s="47">
        <f>IF($F2360="","",REPT("■",ROUND($F2360/5,0)))</f>
        <v/>
      </c>
      <c r="I2360" s="7" t="n"/>
      <c r="J2360" s="7" t="n"/>
      <c r="K2360" s="7" t="n"/>
      <c r="L2360" s="7" t="n"/>
      <c r="M2360" s="7" t="n"/>
      <c r="N2360" s="7" t="n"/>
      <c r="O2360" s="7" t="n"/>
      <c r="P2360" s="8" t="n"/>
    </row>
    <row r="2361">
      <c r="A2361" s="14">
        <f>IF($S$2351="","",INDEX(회차설정!$A$13:$A$27,$S$2351))</f>
        <v/>
      </c>
      <c r="B2361" s="14">
        <f>IF($S$2351="","",INDEX(회차설정!$B$13:$B$27,$S$2351))</f>
        <v/>
      </c>
      <c r="C2361" s="8" t="n"/>
      <c r="D2361" s="14">
        <f>IF($S$2351="","",IF($R$2341="언어와 매체",SUMPRODUCT((자동계산!$A$4:$A$48&gt;=INDEX(회차설정!$C$13:$C$27,$S$2351))*(자동계산!$A$4:$A$48&lt;=INDEX(회차설정!$D$13:$D$27,$S$2351))*자동계산!$E$4:$E$48),SUMPRODUCT((자동계산!$A$4:$A$48&gt;=INDEX(회차설정!$C$13:$C$27,$S$2351))*(자동계산!$A$4:$A$48&lt;=INDEX(회차설정!$D$13:$D$27,$S$2351))*자동계산!$C$4:$C$48)))</f>
        <v/>
      </c>
      <c r="E2361" s="14">
        <f>IF(OR($S$2351="",$R$2340=""),"",SUM(OFFSET(전체채점!$AW$2,$R$2340,INDEX(회차설정!$C$13:$C$27,$S$2351),1,INDEX(회차설정!$D$13:$D$27,$S$2351)-INDEX(회차설정!$C$13:$C$27,$S$2351)+1)))</f>
        <v/>
      </c>
      <c r="F2361" s="46">
        <f>IF(OR($S$2351="",$D2361=0,$D2361="",$E2361=""),"",$E2361/$D2361*100)</f>
        <v/>
      </c>
      <c r="G2361" s="8" t="n"/>
      <c r="H2361" s="47">
        <f>IF($F2361="","",REPT("■",ROUND($F2361/5,0)))</f>
        <v/>
      </c>
      <c r="I2361" s="7" t="n"/>
      <c r="J2361" s="7" t="n"/>
      <c r="K2361" s="7" t="n"/>
      <c r="L2361" s="7" t="n"/>
      <c r="M2361" s="7" t="n"/>
      <c r="N2361" s="7" t="n"/>
      <c r="O2361" s="7" t="n"/>
      <c r="P2361" s="8" t="n"/>
    </row>
    <row r="2362">
      <c r="A2362" s="5">
        <f>IF($R$2340="","","합계")</f>
        <v/>
      </c>
      <c r="B2362" s="7" t="n"/>
      <c r="C2362" s="8" t="n"/>
      <c r="D2362" s="5">
        <f>IF($R$2340="","",SUM(D2350:D2361))</f>
        <v/>
      </c>
      <c r="E2362" s="5">
        <f>IF($R$2340="","",SUM(E2350:E2361))</f>
        <v/>
      </c>
      <c r="F2362" s="48">
        <f>IF(OR($D2362=0,$D2362=""),"",$E2362/$D2362*100)</f>
        <v/>
      </c>
      <c r="G2362" s="8" t="n"/>
      <c r="H2362" s="49">
        <f>IF($F2362="","",REPT("■",ROUND($F2362/5,0)))</f>
        <v/>
      </c>
      <c r="I2362" s="7" t="n"/>
      <c r="J2362" s="7" t="n"/>
      <c r="K2362" s="7" t="n"/>
      <c r="L2362" s="7" t="n"/>
      <c r="M2362" s="7" t="n"/>
      <c r="N2362" s="7" t="n"/>
      <c r="O2362" s="7" t="n"/>
      <c r="P2362" s="8" t="n"/>
    </row>
    <row r="2364">
      <c r="A2364" s="12" t="inlineStr">
        <is>
          <t>4. 문항 채점표</t>
        </is>
      </c>
    </row>
    <row r="2365">
      <c r="A2365" s="50" t="inlineStr">
        <is>
          <t>문항 번호</t>
        </is>
      </c>
      <c r="B2365" s="51" t="n">
        <v>1</v>
      </c>
      <c r="C2365" s="51" t="n">
        <v>2</v>
      </c>
      <c r="D2365" s="51" t="n">
        <v>3</v>
      </c>
      <c r="E2365" s="51" t="n">
        <v>4</v>
      </c>
      <c r="F2365" s="51" t="n">
        <v>5</v>
      </c>
      <c r="G2365" s="51" t="n">
        <v>6</v>
      </c>
      <c r="H2365" s="51" t="n">
        <v>7</v>
      </c>
      <c r="I2365" s="51" t="n">
        <v>8</v>
      </c>
      <c r="J2365" s="51" t="n">
        <v>9</v>
      </c>
      <c r="K2365" s="51" t="n">
        <v>10</v>
      </c>
      <c r="L2365" s="51" t="n">
        <v>11</v>
      </c>
      <c r="M2365" s="51" t="n">
        <v>12</v>
      </c>
      <c r="N2365" s="51" t="n">
        <v>13</v>
      </c>
      <c r="O2365" s="51" t="n">
        <v>14</v>
      </c>
      <c r="P2365" s="51" t="n">
        <v>15</v>
      </c>
    </row>
    <row r="2366">
      <c r="A2366" s="52" t="inlineStr">
        <is>
          <t>정답</t>
        </is>
      </c>
      <c r="B2366" s="33">
        <f>IF($R$2341="","",IF($R$2341="언어와 매체",자동계산!$D$4,자동계산!$B$4))</f>
        <v/>
      </c>
      <c r="C2366" s="33">
        <f>IF($R$2341="","",IF($R$2341="언어와 매체",자동계산!$D$5,자동계산!$B$5))</f>
        <v/>
      </c>
      <c r="D2366" s="33">
        <f>IF($R$2341="","",IF($R$2341="언어와 매체",자동계산!$D$6,자동계산!$B$6))</f>
        <v/>
      </c>
      <c r="E2366" s="33">
        <f>IF($R$2341="","",IF($R$2341="언어와 매체",자동계산!$D$7,자동계산!$B$7))</f>
        <v/>
      </c>
      <c r="F2366" s="33">
        <f>IF($R$2341="","",IF($R$2341="언어와 매체",자동계산!$D$8,자동계산!$B$8))</f>
        <v/>
      </c>
      <c r="G2366" s="33">
        <f>IF($R$2341="","",IF($R$2341="언어와 매체",자동계산!$D$9,자동계산!$B$9))</f>
        <v/>
      </c>
      <c r="H2366" s="33">
        <f>IF($R$2341="","",IF($R$2341="언어와 매체",자동계산!$D$10,자동계산!$B$10))</f>
        <v/>
      </c>
      <c r="I2366" s="33">
        <f>IF($R$2341="","",IF($R$2341="언어와 매체",자동계산!$D$11,자동계산!$B$11))</f>
        <v/>
      </c>
      <c r="J2366" s="33">
        <f>IF($R$2341="","",IF($R$2341="언어와 매체",자동계산!$D$12,자동계산!$B$12))</f>
        <v/>
      </c>
      <c r="K2366" s="33">
        <f>IF($R$2341="","",IF($R$2341="언어와 매체",자동계산!$D$13,자동계산!$B$13))</f>
        <v/>
      </c>
      <c r="L2366" s="33">
        <f>IF($R$2341="","",IF($R$2341="언어와 매체",자동계산!$D$14,자동계산!$B$14))</f>
        <v/>
      </c>
      <c r="M2366" s="33">
        <f>IF($R$2341="","",IF($R$2341="언어와 매체",자동계산!$D$15,자동계산!$B$15))</f>
        <v/>
      </c>
      <c r="N2366" s="33">
        <f>IF($R$2341="","",IF($R$2341="언어와 매체",자동계산!$D$16,자동계산!$B$16))</f>
        <v/>
      </c>
      <c r="O2366" s="33">
        <f>IF($R$2341="","",IF($R$2341="언어와 매체",자동계산!$D$17,자동계산!$B$17))</f>
        <v/>
      </c>
      <c r="P2366" s="33">
        <f>IF($R$2341="","",IF($R$2341="언어와 매체",자동계산!$D$18,자동계산!$B$18))</f>
        <v/>
      </c>
    </row>
    <row r="2367">
      <c r="A2367" s="52" t="inlineStr">
        <is>
          <t>학생답안</t>
        </is>
      </c>
      <c r="B2367" s="33">
        <f>IF($R$2340="","",INDEX(전체채점!E$3:E$62,$R$2340))</f>
        <v/>
      </c>
      <c r="C2367" s="33">
        <f>IF($R$2340="","",INDEX(전체채점!F$3:F$62,$R$2340))</f>
        <v/>
      </c>
      <c r="D2367" s="33">
        <f>IF($R$2340="","",INDEX(전체채점!G$3:G$62,$R$2340))</f>
        <v/>
      </c>
      <c r="E2367" s="33">
        <f>IF($R$2340="","",INDEX(전체채점!H$3:H$62,$R$2340))</f>
        <v/>
      </c>
      <c r="F2367" s="33">
        <f>IF($R$2340="","",INDEX(전체채점!I$3:I$62,$R$2340))</f>
        <v/>
      </c>
      <c r="G2367" s="33">
        <f>IF($R$2340="","",INDEX(전체채점!J$3:J$62,$R$2340))</f>
        <v/>
      </c>
      <c r="H2367" s="33">
        <f>IF($R$2340="","",INDEX(전체채점!K$3:K$62,$R$2340))</f>
        <v/>
      </c>
      <c r="I2367" s="33">
        <f>IF($R$2340="","",INDEX(전체채점!L$3:L$62,$R$2340))</f>
        <v/>
      </c>
      <c r="J2367" s="33">
        <f>IF($R$2340="","",INDEX(전체채점!M$3:M$62,$R$2340))</f>
        <v/>
      </c>
      <c r="K2367" s="33">
        <f>IF($R$2340="","",INDEX(전체채점!N$3:N$62,$R$2340))</f>
        <v/>
      </c>
      <c r="L2367" s="33">
        <f>IF($R$2340="","",INDEX(전체채점!O$3:O$62,$R$2340))</f>
        <v/>
      </c>
      <c r="M2367" s="33">
        <f>IF($R$2340="","",INDEX(전체채점!P$3:P$62,$R$2340))</f>
        <v/>
      </c>
      <c r="N2367" s="33">
        <f>IF($R$2340="","",INDEX(전체채점!Q$3:Q$62,$R$2340))</f>
        <v/>
      </c>
      <c r="O2367" s="33">
        <f>IF($R$2340="","",INDEX(전체채점!R$3:R$62,$R$2340))</f>
        <v/>
      </c>
      <c r="P2367" s="33">
        <f>IF($R$2340="","",INDEX(전체채점!S$3:S$62,$R$2340))</f>
        <v/>
      </c>
    </row>
    <row r="2368">
      <c r="A2368" s="52" t="inlineStr">
        <is>
          <t>정오</t>
        </is>
      </c>
      <c r="B2368" s="33">
        <f>IF($R$2340="","",INDEX(전체채점!AX$3:AX$62,$R$2340))</f>
        <v/>
      </c>
      <c r="C2368" s="33">
        <f>IF($R$2340="","",INDEX(전체채점!AY$3:AY$62,$R$2340))</f>
        <v/>
      </c>
      <c r="D2368" s="33">
        <f>IF($R$2340="","",INDEX(전체채점!AZ$3:AZ$62,$R$2340))</f>
        <v/>
      </c>
      <c r="E2368" s="33">
        <f>IF($R$2340="","",INDEX(전체채점!BA$3:BA$62,$R$2340))</f>
        <v/>
      </c>
      <c r="F2368" s="33">
        <f>IF($R$2340="","",INDEX(전체채점!BB$3:BB$62,$R$2340))</f>
        <v/>
      </c>
      <c r="G2368" s="33">
        <f>IF($R$2340="","",INDEX(전체채점!BC$3:BC$62,$R$2340))</f>
        <v/>
      </c>
      <c r="H2368" s="33">
        <f>IF($R$2340="","",INDEX(전체채점!BD$3:BD$62,$R$2340))</f>
        <v/>
      </c>
      <c r="I2368" s="33">
        <f>IF($R$2340="","",INDEX(전체채점!BE$3:BE$62,$R$2340))</f>
        <v/>
      </c>
      <c r="J2368" s="33">
        <f>IF($R$2340="","",INDEX(전체채점!BF$3:BF$62,$R$2340))</f>
        <v/>
      </c>
      <c r="K2368" s="33">
        <f>IF($R$2340="","",INDEX(전체채점!BG$3:BG$62,$R$2340))</f>
        <v/>
      </c>
      <c r="L2368" s="33">
        <f>IF($R$2340="","",INDEX(전체채점!BH$3:BH$62,$R$2340))</f>
        <v/>
      </c>
      <c r="M2368" s="33">
        <f>IF($R$2340="","",INDEX(전체채점!BI$3:BI$62,$R$2340))</f>
        <v/>
      </c>
      <c r="N2368" s="33">
        <f>IF($R$2340="","",INDEX(전체채점!BJ$3:BJ$62,$R$2340))</f>
        <v/>
      </c>
      <c r="O2368" s="33">
        <f>IF($R$2340="","",INDEX(전체채점!BK$3:BK$62,$R$2340))</f>
        <v/>
      </c>
      <c r="P2368" s="33">
        <f>IF($R$2340="","",INDEX(전체채점!BL$3:BL$62,$R$2340))</f>
        <v/>
      </c>
    </row>
    <row r="2369">
      <c r="A2369" s="50" t="inlineStr">
        <is>
          <t>문항 번호</t>
        </is>
      </c>
      <c r="B2369" s="51" t="n">
        <v>16</v>
      </c>
      <c r="C2369" s="51" t="n">
        <v>17</v>
      </c>
      <c r="D2369" s="51" t="n">
        <v>18</v>
      </c>
      <c r="E2369" s="51" t="n">
        <v>19</v>
      </c>
      <c r="F2369" s="51" t="n">
        <v>20</v>
      </c>
      <c r="G2369" s="51" t="n">
        <v>21</v>
      </c>
      <c r="H2369" s="51" t="n">
        <v>22</v>
      </c>
      <c r="I2369" s="51" t="n">
        <v>23</v>
      </c>
      <c r="J2369" s="51" t="n">
        <v>24</v>
      </c>
      <c r="K2369" s="51" t="n">
        <v>25</v>
      </c>
      <c r="L2369" s="51" t="n">
        <v>26</v>
      </c>
      <c r="M2369" s="51" t="n">
        <v>27</v>
      </c>
      <c r="N2369" s="51" t="n">
        <v>28</v>
      </c>
      <c r="O2369" s="51" t="n">
        <v>29</v>
      </c>
      <c r="P2369" s="51" t="n">
        <v>30</v>
      </c>
    </row>
    <row r="2370">
      <c r="A2370" s="52" t="inlineStr">
        <is>
          <t>정답</t>
        </is>
      </c>
      <c r="B2370" s="33">
        <f>IF($R$2341="","",IF($R$2341="언어와 매체",자동계산!$D$19,자동계산!$B$19))</f>
        <v/>
      </c>
      <c r="C2370" s="33">
        <f>IF($R$2341="","",IF($R$2341="언어와 매체",자동계산!$D$20,자동계산!$B$20))</f>
        <v/>
      </c>
      <c r="D2370" s="33">
        <f>IF($R$2341="","",IF($R$2341="언어와 매체",자동계산!$D$21,자동계산!$B$21))</f>
        <v/>
      </c>
      <c r="E2370" s="33">
        <f>IF($R$2341="","",IF($R$2341="언어와 매체",자동계산!$D$22,자동계산!$B$22))</f>
        <v/>
      </c>
      <c r="F2370" s="33">
        <f>IF($R$2341="","",IF($R$2341="언어와 매체",자동계산!$D$23,자동계산!$B$23))</f>
        <v/>
      </c>
      <c r="G2370" s="33">
        <f>IF($R$2341="","",IF($R$2341="언어와 매체",자동계산!$D$24,자동계산!$B$24))</f>
        <v/>
      </c>
      <c r="H2370" s="33">
        <f>IF($R$2341="","",IF($R$2341="언어와 매체",자동계산!$D$25,자동계산!$B$25))</f>
        <v/>
      </c>
      <c r="I2370" s="33">
        <f>IF($R$2341="","",IF($R$2341="언어와 매체",자동계산!$D$26,자동계산!$B$26))</f>
        <v/>
      </c>
      <c r="J2370" s="33">
        <f>IF($R$2341="","",IF($R$2341="언어와 매체",자동계산!$D$27,자동계산!$B$27))</f>
        <v/>
      </c>
      <c r="K2370" s="33">
        <f>IF($R$2341="","",IF($R$2341="언어와 매체",자동계산!$D$28,자동계산!$B$28))</f>
        <v/>
      </c>
      <c r="L2370" s="33">
        <f>IF($R$2341="","",IF($R$2341="언어와 매체",자동계산!$D$29,자동계산!$B$29))</f>
        <v/>
      </c>
      <c r="M2370" s="33">
        <f>IF($R$2341="","",IF($R$2341="언어와 매체",자동계산!$D$30,자동계산!$B$30))</f>
        <v/>
      </c>
      <c r="N2370" s="33">
        <f>IF($R$2341="","",IF($R$2341="언어와 매체",자동계산!$D$31,자동계산!$B$31))</f>
        <v/>
      </c>
      <c r="O2370" s="33">
        <f>IF($R$2341="","",IF($R$2341="언어와 매체",자동계산!$D$32,자동계산!$B$32))</f>
        <v/>
      </c>
      <c r="P2370" s="33">
        <f>IF($R$2341="","",IF($R$2341="언어와 매체",자동계산!$D$33,자동계산!$B$33))</f>
        <v/>
      </c>
    </row>
    <row r="2371">
      <c r="A2371" s="52" t="inlineStr">
        <is>
          <t>학생답안</t>
        </is>
      </c>
      <c r="B2371" s="33">
        <f>IF($R$2340="","",INDEX(전체채점!T$3:T$62,$R$2340))</f>
        <v/>
      </c>
      <c r="C2371" s="33">
        <f>IF($R$2340="","",INDEX(전체채점!U$3:U$62,$R$2340))</f>
        <v/>
      </c>
      <c r="D2371" s="33">
        <f>IF($R$2340="","",INDEX(전체채점!V$3:V$62,$R$2340))</f>
        <v/>
      </c>
      <c r="E2371" s="33">
        <f>IF($R$2340="","",INDEX(전체채점!W$3:W$62,$R$2340))</f>
        <v/>
      </c>
      <c r="F2371" s="33">
        <f>IF($R$2340="","",INDEX(전체채점!X$3:X$62,$R$2340))</f>
        <v/>
      </c>
      <c r="G2371" s="33">
        <f>IF($R$2340="","",INDEX(전체채점!Y$3:Y$62,$R$2340))</f>
        <v/>
      </c>
      <c r="H2371" s="33">
        <f>IF($R$2340="","",INDEX(전체채점!Z$3:Z$62,$R$2340))</f>
        <v/>
      </c>
      <c r="I2371" s="33">
        <f>IF($R$2340="","",INDEX(전체채점!AA$3:AA$62,$R$2340))</f>
        <v/>
      </c>
      <c r="J2371" s="33">
        <f>IF($R$2340="","",INDEX(전체채점!AB$3:AB$62,$R$2340))</f>
        <v/>
      </c>
      <c r="K2371" s="33">
        <f>IF($R$2340="","",INDEX(전체채점!AC$3:AC$62,$R$2340))</f>
        <v/>
      </c>
      <c r="L2371" s="33">
        <f>IF($R$2340="","",INDEX(전체채점!AD$3:AD$62,$R$2340))</f>
        <v/>
      </c>
      <c r="M2371" s="33">
        <f>IF($R$2340="","",INDEX(전체채점!AE$3:AE$62,$R$2340))</f>
        <v/>
      </c>
      <c r="N2371" s="33">
        <f>IF($R$2340="","",INDEX(전체채점!AF$3:AF$62,$R$2340))</f>
        <v/>
      </c>
      <c r="O2371" s="33">
        <f>IF($R$2340="","",INDEX(전체채점!AG$3:AG$62,$R$2340))</f>
        <v/>
      </c>
      <c r="P2371" s="33">
        <f>IF($R$2340="","",INDEX(전체채점!AH$3:AH$62,$R$2340))</f>
        <v/>
      </c>
    </row>
    <row r="2372">
      <c r="A2372" s="52" t="inlineStr">
        <is>
          <t>정오</t>
        </is>
      </c>
      <c r="B2372" s="33">
        <f>IF($R$2340="","",INDEX(전체채점!BM$3:BM$62,$R$2340))</f>
        <v/>
      </c>
      <c r="C2372" s="33">
        <f>IF($R$2340="","",INDEX(전체채점!BN$3:BN$62,$R$2340))</f>
        <v/>
      </c>
      <c r="D2372" s="33">
        <f>IF($R$2340="","",INDEX(전체채점!BO$3:BO$62,$R$2340))</f>
        <v/>
      </c>
      <c r="E2372" s="33">
        <f>IF($R$2340="","",INDEX(전체채점!BP$3:BP$62,$R$2340))</f>
        <v/>
      </c>
      <c r="F2372" s="33">
        <f>IF($R$2340="","",INDEX(전체채점!BQ$3:BQ$62,$R$2340))</f>
        <v/>
      </c>
      <c r="G2372" s="33">
        <f>IF($R$2340="","",INDEX(전체채점!BR$3:BR$62,$R$2340))</f>
        <v/>
      </c>
      <c r="H2372" s="33">
        <f>IF($R$2340="","",INDEX(전체채점!BS$3:BS$62,$R$2340))</f>
        <v/>
      </c>
      <c r="I2372" s="33">
        <f>IF($R$2340="","",INDEX(전체채점!BT$3:BT$62,$R$2340))</f>
        <v/>
      </c>
      <c r="J2372" s="33">
        <f>IF($R$2340="","",INDEX(전체채점!BU$3:BU$62,$R$2340))</f>
        <v/>
      </c>
      <c r="K2372" s="33">
        <f>IF($R$2340="","",INDEX(전체채점!BV$3:BV$62,$R$2340))</f>
        <v/>
      </c>
      <c r="L2372" s="33">
        <f>IF($R$2340="","",INDEX(전체채점!BW$3:BW$62,$R$2340))</f>
        <v/>
      </c>
      <c r="M2372" s="33">
        <f>IF($R$2340="","",INDEX(전체채점!BX$3:BX$62,$R$2340))</f>
        <v/>
      </c>
      <c r="N2372" s="33">
        <f>IF($R$2340="","",INDEX(전체채점!BY$3:BY$62,$R$2340))</f>
        <v/>
      </c>
      <c r="O2372" s="33">
        <f>IF($R$2340="","",INDEX(전체채점!BZ$3:BZ$62,$R$2340))</f>
        <v/>
      </c>
      <c r="P2372" s="33">
        <f>IF($R$2340="","",INDEX(전체채점!CA$3:CA$62,$R$2340))</f>
        <v/>
      </c>
    </row>
    <row r="2373">
      <c r="A2373" s="50" t="inlineStr">
        <is>
          <t>문항 번호</t>
        </is>
      </c>
      <c r="B2373" s="51" t="n">
        <v>31</v>
      </c>
      <c r="C2373" s="51" t="n">
        <v>32</v>
      </c>
      <c r="D2373" s="51" t="n">
        <v>33</v>
      </c>
      <c r="E2373" s="51" t="n">
        <v>34</v>
      </c>
      <c r="F2373" s="51" t="n">
        <v>35</v>
      </c>
      <c r="G2373" s="51" t="n">
        <v>36</v>
      </c>
      <c r="H2373" s="51" t="n">
        <v>37</v>
      </c>
      <c r="I2373" s="51" t="n">
        <v>38</v>
      </c>
      <c r="J2373" s="51" t="n">
        <v>39</v>
      </c>
      <c r="K2373" s="51" t="n">
        <v>40</v>
      </c>
      <c r="L2373" s="51" t="n">
        <v>41</v>
      </c>
      <c r="M2373" s="51" t="n">
        <v>42</v>
      </c>
      <c r="N2373" s="51" t="n">
        <v>43</v>
      </c>
      <c r="O2373" s="51" t="n">
        <v>44</v>
      </c>
      <c r="P2373" s="51" t="n">
        <v>45</v>
      </c>
    </row>
    <row r="2374">
      <c r="A2374" s="52" t="inlineStr">
        <is>
          <t>정답</t>
        </is>
      </c>
      <c r="B2374" s="33">
        <f>IF($R$2341="","",IF($R$2341="언어와 매체",자동계산!$D$34,자동계산!$B$34))</f>
        <v/>
      </c>
      <c r="C2374" s="33">
        <f>IF($R$2341="","",IF($R$2341="언어와 매체",자동계산!$D$35,자동계산!$B$35))</f>
        <v/>
      </c>
      <c r="D2374" s="33">
        <f>IF($R$2341="","",IF($R$2341="언어와 매체",자동계산!$D$36,자동계산!$B$36))</f>
        <v/>
      </c>
      <c r="E2374" s="33">
        <f>IF($R$2341="","",IF($R$2341="언어와 매체",자동계산!$D$37,자동계산!$B$37))</f>
        <v/>
      </c>
      <c r="F2374" s="33">
        <f>IF($R$2341="","",IF($R$2341="언어와 매체",자동계산!$D$38,자동계산!$B$38))</f>
        <v/>
      </c>
      <c r="G2374" s="33">
        <f>IF($R$2341="","",IF($R$2341="언어와 매체",자동계산!$D$39,자동계산!$B$39))</f>
        <v/>
      </c>
      <c r="H2374" s="33">
        <f>IF($R$2341="","",IF($R$2341="언어와 매체",자동계산!$D$40,자동계산!$B$40))</f>
        <v/>
      </c>
      <c r="I2374" s="33">
        <f>IF($R$2341="","",IF($R$2341="언어와 매체",자동계산!$D$41,자동계산!$B$41))</f>
        <v/>
      </c>
      <c r="J2374" s="33">
        <f>IF($R$2341="","",IF($R$2341="언어와 매체",자동계산!$D$42,자동계산!$B$42))</f>
        <v/>
      </c>
      <c r="K2374" s="33">
        <f>IF($R$2341="","",IF($R$2341="언어와 매체",자동계산!$D$43,자동계산!$B$43))</f>
        <v/>
      </c>
      <c r="L2374" s="33">
        <f>IF($R$2341="","",IF($R$2341="언어와 매체",자동계산!$D$44,자동계산!$B$44))</f>
        <v/>
      </c>
      <c r="M2374" s="33">
        <f>IF($R$2341="","",IF($R$2341="언어와 매체",자동계산!$D$45,자동계산!$B$45))</f>
        <v/>
      </c>
      <c r="N2374" s="33">
        <f>IF($R$2341="","",IF($R$2341="언어와 매체",자동계산!$D$46,자동계산!$B$46))</f>
        <v/>
      </c>
      <c r="O2374" s="33">
        <f>IF($R$2341="","",IF($R$2341="언어와 매체",자동계산!$D$47,자동계산!$B$47))</f>
        <v/>
      </c>
      <c r="P2374" s="33">
        <f>IF($R$2341="","",IF($R$2341="언어와 매체",자동계산!$D$48,자동계산!$B$48))</f>
        <v/>
      </c>
    </row>
    <row r="2375">
      <c r="A2375" s="52" t="inlineStr">
        <is>
          <t>학생답안</t>
        </is>
      </c>
      <c r="B2375" s="33">
        <f>IF($R$2340="","",INDEX(전체채점!AI$3:AI$62,$R$2340))</f>
        <v/>
      </c>
      <c r="C2375" s="33">
        <f>IF($R$2340="","",INDEX(전체채점!AJ$3:AJ$62,$R$2340))</f>
        <v/>
      </c>
      <c r="D2375" s="33">
        <f>IF($R$2340="","",INDEX(전체채점!AK$3:AK$62,$R$2340))</f>
        <v/>
      </c>
      <c r="E2375" s="33">
        <f>IF($R$2340="","",INDEX(전체채점!AL$3:AL$62,$R$2340))</f>
        <v/>
      </c>
      <c r="F2375" s="33">
        <f>IF($R$2340="","",INDEX(전체채점!AM$3:AM$62,$R$2340))</f>
        <v/>
      </c>
      <c r="G2375" s="33">
        <f>IF($R$2340="","",INDEX(전체채점!AN$3:AN$62,$R$2340))</f>
        <v/>
      </c>
      <c r="H2375" s="33">
        <f>IF($R$2340="","",INDEX(전체채점!AO$3:AO$62,$R$2340))</f>
        <v/>
      </c>
      <c r="I2375" s="33">
        <f>IF($R$2340="","",INDEX(전체채점!AP$3:AP$62,$R$2340))</f>
        <v/>
      </c>
      <c r="J2375" s="33">
        <f>IF($R$2340="","",INDEX(전체채점!AQ$3:AQ$62,$R$2340))</f>
        <v/>
      </c>
      <c r="K2375" s="33">
        <f>IF($R$2340="","",INDEX(전체채점!AR$3:AR$62,$R$2340))</f>
        <v/>
      </c>
      <c r="L2375" s="33">
        <f>IF($R$2340="","",INDEX(전체채점!AS$3:AS$62,$R$2340))</f>
        <v/>
      </c>
      <c r="M2375" s="33">
        <f>IF($R$2340="","",INDEX(전체채점!AT$3:AT$62,$R$2340))</f>
        <v/>
      </c>
      <c r="N2375" s="33">
        <f>IF($R$2340="","",INDEX(전체채점!AU$3:AU$62,$R$2340))</f>
        <v/>
      </c>
      <c r="O2375" s="33">
        <f>IF($R$2340="","",INDEX(전체채점!AV$3:AV$62,$R$2340))</f>
        <v/>
      </c>
      <c r="P2375" s="33">
        <f>IF($R$2340="","",INDEX(전체채점!AW$3:AW$62,$R$2340))</f>
        <v/>
      </c>
    </row>
    <row r="2376">
      <c r="A2376" s="52" t="inlineStr">
        <is>
          <t>정오</t>
        </is>
      </c>
      <c r="B2376" s="33">
        <f>IF($R$2340="","",INDEX(전체채점!CB$3:CB$62,$R$2340))</f>
        <v/>
      </c>
      <c r="C2376" s="33">
        <f>IF($R$2340="","",INDEX(전체채점!CC$3:CC$62,$R$2340))</f>
        <v/>
      </c>
      <c r="D2376" s="33">
        <f>IF($R$2340="","",INDEX(전체채점!CD$3:CD$62,$R$2340))</f>
        <v/>
      </c>
      <c r="E2376" s="33">
        <f>IF($R$2340="","",INDEX(전체채점!CE$3:CE$62,$R$2340))</f>
        <v/>
      </c>
      <c r="F2376" s="33">
        <f>IF($R$2340="","",INDEX(전체채점!CF$3:CF$62,$R$2340))</f>
        <v/>
      </c>
      <c r="G2376" s="33">
        <f>IF($R$2340="","",INDEX(전체채점!CG$3:CG$62,$R$2340))</f>
        <v/>
      </c>
      <c r="H2376" s="33">
        <f>IF($R$2340="","",INDEX(전체채점!CH$3:CH$62,$R$2340))</f>
        <v/>
      </c>
      <c r="I2376" s="33">
        <f>IF($R$2340="","",INDEX(전체채점!CI$3:CI$62,$R$2340))</f>
        <v/>
      </c>
      <c r="J2376" s="33">
        <f>IF($R$2340="","",INDEX(전체채점!CJ$3:CJ$62,$R$2340))</f>
        <v/>
      </c>
      <c r="K2376" s="33">
        <f>IF($R$2340="","",INDEX(전체채점!CK$3:CK$62,$R$2340))</f>
        <v/>
      </c>
      <c r="L2376" s="33">
        <f>IF($R$2340="","",INDEX(전체채점!CL$3:CL$62,$R$2340))</f>
        <v/>
      </c>
      <c r="M2376" s="33">
        <f>IF($R$2340="","",INDEX(전체채점!CM$3:CM$62,$R$2340))</f>
        <v/>
      </c>
      <c r="N2376" s="33">
        <f>IF($R$2340="","",INDEX(전체채점!CN$3:CN$62,$R$2340))</f>
        <v/>
      </c>
      <c r="O2376" s="33">
        <f>IF($R$2340="","",INDEX(전체채점!CO$3:CO$62,$R$2340))</f>
        <v/>
      </c>
      <c r="P2376" s="33">
        <f>IF($R$2340="","",INDEX(전체채점!CP$3:CP$62,$R$2340))</f>
        <v/>
      </c>
    </row>
    <row r="2379" ht="34" customHeight="1">
      <c r="A2379" s="36">
        <f>IF($R$2381="","",회차설정!$B$2&amp;" 성적표")</f>
        <v/>
      </c>
    </row>
    <row r="2381">
      <c r="A2381" s="12" t="inlineStr">
        <is>
          <t>1. 학생정보</t>
        </is>
      </c>
      <c r="R2381" s="37">
        <f>IF(답안입력!$A$61="","",59)</f>
        <v/>
      </c>
      <c r="S2381" s="37">
        <f>IF($R$2382="","",IFERROR(IF($R$2382="언어와 매체",MATCH(1,회차설정!$G$13:$G$27,0),MATCH(1,회차설정!$F$13:$F$27,0)),""))</f>
        <v/>
      </c>
    </row>
    <row r="2382">
      <c r="A2382" s="13" t="inlineStr">
        <is>
          <t>성명</t>
        </is>
      </c>
      <c r="B2382" s="7" t="n"/>
      <c r="C2382" s="8" t="n"/>
      <c r="D2382" s="13" t="inlineStr">
        <is>
          <t>선택과목</t>
        </is>
      </c>
      <c r="E2382" s="7" t="n"/>
      <c r="F2382" s="7" t="n"/>
      <c r="G2382" s="8" t="n"/>
      <c r="H2382" s="13" t="inlineStr">
        <is>
          <t>학년</t>
        </is>
      </c>
      <c r="I2382" s="7" t="n"/>
      <c r="J2382" s="7" t="n"/>
      <c r="K2382" s="8" t="n"/>
      <c r="L2382" s="13" t="inlineStr">
        <is>
          <t>시행일</t>
        </is>
      </c>
      <c r="M2382" s="7" t="n"/>
      <c r="N2382" s="7" t="n"/>
      <c r="O2382" s="7" t="n"/>
      <c r="P2382" s="8" t="n"/>
      <c r="R2382" s="37">
        <f>IF($R$2381="","",INDEX(전체채점!$B$3:$B$62,$R$2381))</f>
        <v/>
      </c>
      <c r="S2382" s="37">
        <f>IF($R$2382="","",IFERROR(IF($R$2382="언어와 매체",MATCH(2,회차설정!$G$13:$G$27,0),MATCH(2,회차설정!$F$13:$F$27,0)),""))</f>
        <v/>
      </c>
    </row>
    <row r="2383" ht="26" customHeight="1">
      <c r="A2383" s="39">
        <f>IF($R$2381="","",INDEX(답안입력!$A$3:$A$62,$R$2381))</f>
        <v/>
      </c>
      <c r="B2383" s="7" t="n"/>
      <c r="C2383" s="8" t="n"/>
      <c r="D2383" s="39">
        <f>IF($R$2381="","",INDEX(답안입력!$C$3:$C$62,$R$2381))</f>
        <v/>
      </c>
      <c r="E2383" s="7" t="n"/>
      <c r="F2383" s="7" t="n"/>
      <c r="G2383" s="8" t="n"/>
      <c r="H2383" s="39">
        <f>IF($R$2381="","",INDEX(답안입력!$B$3:$B$62,$R$2381))</f>
        <v/>
      </c>
      <c r="I2383" s="7" t="n"/>
      <c r="J2383" s="7" t="n"/>
      <c r="K2383" s="8" t="n"/>
      <c r="L2383" s="40">
        <f>회차설정!$B$3</f>
        <v/>
      </c>
      <c r="M2383" s="7" t="n"/>
      <c r="N2383" s="7" t="n"/>
      <c r="O2383" s="7" t="n"/>
      <c r="P2383" s="8" t="n"/>
      <c r="R2383" s="37">
        <f>IF($R$2382="언어와 매체",회차설정!$B$9,회차설정!$B$8)</f>
        <v/>
      </c>
      <c r="S2383" s="37">
        <f>IF($R$2382="","",IFERROR(IF($R$2382="언어와 매체",MATCH(3,회차설정!$G$13:$G$27,0),MATCH(3,회차설정!$F$13:$F$27,0)),""))</f>
        <v/>
      </c>
    </row>
    <row r="2384">
      <c r="R2384" s="37">
        <f>IF($R$2382="언어와 매체",회차설정!$C$9,회차설정!$C$8)</f>
        <v/>
      </c>
      <c r="S2384" s="37">
        <f>IF($R$2382="","",IFERROR(IF($R$2382="언어와 매체",MATCH(4,회차설정!$G$13:$G$27,0),MATCH(4,회차설정!$F$13:$F$27,0)),""))</f>
        <v/>
      </c>
    </row>
    <row r="2385">
      <c r="A2385" s="12" t="inlineStr">
        <is>
          <t>2. 성적</t>
        </is>
      </c>
      <c r="R2385" s="37">
        <f>IF($R$2382="언어와 매체",회차설정!$D$9,회차설정!$D$8)</f>
        <v/>
      </c>
      <c r="S2385" s="37">
        <f>IF($R$2382="","",IFERROR(IF($R$2382="언어와 매체",MATCH(5,회차설정!$G$13:$G$27,0),MATCH(5,회차설정!$F$13:$F$27,0)),""))</f>
        <v/>
      </c>
    </row>
    <row r="2386">
      <c r="A2386" s="13" t="inlineStr">
        <is>
          <t>점수 (100점 만점)</t>
        </is>
      </c>
      <c r="B2386" s="7" t="n"/>
      <c r="C2386" s="7" t="n"/>
      <c r="D2386" s="7" t="n"/>
      <c r="E2386" s="8" t="n"/>
      <c r="F2386" s="13" t="inlineStr">
        <is>
          <t>등급</t>
        </is>
      </c>
      <c r="G2386" s="7" t="n"/>
      <c r="H2386" s="8" t="n"/>
      <c r="I2386" s="13" t="inlineStr">
        <is>
          <t>등급컷</t>
        </is>
      </c>
      <c r="J2386" s="7" t="n"/>
      <c r="K2386" s="7" t="n"/>
      <c r="L2386" s="8" t="n"/>
      <c r="M2386" s="13" t="inlineStr">
        <is>
          <t>같은 선택과목 평균</t>
        </is>
      </c>
      <c r="N2386" s="7" t="n"/>
      <c r="O2386" s="7" t="n"/>
      <c r="P2386" s="8" t="n"/>
      <c r="R2386" s="37">
        <f>IF($R$2382="언어와 매체",회차설정!$E$9,회차설정!$E$8)</f>
        <v/>
      </c>
      <c r="S2386" s="37">
        <f>IF($R$2382="","",IFERROR(IF($R$2382="언어와 매체",MATCH(6,회차설정!$G$13:$G$27,0),MATCH(6,회차설정!$F$13:$F$27,0)),""))</f>
        <v/>
      </c>
    </row>
    <row r="2387" ht="34" customHeight="1">
      <c r="A2387" s="41">
        <f>IF($R$2381="","",INDEX(전체채점!$C$3:$C$62,$R$2381))</f>
        <v/>
      </c>
      <c r="B2387" s="7" t="n"/>
      <c r="C2387" s="7" t="n"/>
      <c r="D2387" s="7" t="n"/>
      <c r="E2387" s="8" t="n"/>
      <c r="F2387" s="42">
        <f>IF($R$2381="","",INDEX(전체채점!$D$3:$D$62,$R$2381))</f>
        <v/>
      </c>
      <c r="G2387" s="7" t="n"/>
      <c r="H2387" s="8" t="n"/>
      <c r="I2387" s="43">
        <f>IF($R$2381="","",$R$2383&amp;"-"&amp;$R$2384&amp;"-"&amp;$R$2385&amp;"-"&amp;$R$2386)</f>
        <v/>
      </c>
      <c r="J2387" s="7" t="n"/>
      <c r="K2387" s="7" t="n"/>
      <c r="L2387" s="8" t="n"/>
      <c r="M2387" s="44">
        <f>IFERROR(AVERAGEIF(전체채점!$B$3:$B$62,$R$2382,전체채점!$C$3:$C$62),"")</f>
        <v/>
      </c>
      <c r="N2387" s="7" t="n"/>
      <c r="O2387" s="7" t="n"/>
      <c r="P2387" s="8" t="n"/>
      <c r="S2387" s="37">
        <f>IF($R$2382="","",IFERROR(IF($R$2382="언어와 매체",MATCH(7,회차설정!$G$13:$G$27,0),MATCH(7,회차설정!$F$13:$F$27,0)),""))</f>
        <v/>
      </c>
    </row>
    <row r="2388">
      <c r="S2388" s="37">
        <f>IF($R$2382="","",IFERROR(IF($R$2382="언어와 매체",MATCH(8,회차설정!$G$13:$G$27,0),MATCH(8,회차설정!$F$13:$F$27,0)),""))</f>
        <v/>
      </c>
    </row>
    <row r="2389">
      <c r="A2389" s="12" t="inlineStr">
        <is>
          <t>3. 영역분류별 성취도 분석</t>
        </is>
      </c>
      <c r="F2389" s="45">
        <f>IF(OR($R$2381="",$E2403=""),"",IF($E2403=INDEX(전체채점!$C$3:$C$62,$R$2381),"","※ 회차설정의 영역 표를 확인하세요 — 영역 합계와 점수가 다릅니다"))</f>
        <v/>
      </c>
      <c r="S2389" s="37">
        <f>IF($R$2382="","",IFERROR(IF($R$2382="언어와 매체",MATCH(9,회차설정!$G$13:$G$27,0),MATCH(9,회차설정!$F$13:$F$27,0)),""))</f>
        <v/>
      </c>
    </row>
    <row r="2390">
      <c r="A2390" s="13" t="inlineStr">
        <is>
          <t>분류</t>
        </is>
      </c>
      <c r="B2390" s="13" t="inlineStr">
        <is>
          <t>영역</t>
        </is>
      </c>
      <c r="C2390" s="8" t="n"/>
      <c r="D2390" s="13" t="inlineStr">
        <is>
          <t>배점</t>
        </is>
      </c>
      <c r="E2390" s="13" t="inlineStr">
        <is>
          <t>득점</t>
        </is>
      </c>
      <c r="F2390" s="13" t="inlineStr">
        <is>
          <t>성취도(%)</t>
        </is>
      </c>
      <c r="G2390" s="8" t="n"/>
      <c r="H2390" s="13" t="inlineStr"/>
      <c r="I2390" s="7" t="n"/>
      <c r="J2390" s="7" t="n"/>
      <c r="K2390" s="7" t="n"/>
      <c r="L2390" s="7" t="n"/>
      <c r="M2390" s="7" t="n"/>
      <c r="N2390" s="7" t="n"/>
      <c r="O2390" s="7" t="n"/>
      <c r="P2390" s="8" t="n"/>
      <c r="S2390" s="37">
        <f>IF($R$2382="","",IFERROR(IF($R$2382="언어와 매체",MATCH(10,회차설정!$G$13:$G$27,0),MATCH(10,회차설정!$F$13:$F$27,0)),""))</f>
        <v/>
      </c>
    </row>
    <row r="2391">
      <c r="A2391" s="14">
        <f>IF($S$2381="","",INDEX(회차설정!$A$13:$A$27,$S$2381))</f>
        <v/>
      </c>
      <c r="B2391" s="14">
        <f>IF($S$2381="","",INDEX(회차설정!$B$13:$B$27,$S$2381))</f>
        <v/>
      </c>
      <c r="C2391" s="8" t="n"/>
      <c r="D2391" s="14">
        <f>IF($S$2381="","",IF($R$2382="언어와 매체",SUMPRODUCT((자동계산!$A$4:$A$48&gt;=INDEX(회차설정!$C$13:$C$27,$S$2381))*(자동계산!$A$4:$A$48&lt;=INDEX(회차설정!$D$13:$D$27,$S$2381))*자동계산!$E$4:$E$48),SUMPRODUCT((자동계산!$A$4:$A$48&gt;=INDEX(회차설정!$C$13:$C$27,$S$2381))*(자동계산!$A$4:$A$48&lt;=INDEX(회차설정!$D$13:$D$27,$S$2381))*자동계산!$C$4:$C$48)))</f>
        <v/>
      </c>
      <c r="E2391" s="14">
        <f>IF(OR($S$2381="",$R$2381=""),"",SUM(OFFSET(전체채점!$AW$2,$R$2381,INDEX(회차설정!$C$13:$C$27,$S$2381),1,INDEX(회차설정!$D$13:$D$27,$S$2381)-INDEX(회차설정!$C$13:$C$27,$S$2381)+1)))</f>
        <v/>
      </c>
      <c r="F2391" s="46">
        <f>IF(OR($S$2381="",$D2391=0,$D2391="",$E2391=""),"",$E2391/$D2391*100)</f>
        <v/>
      </c>
      <c r="G2391" s="8" t="n"/>
      <c r="H2391" s="47">
        <f>IF($F2391="","",REPT("■",ROUND($F2391/5,0)))</f>
        <v/>
      </c>
      <c r="I2391" s="7" t="n"/>
      <c r="J2391" s="7" t="n"/>
      <c r="K2391" s="7" t="n"/>
      <c r="L2391" s="7" t="n"/>
      <c r="M2391" s="7" t="n"/>
      <c r="N2391" s="7" t="n"/>
      <c r="O2391" s="7" t="n"/>
      <c r="P2391" s="8" t="n"/>
      <c r="S2391" s="37">
        <f>IF($R$2382="","",IFERROR(IF($R$2382="언어와 매체",MATCH(11,회차설정!$G$13:$G$27,0),MATCH(11,회차설정!$F$13:$F$27,0)),""))</f>
        <v/>
      </c>
    </row>
    <row r="2392">
      <c r="A2392" s="14">
        <f>IF($S$2382="","",INDEX(회차설정!$A$13:$A$27,$S$2382))</f>
        <v/>
      </c>
      <c r="B2392" s="14">
        <f>IF($S$2382="","",INDEX(회차설정!$B$13:$B$27,$S$2382))</f>
        <v/>
      </c>
      <c r="C2392" s="8" t="n"/>
      <c r="D2392" s="14">
        <f>IF($S$2382="","",IF($R$2382="언어와 매체",SUMPRODUCT((자동계산!$A$4:$A$48&gt;=INDEX(회차설정!$C$13:$C$27,$S$2382))*(자동계산!$A$4:$A$48&lt;=INDEX(회차설정!$D$13:$D$27,$S$2382))*자동계산!$E$4:$E$48),SUMPRODUCT((자동계산!$A$4:$A$48&gt;=INDEX(회차설정!$C$13:$C$27,$S$2382))*(자동계산!$A$4:$A$48&lt;=INDEX(회차설정!$D$13:$D$27,$S$2382))*자동계산!$C$4:$C$48)))</f>
        <v/>
      </c>
      <c r="E2392" s="14">
        <f>IF(OR($S$2382="",$R$2381=""),"",SUM(OFFSET(전체채점!$AW$2,$R$2381,INDEX(회차설정!$C$13:$C$27,$S$2382),1,INDEX(회차설정!$D$13:$D$27,$S$2382)-INDEX(회차설정!$C$13:$C$27,$S$2382)+1)))</f>
        <v/>
      </c>
      <c r="F2392" s="46">
        <f>IF(OR($S$2382="",$D2392=0,$D2392="",$E2392=""),"",$E2392/$D2392*100)</f>
        <v/>
      </c>
      <c r="G2392" s="8" t="n"/>
      <c r="H2392" s="47">
        <f>IF($F2392="","",REPT("■",ROUND($F2392/5,0)))</f>
        <v/>
      </c>
      <c r="I2392" s="7" t="n"/>
      <c r="J2392" s="7" t="n"/>
      <c r="K2392" s="7" t="n"/>
      <c r="L2392" s="7" t="n"/>
      <c r="M2392" s="7" t="n"/>
      <c r="N2392" s="7" t="n"/>
      <c r="O2392" s="7" t="n"/>
      <c r="P2392" s="8" t="n"/>
      <c r="S2392" s="37">
        <f>IF($R$2382="","",IFERROR(IF($R$2382="언어와 매체",MATCH(12,회차설정!$G$13:$G$27,0),MATCH(12,회차설정!$F$13:$F$27,0)),""))</f>
        <v/>
      </c>
    </row>
    <row r="2393">
      <c r="A2393" s="14">
        <f>IF($S$2383="","",INDEX(회차설정!$A$13:$A$27,$S$2383))</f>
        <v/>
      </c>
      <c r="B2393" s="14">
        <f>IF($S$2383="","",INDEX(회차설정!$B$13:$B$27,$S$2383))</f>
        <v/>
      </c>
      <c r="C2393" s="8" t="n"/>
      <c r="D2393" s="14">
        <f>IF($S$2383="","",IF($R$2382="언어와 매체",SUMPRODUCT((자동계산!$A$4:$A$48&gt;=INDEX(회차설정!$C$13:$C$27,$S$2383))*(자동계산!$A$4:$A$48&lt;=INDEX(회차설정!$D$13:$D$27,$S$2383))*자동계산!$E$4:$E$48),SUMPRODUCT((자동계산!$A$4:$A$48&gt;=INDEX(회차설정!$C$13:$C$27,$S$2383))*(자동계산!$A$4:$A$48&lt;=INDEX(회차설정!$D$13:$D$27,$S$2383))*자동계산!$C$4:$C$48)))</f>
        <v/>
      </c>
      <c r="E2393" s="14">
        <f>IF(OR($S$2383="",$R$2381=""),"",SUM(OFFSET(전체채점!$AW$2,$R$2381,INDEX(회차설정!$C$13:$C$27,$S$2383),1,INDEX(회차설정!$D$13:$D$27,$S$2383)-INDEX(회차설정!$C$13:$C$27,$S$2383)+1)))</f>
        <v/>
      </c>
      <c r="F2393" s="46">
        <f>IF(OR($S$2383="",$D2393=0,$D2393="",$E2393=""),"",$E2393/$D2393*100)</f>
        <v/>
      </c>
      <c r="G2393" s="8" t="n"/>
      <c r="H2393" s="47">
        <f>IF($F2393="","",REPT("■",ROUND($F2393/5,0)))</f>
        <v/>
      </c>
      <c r="I2393" s="7" t="n"/>
      <c r="J2393" s="7" t="n"/>
      <c r="K2393" s="7" t="n"/>
      <c r="L2393" s="7" t="n"/>
      <c r="M2393" s="7" t="n"/>
      <c r="N2393" s="7" t="n"/>
      <c r="O2393" s="7" t="n"/>
      <c r="P2393" s="8" t="n"/>
    </row>
    <row r="2394">
      <c r="A2394" s="14">
        <f>IF($S$2384="","",INDEX(회차설정!$A$13:$A$27,$S$2384))</f>
        <v/>
      </c>
      <c r="B2394" s="14">
        <f>IF($S$2384="","",INDEX(회차설정!$B$13:$B$27,$S$2384))</f>
        <v/>
      </c>
      <c r="C2394" s="8" t="n"/>
      <c r="D2394" s="14">
        <f>IF($S$2384="","",IF($R$2382="언어와 매체",SUMPRODUCT((자동계산!$A$4:$A$48&gt;=INDEX(회차설정!$C$13:$C$27,$S$2384))*(자동계산!$A$4:$A$48&lt;=INDEX(회차설정!$D$13:$D$27,$S$2384))*자동계산!$E$4:$E$48),SUMPRODUCT((자동계산!$A$4:$A$48&gt;=INDEX(회차설정!$C$13:$C$27,$S$2384))*(자동계산!$A$4:$A$48&lt;=INDEX(회차설정!$D$13:$D$27,$S$2384))*자동계산!$C$4:$C$48)))</f>
        <v/>
      </c>
      <c r="E2394" s="14">
        <f>IF(OR($S$2384="",$R$2381=""),"",SUM(OFFSET(전체채점!$AW$2,$R$2381,INDEX(회차설정!$C$13:$C$27,$S$2384),1,INDEX(회차설정!$D$13:$D$27,$S$2384)-INDEX(회차설정!$C$13:$C$27,$S$2384)+1)))</f>
        <v/>
      </c>
      <c r="F2394" s="46">
        <f>IF(OR($S$2384="",$D2394=0,$D2394="",$E2394=""),"",$E2394/$D2394*100)</f>
        <v/>
      </c>
      <c r="G2394" s="8" t="n"/>
      <c r="H2394" s="47">
        <f>IF($F2394="","",REPT("■",ROUND($F2394/5,0)))</f>
        <v/>
      </c>
      <c r="I2394" s="7" t="n"/>
      <c r="J2394" s="7" t="n"/>
      <c r="K2394" s="7" t="n"/>
      <c r="L2394" s="7" t="n"/>
      <c r="M2394" s="7" t="n"/>
      <c r="N2394" s="7" t="n"/>
      <c r="O2394" s="7" t="n"/>
      <c r="P2394" s="8" t="n"/>
    </row>
    <row r="2395">
      <c r="A2395" s="14">
        <f>IF($S$2385="","",INDEX(회차설정!$A$13:$A$27,$S$2385))</f>
        <v/>
      </c>
      <c r="B2395" s="14">
        <f>IF($S$2385="","",INDEX(회차설정!$B$13:$B$27,$S$2385))</f>
        <v/>
      </c>
      <c r="C2395" s="8" t="n"/>
      <c r="D2395" s="14">
        <f>IF($S$2385="","",IF($R$2382="언어와 매체",SUMPRODUCT((자동계산!$A$4:$A$48&gt;=INDEX(회차설정!$C$13:$C$27,$S$2385))*(자동계산!$A$4:$A$48&lt;=INDEX(회차설정!$D$13:$D$27,$S$2385))*자동계산!$E$4:$E$48),SUMPRODUCT((자동계산!$A$4:$A$48&gt;=INDEX(회차설정!$C$13:$C$27,$S$2385))*(자동계산!$A$4:$A$48&lt;=INDEX(회차설정!$D$13:$D$27,$S$2385))*자동계산!$C$4:$C$48)))</f>
        <v/>
      </c>
      <c r="E2395" s="14">
        <f>IF(OR($S$2385="",$R$2381=""),"",SUM(OFFSET(전체채점!$AW$2,$R$2381,INDEX(회차설정!$C$13:$C$27,$S$2385),1,INDEX(회차설정!$D$13:$D$27,$S$2385)-INDEX(회차설정!$C$13:$C$27,$S$2385)+1)))</f>
        <v/>
      </c>
      <c r="F2395" s="46">
        <f>IF(OR($S$2385="",$D2395=0,$D2395="",$E2395=""),"",$E2395/$D2395*100)</f>
        <v/>
      </c>
      <c r="G2395" s="8" t="n"/>
      <c r="H2395" s="47">
        <f>IF($F2395="","",REPT("■",ROUND($F2395/5,0)))</f>
        <v/>
      </c>
      <c r="I2395" s="7" t="n"/>
      <c r="J2395" s="7" t="n"/>
      <c r="K2395" s="7" t="n"/>
      <c r="L2395" s="7" t="n"/>
      <c r="M2395" s="7" t="n"/>
      <c r="N2395" s="7" t="n"/>
      <c r="O2395" s="7" t="n"/>
      <c r="P2395" s="8" t="n"/>
    </row>
    <row r="2396">
      <c r="A2396" s="14">
        <f>IF($S$2386="","",INDEX(회차설정!$A$13:$A$27,$S$2386))</f>
        <v/>
      </c>
      <c r="B2396" s="14">
        <f>IF($S$2386="","",INDEX(회차설정!$B$13:$B$27,$S$2386))</f>
        <v/>
      </c>
      <c r="C2396" s="8" t="n"/>
      <c r="D2396" s="14">
        <f>IF($S$2386="","",IF($R$2382="언어와 매체",SUMPRODUCT((자동계산!$A$4:$A$48&gt;=INDEX(회차설정!$C$13:$C$27,$S$2386))*(자동계산!$A$4:$A$48&lt;=INDEX(회차설정!$D$13:$D$27,$S$2386))*자동계산!$E$4:$E$48),SUMPRODUCT((자동계산!$A$4:$A$48&gt;=INDEX(회차설정!$C$13:$C$27,$S$2386))*(자동계산!$A$4:$A$48&lt;=INDEX(회차설정!$D$13:$D$27,$S$2386))*자동계산!$C$4:$C$48)))</f>
        <v/>
      </c>
      <c r="E2396" s="14">
        <f>IF(OR($S$2386="",$R$2381=""),"",SUM(OFFSET(전체채점!$AW$2,$R$2381,INDEX(회차설정!$C$13:$C$27,$S$2386),1,INDEX(회차설정!$D$13:$D$27,$S$2386)-INDEX(회차설정!$C$13:$C$27,$S$2386)+1)))</f>
        <v/>
      </c>
      <c r="F2396" s="46">
        <f>IF(OR($S$2386="",$D2396=0,$D2396="",$E2396=""),"",$E2396/$D2396*100)</f>
        <v/>
      </c>
      <c r="G2396" s="8" t="n"/>
      <c r="H2396" s="47">
        <f>IF($F2396="","",REPT("■",ROUND($F2396/5,0)))</f>
        <v/>
      </c>
      <c r="I2396" s="7" t="n"/>
      <c r="J2396" s="7" t="n"/>
      <c r="K2396" s="7" t="n"/>
      <c r="L2396" s="7" t="n"/>
      <c r="M2396" s="7" t="n"/>
      <c r="N2396" s="7" t="n"/>
      <c r="O2396" s="7" t="n"/>
      <c r="P2396" s="8" t="n"/>
    </row>
    <row r="2397">
      <c r="A2397" s="14">
        <f>IF($S$2387="","",INDEX(회차설정!$A$13:$A$27,$S$2387))</f>
        <v/>
      </c>
      <c r="B2397" s="14">
        <f>IF($S$2387="","",INDEX(회차설정!$B$13:$B$27,$S$2387))</f>
        <v/>
      </c>
      <c r="C2397" s="8" t="n"/>
      <c r="D2397" s="14">
        <f>IF($S$2387="","",IF($R$2382="언어와 매체",SUMPRODUCT((자동계산!$A$4:$A$48&gt;=INDEX(회차설정!$C$13:$C$27,$S$2387))*(자동계산!$A$4:$A$48&lt;=INDEX(회차설정!$D$13:$D$27,$S$2387))*자동계산!$E$4:$E$48),SUMPRODUCT((자동계산!$A$4:$A$48&gt;=INDEX(회차설정!$C$13:$C$27,$S$2387))*(자동계산!$A$4:$A$48&lt;=INDEX(회차설정!$D$13:$D$27,$S$2387))*자동계산!$C$4:$C$48)))</f>
        <v/>
      </c>
      <c r="E2397" s="14">
        <f>IF(OR($S$2387="",$R$2381=""),"",SUM(OFFSET(전체채점!$AW$2,$R$2381,INDEX(회차설정!$C$13:$C$27,$S$2387),1,INDEX(회차설정!$D$13:$D$27,$S$2387)-INDEX(회차설정!$C$13:$C$27,$S$2387)+1)))</f>
        <v/>
      </c>
      <c r="F2397" s="46">
        <f>IF(OR($S$2387="",$D2397=0,$D2397="",$E2397=""),"",$E2397/$D2397*100)</f>
        <v/>
      </c>
      <c r="G2397" s="8" t="n"/>
      <c r="H2397" s="47">
        <f>IF($F2397="","",REPT("■",ROUND($F2397/5,0)))</f>
        <v/>
      </c>
      <c r="I2397" s="7" t="n"/>
      <c r="J2397" s="7" t="n"/>
      <c r="K2397" s="7" t="n"/>
      <c r="L2397" s="7" t="n"/>
      <c r="M2397" s="7" t="n"/>
      <c r="N2397" s="7" t="n"/>
      <c r="O2397" s="7" t="n"/>
      <c r="P2397" s="8" t="n"/>
    </row>
    <row r="2398">
      <c r="A2398" s="14">
        <f>IF($S$2388="","",INDEX(회차설정!$A$13:$A$27,$S$2388))</f>
        <v/>
      </c>
      <c r="B2398" s="14">
        <f>IF($S$2388="","",INDEX(회차설정!$B$13:$B$27,$S$2388))</f>
        <v/>
      </c>
      <c r="C2398" s="8" t="n"/>
      <c r="D2398" s="14">
        <f>IF($S$2388="","",IF($R$2382="언어와 매체",SUMPRODUCT((자동계산!$A$4:$A$48&gt;=INDEX(회차설정!$C$13:$C$27,$S$2388))*(자동계산!$A$4:$A$48&lt;=INDEX(회차설정!$D$13:$D$27,$S$2388))*자동계산!$E$4:$E$48),SUMPRODUCT((자동계산!$A$4:$A$48&gt;=INDEX(회차설정!$C$13:$C$27,$S$2388))*(자동계산!$A$4:$A$48&lt;=INDEX(회차설정!$D$13:$D$27,$S$2388))*자동계산!$C$4:$C$48)))</f>
        <v/>
      </c>
      <c r="E2398" s="14">
        <f>IF(OR($S$2388="",$R$2381=""),"",SUM(OFFSET(전체채점!$AW$2,$R$2381,INDEX(회차설정!$C$13:$C$27,$S$2388),1,INDEX(회차설정!$D$13:$D$27,$S$2388)-INDEX(회차설정!$C$13:$C$27,$S$2388)+1)))</f>
        <v/>
      </c>
      <c r="F2398" s="46">
        <f>IF(OR($S$2388="",$D2398=0,$D2398="",$E2398=""),"",$E2398/$D2398*100)</f>
        <v/>
      </c>
      <c r="G2398" s="8" t="n"/>
      <c r="H2398" s="47">
        <f>IF($F2398="","",REPT("■",ROUND($F2398/5,0)))</f>
        <v/>
      </c>
      <c r="I2398" s="7" t="n"/>
      <c r="J2398" s="7" t="n"/>
      <c r="K2398" s="7" t="n"/>
      <c r="L2398" s="7" t="n"/>
      <c r="M2398" s="7" t="n"/>
      <c r="N2398" s="7" t="n"/>
      <c r="O2398" s="7" t="n"/>
      <c r="P2398" s="8" t="n"/>
    </row>
    <row r="2399">
      <c r="A2399" s="14">
        <f>IF($S$2389="","",INDEX(회차설정!$A$13:$A$27,$S$2389))</f>
        <v/>
      </c>
      <c r="B2399" s="14">
        <f>IF($S$2389="","",INDEX(회차설정!$B$13:$B$27,$S$2389))</f>
        <v/>
      </c>
      <c r="C2399" s="8" t="n"/>
      <c r="D2399" s="14">
        <f>IF($S$2389="","",IF($R$2382="언어와 매체",SUMPRODUCT((자동계산!$A$4:$A$48&gt;=INDEX(회차설정!$C$13:$C$27,$S$2389))*(자동계산!$A$4:$A$48&lt;=INDEX(회차설정!$D$13:$D$27,$S$2389))*자동계산!$E$4:$E$48),SUMPRODUCT((자동계산!$A$4:$A$48&gt;=INDEX(회차설정!$C$13:$C$27,$S$2389))*(자동계산!$A$4:$A$48&lt;=INDEX(회차설정!$D$13:$D$27,$S$2389))*자동계산!$C$4:$C$48)))</f>
        <v/>
      </c>
      <c r="E2399" s="14">
        <f>IF(OR($S$2389="",$R$2381=""),"",SUM(OFFSET(전체채점!$AW$2,$R$2381,INDEX(회차설정!$C$13:$C$27,$S$2389),1,INDEX(회차설정!$D$13:$D$27,$S$2389)-INDEX(회차설정!$C$13:$C$27,$S$2389)+1)))</f>
        <v/>
      </c>
      <c r="F2399" s="46">
        <f>IF(OR($S$2389="",$D2399=0,$D2399="",$E2399=""),"",$E2399/$D2399*100)</f>
        <v/>
      </c>
      <c r="G2399" s="8" t="n"/>
      <c r="H2399" s="47">
        <f>IF($F2399="","",REPT("■",ROUND($F2399/5,0)))</f>
        <v/>
      </c>
      <c r="I2399" s="7" t="n"/>
      <c r="J2399" s="7" t="n"/>
      <c r="K2399" s="7" t="n"/>
      <c r="L2399" s="7" t="n"/>
      <c r="M2399" s="7" t="n"/>
      <c r="N2399" s="7" t="n"/>
      <c r="O2399" s="7" t="n"/>
      <c r="P2399" s="8" t="n"/>
    </row>
    <row r="2400">
      <c r="A2400" s="14">
        <f>IF($S$2390="","",INDEX(회차설정!$A$13:$A$27,$S$2390))</f>
        <v/>
      </c>
      <c r="B2400" s="14">
        <f>IF($S$2390="","",INDEX(회차설정!$B$13:$B$27,$S$2390))</f>
        <v/>
      </c>
      <c r="C2400" s="8" t="n"/>
      <c r="D2400" s="14">
        <f>IF($S$2390="","",IF($R$2382="언어와 매체",SUMPRODUCT((자동계산!$A$4:$A$48&gt;=INDEX(회차설정!$C$13:$C$27,$S$2390))*(자동계산!$A$4:$A$48&lt;=INDEX(회차설정!$D$13:$D$27,$S$2390))*자동계산!$E$4:$E$48),SUMPRODUCT((자동계산!$A$4:$A$48&gt;=INDEX(회차설정!$C$13:$C$27,$S$2390))*(자동계산!$A$4:$A$48&lt;=INDEX(회차설정!$D$13:$D$27,$S$2390))*자동계산!$C$4:$C$48)))</f>
        <v/>
      </c>
      <c r="E2400" s="14">
        <f>IF(OR($S$2390="",$R$2381=""),"",SUM(OFFSET(전체채점!$AW$2,$R$2381,INDEX(회차설정!$C$13:$C$27,$S$2390),1,INDEX(회차설정!$D$13:$D$27,$S$2390)-INDEX(회차설정!$C$13:$C$27,$S$2390)+1)))</f>
        <v/>
      </c>
      <c r="F2400" s="46">
        <f>IF(OR($S$2390="",$D2400=0,$D2400="",$E2400=""),"",$E2400/$D2400*100)</f>
        <v/>
      </c>
      <c r="G2400" s="8" t="n"/>
      <c r="H2400" s="47">
        <f>IF($F2400="","",REPT("■",ROUND($F2400/5,0)))</f>
        <v/>
      </c>
      <c r="I2400" s="7" t="n"/>
      <c r="J2400" s="7" t="n"/>
      <c r="K2400" s="7" t="n"/>
      <c r="L2400" s="7" t="n"/>
      <c r="M2400" s="7" t="n"/>
      <c r="N2400" s="7" t="n"/>
      <c r="O2400" s="7" t="n"/>
      <c r="P2400" s="8" t="n"/>
    </row>
    <row r="2401">
      <c r="A2401" s="14">
        <f>IF($S$2391="","",INDEX(회차설정!$A$13:$A$27,$S$2391))</f>
        <v/>
      </c>
      <c r="B2401" s="14">
        <f>IF($S$2391="","",INDEX(회차설정!$B$13:$B$27,$S$2391))</f>
        <v/>
      </c>
      <c r="C2401" s="8" t="n"/>
      <c r="D2401" s="14">
        <f>IF($S$2391="","",IF($R$2382="언어와 매체",SUMPRODUCT((자동계산!$A$4:$A$48&gt;=INDEX(회차설정!$C$13:$C$27,$S$2391))*(자동계산!$A$4:$A$48&lt;=INDEX(회차설정!$D$13:$D$27,$S$2391))*자동계산!$E$4:$E$48),SUMPRODUCT((자동계산!$A$4:$A$48&gt;=INDEX(회차설정!$C$13:$C$27,$S$2391))*(자동계산!$A$4:$A$48&lt;=INDEX(회차설정!$D$13:$D$27,$S$2391))*자동계산!$C$4:$C$48)))</f>
        <v/>
      </c>
      <c r="E2401" s="14">
        <f>IF(OR($S$2391="",$R$2381=""),"",SUM(OFFSET(전체채점!$AW$2,$R$2381,INDEX(회차설정!$C$13:$C$27,$S$2391),1,INDEX(회차설정!$D$13:$D$27,$S$2391)-INDEX(회차설정!$C$13:$C$27,$S$2391)+1)))</f>
        <v/>
      </c>
      <c r="F2401" s="46">
        <f>IF(OR($S$2391="",$D2401=0,$D2401="",$E2401=""),"",$E2401/$D2401*100)</f>
        <v/>
      </c>
      <c r="G2401" s="8" t="n"/>
      <c r="H2401" s="47">
        <f>IF($F2401="","",REPT("■",ROUND($F2401/5,0)))</f>
        <v/>
      </c>
      <c r="I2401" s="7" t="n"/>
      <c r="J2401" s="7" t="n"/>
      <c r="K2401" s="7" t="n"/>
      <c r="L2401" s="7" t="n"/>
      <c r="M2401" s="7" t="n"/>
      <c r="N2401" s="7" t="n"/>
      <c r="O2401" s="7" t="n"/>
      <c r="P2401" s="8" t="n"/>
    </row>
    <row r="2402">
      <c r="A2402" s="14">
        <f>IF($S$2392="","",INDEX(회차설정!$A$13:$A$27,$S$2392))</f>
        <v/>
      </c>
      <c r="B2402" s="14">
        <f>IF($S$2392="","",INDEX(회차설정!$B$13:$B$27,$S$2392))</f>
        <v/>
      </c>
      <c r="C2402" s="8" t="n"/>
      <c r="D2402" s="14">
        <f>IF($S$2392="","",IF($R$2382="언어와 매체",SUMPRODUCT((자동계산!$A$4:$A$48&gt;=INDEX(회차설정!$C$13:$C$27,$S$2392))*(자동계산!$A$4:$A$48&lt;=INDEX(회차설정!$D$13:$D$27,$S$2392))*자동계산!$E$4:$E$48),SUMPRODUCT((자동계산!$A$4:$A$48&gt;=INDEX(회차설정!$C$13:$C$27,$S$2392))*(자동계산!$A$4:$A$48&lt;=INDEX(회차설정!$D$13:$D$27,$S$2392))*자동계산!$C$4:$C$48)))</f>
        <v/>
      </c>
      <c r="E2402" s="14">
        <f>IF(OR($S$2392="",$R$2381=""),"",SUM(OFFSET(전체채점!$AW$2,$R$2381,INDEX(회차설정!$C$13:$C$27,$S$2392),1,INDEX(회차설정!$D$13:$D$27,$S$2392)-INDEX(회차설정!$C$13:$C$27,$S$2392)+1)))</f>
        <v/>
      </c>
      <c r="F2402" s="46">
        <f>IF(OR($S$2392="",$D2402=0,$D2402="",$E2402=""),"",$E2402/$D2402*100)</f>
        <v/>
      </c>
      <c r="G2402" s="8" t="n"/>
      <c r="H2402" s="47">
        <f>IF($F2402="","",REPT("■",ROUND($F2402/5,0)))</f>
        <v/>
      </c>
      <c r="I2402" s="7" t="n"/>
      <c r="J2402" s="7" t="n"/>
      <c r="K2402" s="7" t="n"/>
      <c r="L2402" s="7" t="n"/>
      <c r="M2402" s="7" t="n"/>
      <c r="N2402" s="7" t="n"/>
      <c r="O2402" s="7" t="n"/>
      <c r="P2402" s="8" t="n"/>
    </row>
    <row r="2403">
      <c r="A2403" s="5">
        <f>IF($R$2381="","","합계")</f>
        <v/>
      </c>
      <c r="B2403" s="7" t="n"/>
      <c r="C2403" s="8" t="n"/>
      <c r="D2403" s="5">
        <f>IF($R$2381="","",SUM(D2391:D2402))</f>
        <v/>
      </c>
      <c r="E2403" s="5">
        <f>IF($R$2381="","",SUM(E2391:E2402))</f>
        <v/>
      </c>
      <c r="F2403" s="48">
        <f>IF(OR($D2403=0,$D2403=""),"",$E2403/$D2403*100)</f>
        <v/>
      </c>
      <c r="G2403" s="8" t="n"/>
      <c r="H2403" s="49">
        <f>IF($F2403="","",REPT("■",ROUND($F2403/5,0)))</f>
        <v/>
      </c>
      <c r="I2403" s="7" t="n"/>
      <c r="J2403" s="7" t="n"/>
      <c r="K2403" s="7" t="n"/>
      <c r="L2403" s="7" t="n"/>
      <c r="M2403" s="7" t="n"/>
      <c r="N2403" s="7" t="n"/>
      <c r="O2403" s="7" t="n"/>
      <c r="P2403" s="8" t="n"/>
    </row>
    <row r="2405">
      <c r="A2405" s="12" t="inlineStr">
        <is>
          <t>4. 문항 채점표</t>
        </is>
      </c>
    </row>
    <row r="2406">
      <c r="A2406" s="50" t="inlineStr">
        <is>
          <t>문항 번호</t>
        </is>
      </c>
      <c r="B2406" s="51" t="n">
        <v>1</v>
      </c>
      <c r="C2406" s="51" t="n">
        <v>2</v>
      </c>
      <c r="D2406" s="51" t="n">
        <v>3</v>
      </c>
      <c r="E2406" s="51" t="n">
        <v>4</v>
      </c>
      <c r="F2406" s="51" t="n">
        <v>5</v>
      </c>
      <c r="G2406" s="51" t="n">
        <v>6</v>
      </c>
      <c r="H2406" s="51" t="n">
        <v>7</v>
      </c>
      <c r="I2406" s="51" t="n">
        <v>8</v>
      </c>
      <c r="J2406" s="51" t="n">
        <v>9</v>
      </c>
      <c r="K2406" s="51" t="n">
        <v>10</v>
      </c>
      <c r="L2406" s="51" t="n">
        <v>11</v>
      </c>
      <c r="M2406" s="51" t="n">
        <v>12</v>
      </c>
      <c r="N2406" s="51" t="n">
        <v>13</v>
      </c>
      <c r="O2406" s="51" t="n">
        <v>14</v>
      </c>
      <c r="P2406" s="51" t="n">
        <v>15</v>
      </c>
    </row>
    <row r="2407">
      <c r="A2407" s="52" t="inlineStr">
        <is>
          <t>정답</t>
        </is>
      </c>
      <c r="B2407" s="33">
        <f>IF($R$2382="","",IF($R$2382="언어와 매체",자동계산!$D$4,자동계산!$B$4))</f>
        <v/>
      </c>
      <c r="C2407" s="33">
        <f>IF($R$2382="","",IF($R$2382="언어와 매체",자동계산!$D$5,자동계산!$B$5))</f>
        <v/>
      </c>
      <c r="D2407" s="33">
        <f>IF($R$2382="","",IF($R$2382="언어와 매체",자동계산!$D$6,자동계산!$B$6))</f>
        <v/>
      </c>
      <c r="E2407" s="33">
        <f>IF($R$2382="","",IF($R$2382="언어와 매체",자동계산!$D$7,자동계산!$B$7))</f>
        <v/>
      </c>
      <c r="F2407" s="33">
        <f>IF($R$2382="","",IF($R$2382="언어와 매체",자동계산!$D$8,자동계산!$B$8))</f>
        <v/>
      </c>
      <c r="G2407" s="33">
        <f>IF($R$2382="","",IF($R$2382="언어와 매체",자동계산!$D$9,자동계산!$B$9))</f>
        <v/>
      </c>
      <c r="H2407" s="33">
        <f>IF($R$2382="","",IF($R$2382="언어와 매체",자동계산!$D$10,자동계산!$B$10))</f>
        <v/>
      </c>
      <c r="I2407" s="33">
        <f>IF($R$2382="","",IF($R$2382="언어와 매체",자동계산!$D$11,자동계산!$B$11))</f>
        <v/>
      </c>
      <c r="J2407" s="33">
        <f>IF($R$2382="","",IF($R$2382="언어와 매체",자동계산!$D$12,자동계산!$B$12))</f>
        <v/>
      </c>
      <c r="K2407" s="33">
        <f>IF($R$2382="","",IF($R$2382="언어와 매체",자동계산!$D$13,자동계산!$B$13))</f>
        <v/>
      </c>
      <c r="L2407" s="33">
        <f>IF($R$2382="","",IF($R$2382="언어와 매체",자동계산!$D$14,자동계산!$B$14))</f>
        <v/>
      </c>
      <c r="M2407" s="33">
        <f>IF($R$2382="","",IF($R$2382="언어와 매체",자동계산!$D$15,자동계산!$B$15))</f>
        <v/>
      </c>
      <c r="N2407" s="33">
        <f>IF($R$2382="","",IF($R$2382="언어와 매체",자동계산!$D$16,자동계산!$B$16))</f>
        <v/>
      </c>
      <c r="O2407" s="33">
        <f>IF($R$2382="","",IF($R$2382="언어와 매체",자동계산!$D$17,자동계산!$B$17))</f>
        <v/>
      </c>
      <c r="P2407" s="33">
        <f>IF($R$2382="","",IF($R$2382="언어와 매체",자동계산!$D$18,자동계산!$B$18))</f>
        <v/>
      </c>
    </row>
    <row r="2408">
      <c r="A2408" s="52" t="inlineStr">
        <is>
          <t>학생답안</t>
        </is>
      </c>
      <c r="B2408" s="33">
        <f>IF($R$2381="","",INDEX(전체채점!E$3:E$62,$R$2381))</f>
        <v/>
      </c>
      <c r="C2408" s="33">
        <f>IF($R$2381="","",INDEX(전체채점!F$3:F$62,$R$2381))</f>
        <v/>
      </c>
      <c r="D2408" s="33">
        <f>IF($R$2381="","",INDEX(전체채점!G$3:G$62,$R$2381))</f>
        <v/>
      </c>
      <c r="E2408" s="33">
        <f>IF($R$2381="","",INDEX(전체채점!H$3:H$62,$R$2381))</f>
        <v/>
      </c>
      <c r="F2408" s="33">
        <f>IF($R$2381="","",INDEX(전체채점!I$3:I$62,$R$2381))</f>
        <v/>
      </c>
      <c r="G2408" s="33">
        <f>IF($R$2381="","",INDEX(전체채점!J$3:J$62,$R$2381))</f>
        <v/>
      </c>
      <c r="H2408" s="33">
        <f>IF($R$2381="","",INDEX(전체채점!K$3:K$62,$R$2381))</f>
        <v/>
      </c>
      <c r="I2408" s="33">
        <f>IF($R$2381="","",INDEX(전체채점!L$3:L$62,$R$2381))</f>
        <v/>
      </c>
      <c r="J2408" s="33">
        <f>IF($R$2381="","",INDEX(전체채점!M$3:M$62,$R$2381))</f>
        <v/>
      </c>
      <c r="K2408" s="33">
        <f>IF($R$2381="","",INDEX(전체채점!N$3:N$62,$R$2381))</f>
        <v/>
      </c>
      <c r="L2408" s="33">
        <f>IF($R$2381="","",INDEX(전체채점!O$3:O$62,$R$2381))</f>
        <v/>
      </c>
      <c r="M2408" s="33">
        <f>IF($R$2381="","",INDEX(전체채점!P$3:P$62,$R$2381))</f>
        <v/>
      </c>
      <c r="N2408" s="33">
        <f>IF($R$2381="","",INDEX(전체채점!Q$3:Q$62,$R$2381))</f>
        <v/>
      </c>
      <c r="O2408" s="33">
        <f>IF($R$2381="","",INDEX(전체채점!R$3:R$62,$R$2381))</f>
        <v/>
      </c>
      <c r="P2408" s="33">
        <f>IF($R$2381="","",INDEX(전체채점!S$3:S$62,$R$2381))</f>
        <v/>
      </c>
    </row>
    <row r="2409">
      <c r="A2409" s="52" t="inlineStr">
        <is>
          <t>정오</t>
        </is>
      </c>
      <c r="B2409" s="33">
        <f>IF($R$2381="","",INDEX(전체채점!AX$3:AX$62,$R$2381))</f>
        <v/>
      </c>
      <c r="C2409" s="33">
        <f>IF($R$2381="","",INDEX(전체채점!AY$3:AY$62,$R$2381))</f>
        <v/>
      </c>
      <c r="D2409" s="33">
        <f>IF($R$2381="","",INDEX(전체채점!AZ$3:AZ$62,$R$2381))</f>
        <v/>
      </c>
      <c r="E2409" s="33">
        <f>IF($R$2381="","",INDEX(전체채점!BA$3:BA$62,$R$2381))</f>
        <v/>
      </c>
      <c r="F2409" s="33">
        <f>IF($R$2381="","",INDEX(전체채점!BB$3:BB$62,$R$2381))</f>
        <v/>
      </c>
      <c r="G2409" s="33">
        <f>IF($R$2381="","",INDEX(전체채점!BC$3:BC$62,$R$2381))</f>
        <v/>
      </c>
      <c r="H2409" s="33">
        <f>IF($R$2381="","",INDEX(전체채점!BD$3:BD$62,$R$2381))</f>
        <v/>
      </c>
      <c r="I2409" s="33">
        <f>IF($R$2381="","",INDEX(전체채점!BE$3:BE$62,$R$2381))</f>
        <v/>
      </c>
      <c r="J2409" s="33">
        <f>IF($R$2381="","",INDEX(전체채점!BF$3:BF$62,$R$2381))</f>
        <v/>
      </c>
      <c r="K2409" s="33">
        <f>IF($R$2381="","",INDEX(전체채점!BG$3:BG$62,$R$2381))</f>
        <v/>
      </c>
      <c r="L2409" s="33">
        <f>IF($R$2381="","",INDEX(전체채점!BH$3:BH$62,$R$2381))</f>
        <v/>
      </c>
      <c r="M2409" s="33">
        <f>IF($R$2381="","",INDEX(전체채점!BI$3:BI$62,$R$2381))</f>
        <v/>
      </c>
      <c r="N2409" s="33">
        <f>IF($R$2381="","",INDEX(전체채점!BJ$3:BJ$62,$R$2381))</f>
        <v/>
      </c>
      <c r="O2409" s="33">
        <f>IF($R$2381="","",INDEX(전체채점!BK$3:BK$62,$R$2381))</f>
        <v/>
      </c>
      <c r="P2409" s="33">
        <f>IF($R$2381="","",INDEX(전체채점!BL$3:BL$62,$R$2381))</f>
        <v/>
      </c>
    </row>
    <row r="2410">
      <c r="A2410" s="50" t="inlineStr">
        <is>
          <t>문항 번호</t>
        </is>
      </c>
      <c r="B2410" s="51" t="n">
        <v>16</v>
      </c>
      <c r="C2410" s="51" t="n">
        <v>17</v>
      </c>
      <c r="D2410" s="51" t="n">
        <v>18</v>
      </c>
      <c r="E2410" s="51" t="n">
        <v>19</v>
      </c>
      <c r="F2410" s="51" t="n">
        <v>20</v>
      </c>
      <c r="G2410" s="51" t="n">
        <v>21</v>
      </c>
      <c r="H2410" s="51" t="n">
        <v>22</v>
      </c>
      <c r="I2410" s="51" t="n">
        <v>23</v>
      </c>
      <c r="J2410" s="51" t="n">
        <v>24</v>
      </c>
      <c r="K2410" s="51" t="n">
        <v>25</v>
      </c>
      <c r="L2410" s="51" t="n">
        <v>26</v>
      </c>
      <c r="M2410" s="51" t="n">
        <v>27</v>
      </c>
      <c r="N2410" s="51" t="n">
        <v>28</v>
      </c>
      <c r="O2410" s="51" t="n">
        <v>29</v>
      </c>
      <c r="P2410" s="51" t="n">
        <v>30</v>
      </c>
    </row>
    <row r="2411">
      <c r="A2411" s="52" t="inlineStr">
        <is>
          <t>정답</t>
        </is>
      </c>
      <c r="B2411" s="33">
        <f>IF($R$2382="","",IF($R$2382="언어와 매체",자동계산!$D$19,자동계산!$B$19))</f>
        <v/>
      </c>
      <c r="C2411" s="33">
        <f>IF($R$2382="","",IF($R$2382="언어와 매체",자동계산!$D$20,자동계산!$B$20))</f>
        <v/>
      </c>
      <c r="D2411" s="33">
        <f>IF($R$2382="","",IF($R$2382="언어와 매체",자동계산!$D$21,자동계산!$B$21))</f>
        <v/>
      </c>
      <c r="E2411" s="33">
        <f>IF($R$2382="","",IF($R$2382="언어와 매체",자동계산!$D$22,자동계산!$B$22))</f>
        <v/>
      </c>
      <c r="F2411" s="33">
        <f>IF($R$2382="","",IF($R$2382="언어와 매체",자동계산!$D$23,자동계산!$B$23))</f>
        <v/>
      </c>
      <c r="G2411" s="33">
        <f>IF($R$2382="","",IF($R$2382="언어와 매체",자동계산!$D$24,자동계산!$B$24))</f>
        <v/>
      </c>
      <c r="H2411" s="33">
        <f>IF($R$2382="","",IF($R$2382="언어와 매체",자동계산!$D$25,자동계산!$B$25))</f>
        <v/>
      </c>
      <c r="I2411" s="33">
        <f>IF($R$2382="","",IF($R$2382="언어와 매체",자동계산!$D$26,자동계산!$B$26))</f>
        <v/>
      </c>
      <c r="J2411" s="33">
        <f>IF($R$2382="","",IF($R$2382="언어와 매체",자동계산!$D$27,자동계산!$B$27))</f>
        <v/>
      </c>
      <c r="K2411" s="33">
        <f>IF($R$2382="","",IF($R$2382="언어와 매체",자동계산!$D$28,자동계산!$B$28))</f>
        <v/>
      </c>
      <c r="L2411" s="33">
        <f>IF($R$2382="","",IF($R$2382="언어와 매체",자동계산!$D$29,자동계산!$B$29))</f>
        <v/>
      </c>
      <c r="M2411" s="33">
        <f>IF($R$2382="","",IF($R$2382="언어와 매체",자동계산!$D$30,자동계산!$B$30))</f>
        <v/>
      </c>
      <c r="N2411" s="33">
        <f>IF($R$2382="","",IF($R$2382="언어와 매체",자동계산!$D$31,자동계산!$B$31))</f>
        <v/>
      </c>
      <c r="O2411" s="33">
        <f>IF($R$2382="","",IF($R$2382="언어와 매체",자동계산!$D$32,자동계산!$B$32))</f>
        <v/>
      </c>
      <c r="P2411" s="33">
        <f>IF($R$2382="","",IF($R$2382="언어와 매체",자동계산!$D$33,자동계산!$B$33))</f>
        <v/>
      </c>
    </row>
    <row r="2412">
      <c r="A2412" s="52" t="inlineStr">
        <is>
          <t>학생답안</t>
        </is>
      </c>
      <c r="B2412" s="33">
        <f>IF($R$2381="","",INDEX(전체채점!T$3:T$62,$R$2381))</f>
        <v/>
      </c>
      <c r="C2412" s="33">
        <f>IF($R$2381="","",INDEX(전체채점!U$3:U$62,$R$2381))</f>
        <v/>
      </c>
      <c r="D2412" s="33">
        <f>IF($R$2381="","",INDEX(전체채점!V$3:V$62,$R$2381))</f>
        <v/>
      </c>
      <c r="E2412" s="33">
        <f>IF($R$2381="","",INDEX(전체채점!W$3:W$62,$R$2381))</f>
        <v/>
      </c>
      <c r="F2412" s="33">
        <f>IF($R$2381="","",INDEX(전체채점!X$3:X$62,$R$2381))</f>
        <v/>
      </c>
      <c r="G2412" s="33">
        <f>IF($R$2381="","",INDEX(전체채점!Y$3:Y$62,$R$2381))</f>
        <v/>
      </c>
      <c r="H2412" s="33">
        <f>IF($R$2381="","",INDEX(전체채점!Z$3:Z$62,$R$2381))</f>
        <v/>
      </c>
      <c r="I2412" s="33">
        <f>IF($R$2381="","",INDEX(전체채점!AA$3:AA$62,$R$2381))</f>
        <v/>
      </c>
      <c r="J2412" s="33">
        <f>IF($R$2381="","",INDEX(전체채점!AB$3:AB$62,$R$2381))</f>
        <v/>
      </c>
      <c r="K2412" s="33">
        <f>IF($R$2381="","",INDEX(전체채점!AC$3:AC$62,$R$2381))</f>
        <v/>
      </c>
      <c r="L2412" s="33">
        <f>IF($R$2381="","",INDEX(전체채점!AD$3:AD$62,$R$2381))</f>
        <v/>
      </c>
      <c r="M2412" s="33">
        <f>IF($R$2381="","",INDEX(전체채점!AE$3:AE$62,$R$2381))</f>
        <v/>
      </c>
      <c r="N2412" s="33">
        <f>IF($R$2381="","",INDEX(전체채점!AF$3:AF$62,$R$2381))</f>
        <v/>
      </c>
      <c r="O2412" s="33">
        <f>IF($R$2381="","",INDEX(전체채점!AG$3:AG$62,$R$2381))</f>
        <v/>
      </c>
      <c r="P2412" s="33">
        <f>IF($R$2381="","",INDEX(전체채점!AH$3:AH$62,$R$2381))</f>
        <v/>
      </c>
    </row>
    <row r="2413">
      <c r="A2413" s="52" t="inlineStr">
        <is>
          <t>정오</t>
        </is>
      </c>
      <c r="B2413" s="33">
        <f>IF($R$2381="","",INDEX(전체채점!BM$3:BM$62,$R$2381))</f>
        <v/>
      </c>
      <c r="C2413" s="33">
        <f>IF($R$2381="","",INDEX(전체채점!BN$3:BN$62,$R$2381))</f>
        <v/>
      </c>
      <c r="D2413" s="33">
        <f>IF($R$2381="","",INDEX(전체채점!BO$3:BO$62,$R$2381))</f>
        <v/>
      </c>
      <c r="E2413" s="33">
        <f>IF($R$2381="","",INDEX(전체채점!BP$3:BP$62,$R$2381))</f>
        <v/>
      </c>
      <c r="F2413" s="33">
        <f>IF($R$2381="","",INDEX(전체채점!BQ$3:BQ$62,$R$2381))</f>
        <v/>
      </c>
      <c r="G2413" s="33">
        <f>IF($R$2381="","",INDEX(전체채점!BR$3:BR$62,$R$2381))</f>
        <v/>
      </c>
      <c r="H2413" s="33">
        <f>IF($R$2381="","",INDEX(전체채점!BS$3:BS$62,$R$2381))</f>
        <v/>
      </c>
      <c r="I2413" s="33">
        <f>IF($R$2381="","",INDEX(전체채점!BT$3:BT$62,$R$2381))</f>
        <v/>
      </c>
      <c r="J2413" s="33">
        <f>IF($R$2381="","",INDEX(전체채점!BU$3:BU$62,$R$2381))</f>
        <v/>
      </c>
      <c r="K2413" s="33">
        <f>IF($R$2381="","",INDEX(전체채점!BV$3:BV$62,$R$2381))</f>
        <v/>
      </c>
      <c r="L2413" s="33">
        <f>IF($R$2381="","",INDEX(전체채점!BW$3:BW$62,$R$2381))</f>
        <v/>
      </c>
      <c r="M2413" s="33">
        <f>IF($R$2381="","",INDEX(전체채점!BX$3:BX$62,$R$2381))</f>
        <v/>
      </c>
      <c r="N2413" s="33">
        <f>IF($R$2381="","",INDEX(전체채점!BY$3:BY$62,$R$2381))</f>
        <v/>
      </c>
      <c r="O2413" s="33">
        <f>IF($R$2381="","",INDEX(전체채점!BZ$3:BZ$62,$R$2381))</f>
        <v/>
      </c>
      <c r="P2413" s="33">
        <f>IF($R$2381="","",INDEX(전체채점!CA$3:CA$62,$R$2381))</f>
        <v/>
      </c>
    </row>
    <row r="2414">
      <c r="A2414" s="50" t="inlineStr">
        <is>
          <t>문항 번호</t>
        </is>
      </c>
      <c r="B2414" s="51" t="n">
        <v>31</v>
      </c>
      <c r="C2414" s="51" t="n">
        <v>32</v>
      </c>
      <c r="D2414" s="51" t="n">
        <v>33</v>
      </c>
      <c r="E2414" s="51" t="n">
        <v>34</v>
      </c>
      <c r="F2414" s="51" t="n">
        <v>35</v>
      </c>
      <c r="G2414" s="51" t="n">
        <v>36</v>
      </c>
      <c r="H2414" s="51" t="n">
        <v>37</v>
      </c>
      <c r="I2414" s="51" t="n">
        <v>38</v>
      </c>
      <c r="J2414" s="51" t="n">
        <v>39</v>
      </c>
      <c r="K2414" s="51" t="n">
        <v>40</v>
      </c>
      <c r="L2414" s="51" t="n">
        <v>41</v>
      </c>
      <c r="M2414" s="51" t="n">
        <v>42</v>
      </c>
      <c r="N2414" s="51" t="n">
        <v>43</v>
      </c>
      <c r="O2414" s="51" t="n">
        <v>44</v>
      </c>
      <c r="P2414" s="51" t="n">
        <v>45</v>
      </c>
    </row>
    <row r="2415">
      <c r="A2415" s="52" t="inlineStr">
        <is>
          <t>정답</t>
        </is>
      </c>
      <c r="B2415" s="33">
        <f>IF($R$2382="","",IF($R$2382="언어와 매체",자동계산!$D$34,자동계산!$B$34))</f>
        <v/>
      </c>
      <c r="C2415" s="33">
        <f>IF($R$2382="","",IF($R$2382="언어와 매체",자동계산!$D$35,자동계산!$B$35))</f>
        <v/>
      </c>
      <c r="D2415" s="33">
        <f>IF($R$2382="","",IF($R$2382="언어와 매체",자동계산!$D$36,자동계산!$B$36))</f>
        <v/>
      </c>
      <c r="E2415" s="33">
        <f>IF($R$2382="","",IF($R$2382="언어와 매체",자동계산!$D$37,자동계산!$B$37))</f>
        <v/>
      </c>
      <c r="F2415" s="33">
        <f>IF($R$2382="","",IF($R$2382="언어와 매체",자동계산!$D$38,자동계산!$B$38))</f>
        <v/>
      </c>
      <c r="G2415" s="33">
        <f>IF($R$2382="","",IF($R$2382="언어와 매체",자동계산!$D$39,자동계산!$B$39))</f>
        <v/>
      </c>
      <c r="H2415" s="33">
        <f>IF($R$2382="","",IF($R$2382="언어와 매체",자동계산!$D$40,자동계산!$B$40))</f>
        <v/>
      </c>
      <c r="I2415" s="33">
        <f>IF($R$2382="","",IF($R$2382="언어와 매체",자동계산!$D$41,자동계산!$B$41))</f>
        <v/>
      </c>
      <c r="J2415" s="33">
        <f>IF($R$2382="","",IF($R$2382="언어와 매체",자동계산!$D$42,자동계산!$B$42))</f>
        <v/>
      </c>
      <c r="K2415" s="33">
        <f>IF($R$2382="","",IF($R$2382="언어와 매체",자동계산!$D$43,자동계산!$B$43))</f>
        <v/>
      </c>
      <c r="L2415" s="33">
        <f>IF($R$2382="","",IF($R$2382="언어와 매체",자동계산!$D$44,자동계산!$B$44))</f>
        <v/>
      </c>
      <c r="M2415" s="33">
        <f>IF($R$2382="","",IF($R$2382="언어와 매체",자동계산!$D$45,자동계산!$B$45))</f>
        <v/>
      </c>
      <c r="N2415" s="33">
        <f>IF($R$2382="","",IF($R$2382="언어와 매체",자동계산!$D$46,자동계산!$B$46))</f>
        <v/>
      </c>
      <c r="O2415" s="33">
        <f>IF($R$2382="","",IF($R$2382="언어와 매체",자동계산!$D$47,자동계산!$B$47))</f>
        <v/>
      </c>
      <c r="P2415" s="33">
        <f>IF($R$2382="","",IF($R$2382="언어와 매체",자동계산!$D$48,자동계산!$B$48))</f>
        <v/>
      </c>
    </row>
    <row r="2416">
      <c r="A2416" s="52" t="inlineStr">
        <is>
          <t>학생답안</t>
        </is>
      </c>
      <c r="B2416" s="33">
        <f>IF($R$2381="","",INDEX(전체채점!AI$3:AI$62,$R$2381))</f>
        <v/>
      </c>
      <c r="C2416" s="33">
        <f>IF($R$2381="","",INDEX(전체채점!AJ$3:AJ$62,$R$2381))</f>
        <v/>
      </c>
      <c r="D2416" s="33">
        <f>IF($R$2381="","",INDEX(전체채점!AK$3:AK$62,$R$2381))</f>
        <v/>
      </c>
      <c r="E2416" s="33">
        <f>IF($R$2381="","",INDEX(전체채점!AL$3:AL$62,$R$2381))</f>
        <v/>
      </c>
      <c r="F2416" s="33">
        <f>IF($R$2381="","",INDEX(전체채점!AM$3:AM$62,$R$2381))</f>
        <v/>
      </c>
      <c r="G2416" s="33">
        <f>IF($R$2381="","",INDEX(전체채점!AN$3:AN$62,$R$2381))</f>
        <v/>
      </c>
      <c r="H2416" s="33">
        <f>IF($R$2381="","",INDEX(전체채점!AO$3:AO$62,$R$2381))</f>
        <v/>
      </c>
      <c r="I2416" s="33">
        <f>IF($R$2381="","",INDEX(전체채점!AP$3:AP$62,$R$2381))</f>
        <v/>
      </c>
      <c r="J2416" s="33">
        <f>IF($R$2381="","",INDEX(전체채점!AQ$3:AQ$62,$R$2381))</f>
        <v/>
      </c>
      <c r="K2416" s="33">
        <f>IF($R$2381="","",INDEX(전체채점!AR$3:AR$62,$R$2381))</f>
        <v/>
      </c>
      <c r="L2416" s="33">
        <f>IF($R$2381="","",INDEX(전체채점!AS$3:AS$62,$R$2381))</f>
        <v/>
      </c>
      <c r="M2416" s="33">
        <f>IF($R$2381="","",INDEX(전체채점!AT$3:AT$62,$R$2381))</f>
        <v/>
      </c>
      <c r="N2416" s="33">
        <f>IF($R$2381="","",INDEX(전체채점!AU$3:AU$62,$R$2381))</f>
        <v/>
      </c>
      <c r="O2416" s="33">
        <f>IF($R$2381="","",INDEX(전체채점!AV$3:AV$62,$R$2381))</f>
        <v/>
      </c>
      <c r="P2416" s="33">
        <f>IF($R$2381="","",INDEX(전체채점!AW$3:AW$62,$R$2381))</f>
        <v/>
      </c>
    </row>
    <row r="2417">
      <c r="A2417" s="52" t="inlineStr">
        <is>
          <t>정오</t>
        </is>
      </c>
      <c r="B2417" s="33">
        <f>IF($R$2381="","",INDEX(전체채점!CB$3:CB$62,$R$2381))</f>
        <v/>
      </c>
      <c r="C2417" s="33">
        <f>IF($R$2381="","",INDEX(전체채점!CC$3:CC$62,$R$2381))</f>
        <v/>
      </c>
      <c r="D2417" s="33">
        <f>IF($R$2381="","",INDEX(전체채점!CD$3:CD$62,$R$2381))</f>
        <v/>
      </c>
      <c r="E2417" s="33">
        <f>IF($R$2381="","",INDEX(전체채점!CE$3:CE$62,$R$2381))</f>
        <v/>
      </c>
      <c r="F2417" s="33">
        <f>IF($R$2381="","",INDEX(전체채점!CF$3:CF$62,$R$2381))</f>
        <v/>
      </c>
      <c r="G2417" s="33">
        <f>IF($R$2381="","",INDEX(전체채점!CG$3:CG$62,$R$2381))</f>
        <v/>
      </c>
      <c r="H2417" s="33">
        <f>IF($R$2381="","",INDEX(전체채점!CH$3:CH$62,$R$2381))</f>
        <v/>
      </c>
      <c r="I2417" s="33">
        <f>IF($R$2381="","",INDEX(전체채점!CI$3:CI$62,$R$2381))</f>
        <v/>
      </c>
      <c r="J2417" s="33">
        <f>IF($R$2381="","",INDEX(전체채점!CJ$3:CJ$62,$R$2381))</f>
        <v/>
      </c>
      <c r="K2417" s="33">
        <f>IF($R$2381="","",INDEX(전체채점!CK$3:CK$62,$R$2381))</f>
        <v/>
      </c>
      <c r="L2417" s="33">
        <f>IF($R$2381="","",INDEX(전체채점!CL$3:CL$62,$R$2381))</f>
        <v/>
      </c>
      <c r="M2417" s="33">
        <f>IF($R$2381="","",INDEX(전체채점!CM$3:CM$62,$R$2381))</f>
        <v/>
      </c>
      <c r="N2417" s="33">
        <f>IF($R$2381="","",INDEX(전체채점!CN$3:CN$62,$R$2381))</f>
        <v/>
      </c>
      <c r="O2417" s="33">
        <f>IF($R$2381="","",INDEX(전체채점!CO$3:CO$62,$R$2381))</f>
        <v/>
      </c>
      <c r="P2417" s="33">
        <f>IF($R$2381="","",INDEX(전체채점!CP$3:CP$62,$R$2381))</f>
        <v/>
      </c>
    </row>
    <row r="2420" ht="34" customHeight="1">
      <c r="A2420" s="36">
        <f>IF($R$2422="","",회차설정!$B$2&amp;" 성적표")</f>
        <v/>
      </c>
    </row>
    <row r="2422">
      <c r="A2422" s="12" t="inlineStr">
        <is>
          <t>1. 학생정보</t>
        </is>
      </c>
      <c r="R2422" s="37">
        <f>IF(답안입력!$A$62="","",60)</f>
        <v/>
      </c>
      <c r="S2422" s="37">
        <f>IF($R$2423="","",IFERROR(IF($R$2423="언어와 매체",MATCH(1,회차설정!$G$13:$G$27,0),MATCH(1,회차설정!$F$13:$F$27,0)),""))</f>
        <v/>
      </c>
    </row>
    <row r="2423">
      <c r="A2423" s="13" t="inlineStr">
        <is>
          <t>성명</t>
        </is>
      </c>
      <c r="B2423" s="7" t="n"/>
      <c r="C2423" s="8" t="n"/>
      <c r="D2423" s="13" t="inlineStr">
        <is>
          <t>선택과목</t>
        </is>
      </c>
      <c r="E2423" s="7" t="n"/>
      <c r="F2423" s="7" t="n"/>
      <c r="G2423" s="8" t="n"/>
      <c r="H2423" s="13" t="inlineStr">
        <is>
          <t>학년</t>
        </is>
      </c>
      <c r="I2423" s="7" t="n"/>
      <c r="J2423" s="7" t="n"/>
      <c r="K2423" s="8" t="n"/>
      <c r="L2423" s="13" t="inlineStr">
        <is>
          <t>시행일</t>
        </is>
      </c>
      <c r="M2423" s="7" t="n"/>
      <c r="N2423" s="7" t="n"/>
      <c r="O2423" s="7" t="n"/>
      <c r="P2423" s="8" t="n"/>
      <c r="R2423" s="37">
        <f>IF($R$2422="","",INDEX(전체채점!$B$3:$B$62,$R$2422))</f>
        <v/>
      </c>
      <c r="S2423" s="37">
        <f>IF($R$2423="","",IFERROR(IF($R$2423="언어와 매체",MATCH(2,회차설정!$G$13:$G$27,0),MATCH(2,회차설정!$F$13:$F$27,0)),""))</f>
        <v/>
      </c>
    </row>
    <row r="2424" ht="26" customHeight="1">
      <c r="A2424" s="39">
        <f>IF($R$2422="","",INDEX(답안입력!$A$3:$A$62,$R$2422))</f>
        <v/>
      </c>
      <c r="B2424" s="7" t="n"/>
      <c r="C2424" s="8" t="n"/>
      <c r="D2424" s="39">
        <f>IF($R$2422="","",INDEX(답안입력!$C$3:$C$62,$R$2422))</f>
        <v/>
      </c>
      <c r="E2424" s="7" t="n"/>
      <c r="F2424" s="7" t="n"/>
      <c r="G2424" s="8" t="n"/>
      <c r="H2424" s="39">
        <f>IF($R$2422="","",INDEX(답안입력!$B$3:$B$62,$R$2422))</f>
        <v/>
      </c>
      <c r="I2424" s="7" t="n"/>
      <c r="J2424" s="7" t="n"/>
      <c r="K2424" s="8" t="n"/>
      <c r="L2424" s="40">
        <f>회차설정!$B$3</f>
        <v/>
      </c>
      <c r="M2424" s="7" t="n"/>
      <c r="N2424" s="7" t="n"/>
      <c r="O2424" s="7" t="n"/>
      <c r="P2424" s="8" t="n"/>
      <c r="R2424" s="37">
        <f>IF($R$2423="언어와 매체",회차설정!$B$9,회차설정!$B$8)</f>
        <v/>
      </c>
      <c r="S2424" s="37">
        <f>IF($R$2423="","",IFERROR(IF($R$2423="언어와 매체",MATCH(3,회차설정!$G$13:$G$27,0),MATCH(3,회차설정!$F$13:$F$27,0)),""))</f>
        <v/>
      </c>
    </row>
    <row r="2425">
      <c r="R2425" s="37">
        <f>IF($R$2423="언어와 매체",회차설정!$C$9,회차설정!$C$8)</f>
        <v/>
      </c>
      <c r="S2425" s="37">
        <f>IF($R$2423="","",IFERROR(IF($R$2423="언어와 매체",MATCH(4,회차설정!$G$13:$G$27,0),MATCH(4,회차설정!$F$13:$F$27,0)),""))</f>
        <v/>
      </c>
    </row>
    <row r="2426">
      <c r="A2426" s="12" t="inlineStr">
        <is>
          <t>2. 성적</t>
        </is>
      </c>
      <c r="R2426" s="37">
        <f>IF($R$2423="언어와 매체",회차설정!$D$9,회차설정!$D$8)</f>
        <v/>
      </c>
      <c r="S2426" s="37">
        <f>IF($R$2423="","",IFERROR(IF($R$2423="언어와 매체",MATCH(5,회차설정!$G$13:$G$27,0),MATCH(5,회차설정!$F$13:$F$27,0)),""))</f>
        <v/>
      </c>
    </row>
    <row r="2427">
      <c r="A2427" s="13" t="inlineStr">
        <is>
          <t>점수 (100점 만점)</t>
        </is>
      </c>
      <c r="B2427" s="7" t="n"/>
      <c r="C2427" s="7" t="n"/>
      <c r="D2427" s="7" t="n"/>
      <c r="E2427" s="8" t="n"/>
      <c r="F2427" s="13" t="inlineStr">
        <is>
          <t>등급</t>
        </is>
      </c>
      <c r="G2427" s="7" t="n"/>
      <c r="H2427" s="8" t="n"/>
      <c r="I2427" s="13" t="inlineStr">
        <is>
          <t>등급컷</t>
        </is>
      </c>
      <c r="J2427" s="7" t="n"/>
      <c r="K2427" s="7" t="n"/>
      <c r="L2427" s="8" t="n"/>
      <c r="M2427" s="13" t="inlineStr">
        <is>
          <t>같은 선택과목 평균</t>
        </is>
      </c>
      <c r="N2427" s="7" t="n"/>
      <c r="O2427" s="7" t="n"/>
      <c r="P2427" s="8" t="n"/>
      <c r="R2427" s="37">
        <f>IF($R$2423="언어와 매체",회차설정!$E$9,회차설정!$E$8)</f>
        <v/>
      </c>
      <c r="S2427" s="37">
        <f>IF($R$2423="","",IFERROR(IF($R$2423="언어와 매체",MATCH(6,회차설정!$G$13:$G$27,0),MATCH(6,회차설정!$F$13:$F$27,0)),""))</f>
        <v/>
      </c>
    </row>
    <row r="2428" ht="34" customHeight="1">
      <c r="A2428" s="41">
        <f>IF($R$2422="","",INDEX(전체채점!$C$3:$C$62,$R$2422))</f>
        <v/>
      </c>
      <c r="B2428" s="7" t="n"/>
      <c r="C2428" s="7" t="n"/>
      <c r="D2428" s="7" t="n"/>
      <c r="E2428" s="8" t="n"/>
      <c r="F2428" s="42">
        <f>IF($R$2422="","",INDEX(전체채점!$D$3:$D$62,$R$2422))</f>
        <v/>
      </c>
      <c r="G2428" s="7" t="n"/>
      <c r="H2428" s="8" t="n"/>
      <c r="I2428" s="43">
        <f>IF($R$2422="","",$R$2424&amp;"-"&amp;$R$2425&amp;"-"&amp;$R$2426&amp;"-"&amp;$R$2427)</f>
        <v/>
      </c>
      <c r="J2428" s="7" t="n"/>
      <c r="K2428" s="7" t="n"/>
      <c r="L2428" s="8" t="n"/>
      <c r="M2428" s="44">
        <f>IFERROR(AVERAGEIF(전체채점!$B$3:$B$62,$R$2423,전체채점!$C$3:$C$62),"")</f>
        <v/>
      </c>
      <c r="N2428" s="7" t="n"/>
      <c r="O2428" s="7" t="n"/>
      <c r="P2428" s="8" t="n"/>
      <c r="S2428" s="37">
        <f>IF($R$2423="","",IFERROR(IF($R$2423="언어와 매체",MATCH(7,회차설정!$G$13:$G$27,0),MATCH(7,회차설정!$F$13:$F$27,0)),""))</f>
        <v/>
      </c>
    </row>
    <row r="2429">
      <c r="S2429" s="37">
        <f>IF($R$2423="","",IFERROR(IF($R$2423="언어와 매체",MATCH(8,회차설정!$G$13:$G$27,0),MATCH(8,회차설정!$F$13:$F$27,0)),""))</f>
        <v/>
      </c>
    </row>
    <row r="2430">
      <c r="A2430" s="12" t="inlineStr">
        <is>
          <t>3. 영역분류별 성취도 분석</t>
        </is>
      </c>
      <c r="F2430" s="45">
        <f>IF(OR($R$2422="",$E2444=""),"",IF($E2444=INDEX(전체채점!$C$3:$C$62,$R$2422),"","※ 회차설정의 영역 표를 확인하세요 — 영역 합계와 점수가 다릅니다"))</f>
        <v/>
      </c>
      <c r="S2430" s="37">
        <f>IF($R$2423="","",IFERROR(IF($R$2423="언어와 매체",MATCH(9,회차설정!$G$13:$G$27,0),MATCH(9,회차설정!$F$13:$F$27,0)),""))</f>
        <v/>
      </c>
    </row>
    <row r="2431">
      <c r="A2431" s="13" t="inlineStr">
        <is>
          <t>분류</t>
        </is>
      </c>
      <c r="B2431" s="13" t="inlineStr">
        <is>
          <t>영역</t>
        </is>
      </c>
      <c r="C2431" s="8" t="n"/>
      <c r="D2431" s="13" t="inlineStr">
        <is>
          <t>배점</t>
        </is>
      </c>
      <c r="E2431" s="13" t="inlineStr">
        <is>
          <t>득점</t>
        </is>
      </c>
      <c r="F2431" s="13" t="inlineStr">
        <is>
          <t>성취도(%)</t>
        </is>
      </c>
      <c r="G2431" s="8" t="n"/>
      <c r="H2431" s="13" t="inlineStr"/>
      <c r="I2431" s="7" t="n"/>
      <c r="J2431" s="7" t="n"/>
      <c r="K2431" s="7" t="n"/>
      <c r="L2431" s="7" t="n"/>
      <c r="M2431" s="7" t="n"/>
      <c r="N2431" s="7" t="n"/>
      <c r="O2431" s="7" t="n"/>
      <c r="P2431" s="8" t="n"/>
      <c r="S2431" s="37">
        <f>IF($R$2423="","",IFERROR(IF($R$2423="언어와 매체",MATCH(10,회차설정!$G$13:$G$27,0),MATCH(10,회차설정!$F$13:$F$27,0)),""))</f>
        <v/>
      </c>
    </row>
    <row r="2432">
      <c r="A2432" s="14">
        <f>IF($S$2422="","",INDEX(회차설정!$A$13:$A$27,$S$2422))</f>
        <v/>
      </c>
      <c r="B2432" s="14">
        <f>IF($S$2422="","",INDEX(회차설정!$B$13:$B$27,$S$2422))</f>
        <v/>
      </c>
      <c r="C2432" s="8" t="n"/>
      <c r="D2432" s="14">
        <f>IF($S$2422="","",IF($R$2423="언어와 매체",SUMPRODUCT((자동계산!$A$4:$A$48&gt;=INDEX(회차설정!$C$13:$C$27,$S$2422))*(자동계산!$A$4:$A$48&lt;=INDEX(회차설정!$D$13:$D$27,$S$2422))*자동계산!$E$4:$E$48),SUMPRODUCT((자동계산!$A$4:$A$48&gt;=INDEX(회차설정!$C$13:$C$27,$S$2422))*(자동계산!$A$4:$A$48&lt;=INDEX(회차설정!$D$13:$D$27,$S$2422))*자동계산!$C$4:$C$48)))</f>
        <v/>
      </c>
      <c r="E2432" s="14">
        <f>IF(OR($S$2422="",$R$2422=""),"",SUM(OFFSET(전체채점!$AW$2,$R$2422,INDEX(회차설정!$C$13:$C$27,$S$2422),1,INDEX(회차설정!$D$13:$D$27,$S$2422)-INDEX(회차설정!$C$13:$C$27,$S$2422)+1)))</f>
        <v/>
      </c>
      <c r="F2432" s="46">
        <f>IF(OR($S$2422="",$D2432=0,$D2432="",$E2432=""),"",$E2432/$D2432*100)</f>
        <v/>
      </c>
      <c r="G2432" s="8" t="n"/>
      <c r="H2432" s="47">
        <f>IF($F2432="","",REPT("■",ROUND($F2432/5,0)))</f>
        <v/>
      </c>
      <c r="I2432" s="7" t="n"/>
      <c r="J2432" s="7" t="n"/>
      <c r="K2432" s="7" t="n"/>
      <c r="L2432" s="7" t="n"/>
      <c r="M2432" s="7" t="n"/>
      <c r="N2432" s="7" t="n"/>
      <c r="O2432" s="7" t="n"/>
      <c r="P2432" s="8" t="n"/>
      <c r="S2432" s="37">
        <f>IF($R$2423="","",IFERROR(IF($R$2423="언어와 매체",MATCH(11,회차설정!$G$13:$G$27,0),MATCH(11,회차설정!$F$13:$F$27,0)),""))</f>
        <v/>
      </c>
    </row>
    <row r="2433">
      <c r="A2433" s="14">
        <f>IF($S$2423="","",INDEX(회차설정!$A$13:$A$27,$S$2423))</f>
        <v/>
      </c>
      <c r="B2433" s="14">
        <f>IF($S$2423="","",INDEX(회차설정!$B$13:$B$27,$S$2423))</f>
        <v/>
      </c>
      <c r="C2433" s="8" t="n"/>
      <c r="D2433" s="14">
        <f>IF($S$2423="","",IF($R$2423="언어와 매체",SUMPRODUCT((자동계산!$A$4:$A$48&gt;=INDEX(회차설정!$C$13:$C$27,$S$2423))*(자동계산!$A$4:$A$48&lt;=INDEX(회차설정!$D$13:$D$27,$S$2423))*자동계산!$E$4:$E$48),SUMPRODUCT((자동계산!$A$4:$A$48&gt;=INDEX(회차설정!$C$13:$C$27,$S$2423))*(자동계산!$A$4:$A$48&lt;=INDEX(회차설정!$D$13:$D$27,$S$2423))*자동계산!$C$4:$C$48)))</f>
        <v/>
      </c>
      <c r="E2433" s="14">
        <f>IF(OR($S$2423="",$R$2422=""),"",SUM(OFFSET(전체채점!$AW$2,$R$2422,INDEX(회차설정!$C$13:$C$27,$S$2423),1,INDEX(회차설정!$D$13:$D$27,$S$2423)-INDEX(회차설정!$C$13:$C$27,$S$2423)+1)))</f>
        <v/>
      </c>
      <c r="F2433" s="46">
        <f>IF(OR($S$2423="",$D2433=0,$D2433="",$E2433=""),"",$E2433/$D2433*100)</f>
        <v/>
      </c>
      <c r="G2433" s="8" t="n"/>
      <c r="H2433" s="47">
        <f>IF($F2433="","",REPT("■",ROUND($F2433/5,0)))</f>
        <v/>
      </c>
      <c r="I2433" s="7" t="n"/>
      <c r="J2433" s="7" t="n"/>
      <c r="K2433" s="7" t="n"/>
      <c r="L2433" s="7" t="n"/>
      <c r="M2433" s="7" t="n"/>
      <c r="N2433" s="7" t="n"/>
      <c r="O2433" s="7" t="n"/>
      <c r="P2433" s="8" t="n"/>
      <c r="S2433" s="37">
        <f>IF($R$2423="","",IFERROR(IF($R$2423="언어와 매체",MATCH(12,회차설정!$G$13:$G$27,0),MATCH(12,회차설정!$F$13:$F$27,0)),""))</f>
        <v/>
      </c>
    </row>
    <row r="2434">
      <c r="A2434" s="14">
        <f>IF($S$2424="","",INDEX(회차설정!$A$13:$A$27,$S$2424))</f>
        <v/>
      </c>
      <c r="B2434" s="14">
        <f>IF($S$2424="","",INDEX(회차설정!$B$13:$B$27,$S$2424))</f>
        <v/>
      </c>
      <c r="C2434" s="8" t="n"/>
      <c r="D2434" s="14">
        <f>IF($S$2424="","",IF($R$2423="언어와 매체",SUMPRODUCT((자동계산!$A$4:$A$48&gt;=INDEX(회차설정!$C$13:$C$27,$S$2424))*(자동계산!$A$4:$A$48&lt;=INDEX(회차설정!$D$13:$D$27,$S$2424))*자동계산!$E$4:$E$48),SUMPRODUCT((자동계산!$A$4:$A$48&gt;=INDEX(회차설정!$C$13:$C$27,$S$2424))*(자동계산!$A$4:$A$48&lt;=INDEX(회차설정!$D$13:$D$27,$S$2424))*자동계산!$C$4:$C$48)))</f>
        <v/>
      </c>
      <c r="E2434" s="14">
        <f>IF(OR($S$2424="",$R$2422=""),"",SUM(OFFSET(전체채점!$AW$2,$R$2422,INDEX(회차설정!$C$13:$C$27,$S$2424),1,INDEX(회차설정!$D$13:$D$27,$S$2424)-INDEX(회차설정!$C$13:$C$27,$S$2424)+1)))</f>
        <v/>
      </c>
      <c r="F2434" s="46">
        <f>IF(OR($S$2424="",$D2434=0,$D2434="",$E2434=""),"",$E2434/$D2434*100)</f>
        <v/>
      </c>
      <c r="G2434" s="8" t="n"/>
      <c r="H2434" s="47">
        <f>IF($F2434="","",REPT("■",ROUND($F2434/5,0)))</f>
        <v/>
      </c>
      <c r="I2434" s="7" t="n"/>
      <c r="J2434" s="7" t="n"/>
      <c r="K2434" s="7" t="n"/>
      <c r="L2434" s="7" t="n"/>
      <c r="M2434" s="7" t="n"/>
      <c r="N2434" s="7" t="n"/>
      <c r="O2434" s="7" t="n"/>
      <c r="P2434" s="8" t="n"/>
    </row>
    <row r="2435">
      <c r="A2435" s="14">
        <f>IF($S$2425="","",INDEX(회차설정!$A$13:$A$27,$S$2425))</f>
        <v/>
      </c>
      <c r="B2435" s="14">
        <f>IF($S$2425="","",INDEX(회차설정!$B$13:$B$27,$S$2425))</f>
        <v/>
      </c>
      <c r="C2435" s="8" t="n"/>
      <c r="D2435" s="14">
        <f>IF($S$2425="","",IF($R$2423="언어와 매체",SUMPRODUCT((자동계산!$A$4:$A$48&gt;=INDEX(회차설정!$C$13:$C$27,$S$2425))*(자동계산!$A$4:$A$48&lt;=INDEX(회차설정!$D$13:$D$27,$S$2425))*자동계산!$E$4:$E$48),SUMPRODUCT((자동계산!$A$4:$A$48&gt;=INDEX(회차설정!$C$13:$C$27,$S$2425))*(자동계산!$A$4:$A$48&lt;=INDEX(회차설정!$D$13:$D$27,$S$2425))*자동계산!$C$4:$C$48)))</f>
        <v/>
      </c>
      <c r="E2435" s="14">
        <f>IF(OR($S$2425="",$R$2422=""),"",SUM(OFFSET(전체채점!$AW$2,$R$2422,INDEX(회차설정!$C$13:$C$27,$S$2425),1,INDEX(회차설정!$D$13:$D$27,$S$2425)-INDEX(회차설정!$C$13:$C$27,$S$2425)+1)))</f>
        <v/>
      </c>
      <c r="F2435" s="46">
        <f>IF(OR($S$2425="",$D2435=0,$D2435="",$E2435=""),"",$E2435/$D2435*100)</f>
        <v/>
      </c>
      <c r="G2435" s="8" t="n"/>
      <c r="H2435" s="47">
        <f>IF($F2435="","",REPT("■",ROUND($F2435/5,0)))</f>
        <v/>
      </c>
      <c r="I2435" s="7" t="n"/>
      <c r="J2435" s="7" t="n"/>
      <c r="K2435" s="7" t="n"/>
      <c r="L2435" s="7" t="n"/>
      <c r="M2435" s="7" t="n"/>
      <c r="N2435" s="7" t="n"/>
      <c r="O2435" s="7" t="n"/>
      <c r="P2435" s="8" t="n"/>
    </row>
    <row r="2436">
      <c r="A2436" s="14">
        <f>IF($S$2426="","",INDEX(회차설정!$A$13:$A$27,$S$2426))</f>
        <v/>
      </c>
      <c r="B2436" s="14">
        <f>IF($S$2426="","",INDEX(회차설정!$B$13:$B$27,$S$2426))</f>
        <v/>
      </c>
      <c r="C2436" s="8" t="n"/>
      <c r="D2436" s="14">
        <f>IF($S$2426="","",IF($R$2423="언어와 매체",SUMPRODUCT((자동계산!$A$4:$A$48&gt;=INDEX(회차설정!$C$13:$C$27,$S$2426))*(자동계산!$A$4:$A$48&lt;=INDEX(회차설정!$D$13:$D$27,$S$2426))*자동계산!$E$4:$E$48),SUMPRODUCT((자동계산!$A$4:$A$48&gt;=INDEX(회차설정!$C$13:$C$27,$S$2426))*(자동계산!$A$4:$A$48&lt;=INDEX(회차설정!$D$13:$D$27,$S$2426))*자동계산!$C$4:$C$48)))</f>
        <v/>
      </c>
      <c r="E2436" s="14">
        <f>IF(OR($S$2426="",$R$2422=""),"",SUM(OFFSET(전체채점!$AW$2,$R$2422,INDEX(회차설정!$C$13:$C$27,$S$2426),1,INDEX(회차설정!$D$13:$D$27,$S$2426)-INDEX(회차설정!$C$13:$C$27,$S$2426)+1)))</f>
        <v/>
      </c>
      <c r="F2436" s="46">
        <f>IF(OR($S$2426="",$D2436=0,$D2436="",$E2436=""),"",$E2436/$D2436*100)</f>
        <v/>
      </c>
      <c r="G2436" s="8" t="n"/>
      <c r="H2436" s="47">
        <f>IF($F2436="","",REPT("■",ROUND($F2436/5,0)))</f>
        <v/>
      </c>
      <c r="I2436" s="7" t="n"/>
      <c r="J2436" s="7" t="n"/>
      <c r="K2436" s="7" t="n"/>
      <c r="L2436" s="7" t="n"/>
      <c r="M2436" s="7" t="n"/>
      <c r="N2436" s="7" t="n"/>
      <c r="O2436" s="7" t="n"/>
      <c r="P2436" s="8" t="n"/>
    </row>
    <row r="2437">
      <c r="A2437" s="14">
        <f>IF($S$2427="","",INDEX(회차설정!$A$13:$A$27,$S$2427))</f>
        <v/>
      </c>
      <c r="B2437" s="14">
        <f>IF($S$2427="","",INDEX(회차설정!$B$13:$B$27,$S$2427))</f>
        <v/>
      </c>
      <c r="C2437" s="8" t="n"/>
      <c r="D2437" s="14">
        <f>IF($S$2427="","",IF($R$2423="언어와 매체",SUMPRODUCT((자동계산!$A$4:$A$48&gt;=INDEX(회차설정!$C$13:$C$27,$S$2427))*(자동계산!$A$4:$A$48&lt;=INDEX(회차설정!$D$13:$D$27,$S$2427))*자동계산!$E$4:$E$48),SUMPRODUCT((자동계산!$A$4:$A$48&gt;=INDEX(회차설정!$C$13:$C$27,$S$2427))*(자동계산!$A$4:$A$48&lt;=INDEX(회차설정!$D$13:$D$27,$S$2427))*자동계산!$C$4:$C$48)))</f>
        <v/>
      </c>
      <c r="E2437" s="14">
        <f>IF(OR($S$2427="",$R$2422=""),"",SUM(OFFSET(전체채점!$AW$2,$R$2422,INDEX(회차설정!$C$13:$C$27,$S$2427),1,INDEX(회차설정!$D$13:$D$27,$S$2427)-INDEX(회차설정!$C$13:$C$27,$S$2427)+1)))</f>
        <v/>
      </c>
      <c r="F2437" s="46">
        <f>IF(OR($S$2427="",$D2437=0,$D2437="",$E2437=""),"",$E2437/$D2437*100)</f>
        <v/>
      </c>
      <c r="G2437" s="8" t="n"/>
      <c r="H2437" s="47">
        <f>IF($F2437="","",REPT("■",ROUND($F2437/5,0)))</f>
        <v/>
      </c>
      <c r="I2437" s="7" t="n"/>
      <c r="J2437" s="7" t="n"/>
      <c r="K2437" s="7" t="n"/>
      <c r="L2437" s="7" t="n"/>
      <c r="M2437" s="7" t="n"/>
      <c r="N2437" s="7" t="n"/>
      <c r="O2437" s="7" t="n"/>
      <c r="P2437" s="8" t="n"/>
    </row>
    <row r="2438">
      <c r="A2438" s="14">
        <f>IF($S$2428="","",INDEX(회차설정!$A$13:$A$27,$S$2428))</f>
        <v/>
      </c>
      <c r="B2438" s="14">
        <f>IF($S$2428="","",INDEX(회차설정!$B$13:$B$27,$S$2428))</f>
        <v/>
      </c>
      <c r="C2438" s="8" t="n"/>
      <c r="D2438" s="14">
        <f>IF($S$2428="","",IF($R$2423="언어와 매체",SUMPRODUCT((자동계산!$A$4:$A$48&gt;=INDEX(회차설정!$C$13:$C$27,$S$2428))*(자동계산!$A$4:$A$48&lt;=INDEX(회차설정!$D$13:$D$27,$S$2428))*자동계산!$E$4:$E$48),SUMPRODUCT((자동계산!$A$4:$A$48&gt;=INDEX(회차설정!$C$13:$C$27,$S$2428))*(자동계산!$A$4:$A$48&lt;=INDEX(회차설정!$D$13:$D$27,$S$2428))*자동계산!$C$4:$C$48)))</f>
        <v/>
      </c>
      <c r="E2438" s="14">
        <f>IF(OR($S$2428="",$R$2422=""),"",SUM(OFFSET(전체채점!$AW$2,$R$2422,INDEX(회차설정!$C$13:$C$27,$S$2428),1,INDEX(회차설정!$D$13:$D$27,$S$2428)-INDEX(회차설정!$C$13:$C$27,$S$2428)+1)))</f>
        <v/>
      </c>
      <c r="F2438" s="46">
        <f>IF(OR($S$2428="",$D2438=0,$D2438="",$E2438=""),"",$E2438/$D2438*100)</f>
        <v/>
      </c>
      <c r="G2438" s="8" t="n"/>
      <c r="H2438" s="47">
        <f>IF($F2438="","",REPT("■",ROUND($F2438/5,0)))</f>
        <v/>
      </c>
      <c r="I2438" s="7" t="n"/>
      <c r="J2438" s="7" t="n"/>
      <c r="K2438" s="7" t="n"/>
      <c r="L2438" s="7" t="n"/>
      <c r="M2438" s="7" t="n"/>
      <c r="N2438" s="7" t="n"/>
      <c r="O2438" s="7" t="n"/>
      <c r="P2438" s="8" t="n"/>
    </row>
    <row r="2439">
      <c r="A2439" s="14">
        <f>IF($S$2429="","",INDEX(회차설정!$A$13:$A$27,$S$2429))</f>
        <v/>
      </c>
      <c r="B2439" s="14">
        <f>IF($S$2429="","",INDEX(회차설정!$B$13:$B$27,$S$2429))</f>
        <v/>
      </c>
      <c r="C2439" s="8" t="n"/>
      <c r="D2439" s="14">
        <f>IF($S$2429="","",IF($R$2423="언어와 매체",SUMPRODUCT((자동계산!$A$4:$A$48&gt;=INDEX(회차설정!$C$13:$C$27,$S$2429))*(자동계산!$A$4:$A$48&lt;=INDEX(회차설정!$D$13:$D$27,$S$2429))*자동계산!$E$4:$E$48),SUMPRODUCT((자동계산!$A$4:$A$48&gt;=INDEX(회차설정!$C$13:$C$27,$S$2429))*(자동계산!$A$4:$A$48&lt;=INDEX(회차설정!$D$13:$D$27,$S$2429))*자동계산!$C$4:$C$48)))</f>
        <v/>
      </c>
      <c r="E2439" s="14">
        <f>IF(OR($S$2429="",$R$2422=""),"",SUM(OFFSET(전체채점!$AW$2,$R$2422,INDEX(회차설정!$C$13:$C$27,$S$2429),1,INDEX(회차설정!$D$13:$D$27,$S$2429)-INDEX(회차설정!$C$13:$C$27,$S$2429)+1)))</f>
        <v/>
      </c>
      <c r="F2439" s="46">
        <f>IF(OR($S$2429="",$D2439=0,$D2439="",$E2439=""),"",$E2439/$D2439*100)</f>
        <v/>
      </c>
      <c r="G2439" s="8" t="n"/>
      <c r="H2439" s="47">
        <f>IF($F2439="","",REPT("■",ROUND($F2439/5,0)))</f>
        <v/>
      </c>
      <c r="I2439" s="7" t="n"/>
      <c r="J2439" s="7" t="n"/>
      <c r="K2439" s="7" t="n"/>
      <c r="L2439" s="7" t="n"/>
      <c r="M2439" s="7" t="n"/>
      <c r="N2439" s="7" t="n"/>
      <c r="O2439" s="7" t="n"/>
      <c r="P2439" s="8" t="n"/>
    </row>
    <row r="2440">
      <c r="A2440" s="14">
        <f>IF($S$2430="","",INDEX(회차설정!$A$13:$A$27,$S$2430))</f>
        <v/>
      </c>
      <c r="B2440" s="14">
        <f>IF($S$2430="","",INDEX(회차설정!$B$13:$B$27,$S$2430))</f>
        <v/>
      </c>
      <c r="C2440" s="8" t="n"/>
      <c r="D2440" s="14">
        <f>IF($S$2430="","",IF($R$2423="언어와 매체",SUMPRODUCT((자동계산!$A$4:$A$48&gt;=INDEX(회차설정!$C$13:$C$27,$S$2430))*(자동계산!$A$4:$A$48&lt;=INDEX(회차설정!$D$13:$D$27,$S$2430))*자동계산!$E$4:$E$48),SUMPRODUCT((자동계산!$A$4:$A$48&gt;=INDEX(회차설정!$C$13:$C$27,$S$2430))*(자동계산!$A$4:$A$48&lt;=INDEX(회차설정!$D$13:$D$27,$S$2430))*자동계산!$C$4:$C$48)))</f>
        <v/>
      </c>
      <c r="E2440" s="14">
        <f>IF(OR($S$2430="",$R$2422=""),"",SUM(OFFSET(전체채점!$AW$2,$R$2422,INDEX(회차설정!$C$13:$C$27,$S$2430),1,INDEX(회차설정!$D$13:$D$27,$S$2430)-INDEX(회차설정!$C$13:$C$27,$S$2430)+1)))</f>
        <v/>
      </c>
      <c r="F2440" s="46">
        <f>IF(OR($S$2430="",$D2440=0,$D2440="",$E2440=""),"",$E2440/$D2440*100)</f>
        <v/>
      </c>
      <c r="G2440" s="8" t="n"/>
      <c r="H2440" s="47">
        <f>IF($F2440="","",REPT("■",ROUND($F2440/5,0)))</f>
        <v/>
      </c>
      <c r="I2440" s="7" t="n"/>
      <c r="J2440" s="7" t="n"/>
      <c r="K2440" s="7" t="n"/>
      <c r="L2440" s="7" t="n"/>
      <c r="M2440" s="7" t="n"/>
      <c r="N2440" s="7" t="n"/>
      <c r="O2440" s="7" t="n"/>
      <c r="P2440" s="8" t="n"/>
    </row>
    <row r="2441">
      <c r="A2441" s="14">
        <f>IF($S$2431="","",INDEX(회차설정!$A$13:$A$27,$S$2431))</f>
        <v/>
      </c>
      <c r="B2441" s="14">
        <f>IF($S$2431="","",INDEX(회차설정!$B$13:$B$27,$S$2431))</f>
        <v/>
      </c>
      <c r="C2441" s="8" t="n"/>
      <c r="D2441" s="14">
        <f>IF($S$2431="","",IF($R$2423="언어와 매체",SUMPRODUCT((자동계산!$A$4:$A$48&gt;=INDEX(회차설정!$C$13:$C$27,$S$2431))*(자동계산!$A$4:$A$48&lt;=INDEX(회차설정!$D$13:$D$27,$S$2431))*자동계산!$E$4:$E$48),SUMPRODUCT((자동계산!$A$4:$A$48&gt;=INDEX(회차설정!$C$13:$C$27,$S$2431))*(자동계산!$A$4:$A$48&lt;=INDEX(회차설정!$D$13:$D$27,$S$2431))*자동계산!$C$4:$C$48)))</f>
        <v/>
      </c>
      <c r="E2441" s="14">
        <f>IF(OR($S$2431="",$R$2422=""),"",SUM(OFFSET(전체채점!$AW$2,$R$2422,INDEX(회차설정!$C$13:$C$27,$S$2431),1,INDEX(회차설정!$D$13:$D$27,$S$2431)-INDEX(회차설정!$C$13:$C$27,$S$2431)+1)))</f>
        <v/>
      </c>
      <c r="F2441" s="46">
        <f>IF(OR($S$2431="",$D2441=0,$D2441="",$E2441=""),"",$E2441/$D2441*100)</f>
        <v/>
      </c>
      <c r="G2441" s="8" t="n"/>
      <c r="H2441" s="47">
        <f>IF($F2441="","",REPT("■",ROUND($F2441/5,0)))</f>
        <v/>
      </c>
      <c r="I2441" s="7" t="n"/>
      <c r="J2441" s="7" t="n"/>
      <c r="K2441" s="7" t="n"/>
      <c r="L2441" s="7" t="n"/>
      <c r="M2441" s="7" t="n"/>
      <c r="N2441" s="7" t="n"/>
      <c r="O2441" s="7" t="n"/>
      <c r="P2441" s="8" t="n"/>
    </row>
    <row r="2442">
      <c r="A2442" s="14">
        <f>IF($S$2432="","",INDEX(회차설정!$A$13:$A$27,$S$2432))</f>
        <v/>
      </c>
      <c r="B2442" s="14">
        <f>IF($S$2432="","",INDEX(회차설정!$B$13:$B$27,$S$2432))</f>
        <v/>
      </c>
      <c r="C2442" s="8" t="n"/>
      <c r="D2442" s="14">
        <f>IF($S$2432="","",IF($R$2423="언어와 매체",SUMPRODUCT((자동계산!$A$4:$A$48&gt;=INDEX(회차설정!$C$13:$C$27,$S$2432))*(자동계산!$A$4:$A$48&lt;=INDEX(회차설정!$D$13:$D$27,$S$2432))*자동계산!$E$4:$E$48),SUMPRODUCT((자동계산!$A$4:$A$48&gt;=INDEX(회차설정!$C$13:$C$27,$S$2432))*(자동계산!$A$4:$A$48&lt;=INDEX(회차설정!$D$13:$D$27,$S$2432))*자동계산!$C$4:$C$48)))</f>
        <v/>
      </c>
      <c r="E2442" s="14">
        <f>IF(OR($S$2432="",$R$2422=""),"",SUM(OFFSET(전체채점!$AW$2,$R$2422,INDEX(회차설정!$C$13:$C$27,$S$2432),1,INDEX(회차설정!$D$13:$D$27,$S$2432)-INDEX(회차설정!$C$13:$C$27,$S$2432)+1)))</f>
        <v/>
      </c>
      <c r="F2442" s="46">
        <f>IF(OR($S$2432="",$D2442=0,$D2442="",$E2442=""),"",$E2442/$D2442*100)</f>
        <v/>
      </c>
      <c r="G2442" s="8" t="n"/>
      <c r="H2442" s="47">
        <f>IF($F2442="","",REPT("■",ROUND($F2442/5,0)))</f>
        <v/>
      </c>
      <c r="I2442" s="7" t="n"/>
      <c r="J2442" s="7" t="n"/>
      <c r="K2442" s="7" t="n"/>
      <c r="L2442" s="7" t="n"/>
      <c r="M2442" s="7" t="n"/>
      <c r="N2442" s="7" t="n"/>
      <c r="O2442" s="7" t="n"/>
      <c r="P2442" s="8" t="n"/>
    </row>
    <row r="2443">
      <c r="A2443" s="14">
        <f>IF($S$2433="","",INDEX(회차설정!$A$13:$A$27,$S$2433))</f>
        <v/>
      </c>
      <c r="B2443" s="14">
        <f>IF($S$2433="","",INDEX(회차설정!$B$13:$B$27,$S$2433))</f>
        <v/>
      </c>
      <c r="C2443" s="8" t="n"/>
      <c r="D2443" s="14">
        <f>IF($S$2433="","",IF($R$2423="언어와 매체",SUMPRODUCT((자동계산!$A$4:$A$48&gt;=INDEX(회차설정!$C$13:$C$27,$S$2433))*(자동계산!$A$4:$A$48&lt;=INDEX(회차설정!$D$13:$D$27,$S$2433))*자동계산!$E$4:$E$48),SUMPRODUCT((자동계산!$A$4:$A$48&gt;=INDEX(회차설정!$C$13:$C$27,$S$2433))*(자동계산!$A$4:$A$48&lt;=INDEX(회차설정!$D$13:$D$27,$S$2433))*자동계산!$C$4:$C$48)))</f>
        <v/>
      </c>
      <c r="E2443" s="14">
        <f>IF(OR($S$2433="",$R$2422=""),"",SUM(OFFSET(전체채점!$AW$2,$R$2422,INDEX(회차설정!$C$13:$C$27,$S$2433),1,INDEX(회차설정!$D$13:$D$27,$S$2433)-INDEX(회차설정!$C$13:$C$27,$S$2433)+1)))</f>
        <v/>
      </c>
      <c r="F2443" s="46">
        <f>IF(OR($S$2433="",$D2443=0,$D2443="",$E2443=""),"",$E2443/$D2443*100)</f>
        <v/>
      </c>
      <c r="G2443" s="8" t="n"/>
      <c r="H2443" s="47">
        <f>IF($F2443="","",REPT("■",ROUND($F2443/5,0)))</f>
        <v/>
      </c>
      <c r="I2443" s="7" t="n"/>
      <c r="J2443" s="7" t="n"/>
      <c r="K2443" s="7" t="n"/>
      <c r="L2443" s="7" t="n"/>
      <c r="M2443" s="7" t="n"/>
      <c r="N2443" s="7" t="n"/>
      <c r="O2443" s="7" t="n"/>
      <c r="P2443" s="8" t="n"/>
    </row>
    <row r="2444">
      <c r="A2444" s="5">
        <f>IF($R$2422="","","합계")</f>
        <v/>
      </c>
      <c r="B2444" s="7" t="n"/>
      <c r="C2444" s="8" t="n"/>
      <c r="D2444" s="5">
        <f>IF($R$2422="","",SUM(D2432:D2443))</f>
        <v/>
      </c>
      <c r="E2444" s="5">
        <f>IF($R$2422="","",SUM(E2432:E2443))</f>
        <v/>
      </c>
      <c r="F2444" s="48">
        <f>IF(OR($D2444=0,$D2444=""),"",$E2444/$D2444*100)</f>
        <v/>
      </c>
      <c r="G2444" s="8" t="n"/>
      <c r="H2444" s="49">
        <f>IF($F2444="","",REPT("■",ROUND($F2444/5,0)))</f>
        <v/>
      </c>
      <c r="I2444" s="7" t="n"/>
      <c r="J2444" s="7" t="n"/>
      <c r="K2444" s="7" t="n"/>
      <c r="L2444" s="7" t="n"/>
      <c r="M2444" s="7" t="n"/>
      <c r="N2444" s="7" t="n"/>
      <c r="O2444" s="7" t="n"/>
      <c r="P2444" s="8" t="n"/>
    </row>
    <row r="2446">
      <c r="A2446" s="12" t="inlineStr">
        <is>
          <t>4. 문항 채점표</t>
        </is>
      </c>
    </row>
    <row r="2447">
      <c r="A2447" s="50" t="inlineStr">
        <is>
          <t>문항 번호</t>
        </is>
      </c>
      <c r="B2447" s="51" t="n">
        <v>1</v>
      </c>
      <c r="C2447" s="51" t="n">
        <v>2</v>
      </c>
      <c r="D2447" s="51" t="n">
        <v>3</v>
      </c>
      <c r="E2447" s="51" t="n">
        <v>4</v>
      </c>
      <c r="F2447" s="51" t="n">
        <v>5</v>
      </c>
      <c r="G2447" s="51" t="n">
        <v>6</v>
      </c>
      <c r="H2447" s="51" t="n">
        <v>7</v>
      </c>
      <c r="I2447" s="51" t="n">
        <v>8</v>
      </c>
      <c r="J2447" s="51" t="n">
        <v>9</v>
      </c>
      <c r="K2447" s="51" t="n">
        <v>10</v>
      </c>
      <c r="L2447" s="51" t="n">
        <v>11</v>
      </c>
      <c r="M2447" s="51" t="n">
        <v>12</v>
      </c>
      <c r="N2447" s="51" t="n">
        <v>13</v>
      </c>
      <c r="O2447" s="51" t="n">
        <v>14</v>
      </c>
      <c r="P2447" s="51" t="n">
        <v>15</v>
      </c>
    </row>
    <row r="2448">
      <c r="A2448" s="52" t="inlineStr">
        <is>
          <t>정답</t>
        </is>
      </c>
      <c r="B2448" s="33">
        <f>IF($R$2423="","",IF($R$2423="언어와 매체",자동계산!$D$4,자동계산!$B$4))</f>
        <v/>
      </c>
      <c r="C2448" s="33">
        <f>IF($R$2423="","",IF($R$2423="언어와 매체",자동계산!$D$5,자동계산!$B$5))</f>
        <v/>
      </c>
      <c r="D2448" s="33">
        <f>IF($R$2423="","",IF($R$2423="언어와 매체",자동계산!$D$6,자동계산!$B$6))</f>
        <v/>
      </c>
      <c r="E2448" s="33">
        <f>IF($R$2423="","",IF($R$2423="언어와 매체",자동계산!$D$7,자동계산!$B$7))</f>
        <v/>
      </c>
      <c r="F2448" s="33">
        <f>IF($R$2423="","",IF($R$2423="언어와 매체",자동계산!$D$8,자동계산!$B$8))</f>
        <v/>
      </c>
      <c r="G2448" s="33">
        <f>IF($R$2423="","",IF($R$2423="언어와 매체",자동계산!$D$9,자동계산!$B$9))</f>
        <v/>
      </c>
      <c r="H2448" s="33">
        <f>IF($R$2423="","",IF($R$2423="언어와 매체",자동계산!$D$10,자동계산!$B$10))</f>
        <v/>
      </c>
      <c r="I2448" s="33">
        <f>IF($R$2423="","",IF($R$2423="언어와 매체",자동계산!$D$11,자동계산!$B$11))</f>
        <v/>
      </c>
      <c r="J2448" s="33">
        <f>IF($R$2423="","",IF($R$2423="언어와 매체",자동계산!$D$12,자동계산!$B$12))</f>
        <v/>
      </c>
      <c r="K2448" s="33">
        <f>IF($R$2423="","",IF($R$2423="언어와 매체",자동계산!$D$13,자동계산!$B$13))</f>
        <v/>
      </c>
      <c r="L2448" s="33">
        <f>IF($R$2423="","",IF($R$2423="언어와 매체",자동계산!$D$14,자동계산!$B$14))</f>
        <v/>
      </c>
      <c r="M2448" s="33">
        <f>IF($R$2423="","",IF($R$2423="언어와 매체",자동계산!$D$15,자동계산!$B$15))</f>
        <v/>
      </c>
      <c r="N2448" s="33">
        <f>IF($R$2423="","",IF($R$2423="언어와 매체",자동계산!$D$16,자동계산!$B$16))</f>
        <v/>
      </c>
      <c r="O2448" s="33">
        <f>IF($R$2423="","",IF($R$2423="언어와 매체",자동계산!$D$17,자동계산!$B$17))</f>
        <v/>
      </c>
      <c r="P2448" s="33">
        <f>IF($R$2423="","",IF($R$2423="언어와 매체",자동계산!$D$18,자동계산!$B$18))</f>
        <v/>
      </c>
    </row>
    <row r="2449">
      <c r="A2449" s="52" t="inlineStr">
        <is>
          <t>학생답안</t>
        </is>
      </c>
      <c r="B2449" s="33">
        <f>IF($R$2422="","",INDEX(전체채점!E$3:E$62,$R$2422))</f>
        <v/>
      </c>
      <c r="C2449" s="33">
        <f>IF($R$2422="","",INDEX(전체채점!F$3:F$62,$R$2422))</f>
        <v/>
      </c>
      <c r="D2449" s="33">
        <f>IF($R$2422="","",INDEX(전체채점!G$3:G$62,$R$2422))</f>
        <v/>
      </c>
      <c r="E2449" s="33">
        <f>IF($R$2422="","",INDEX(전체채점!H$3:H$62,$R$2422))</f>
        <v/>
      </c>
      <c r="F2449" s="33">
        <f>IF($R$2422="","",INDEX(전체채점!I$3:I$62,$R$2422))</f>
        <v/>
      </c>
      <c r="G2449" s="33">
        <f>IF($R$2422="","",INDEX(전체채점!J$3:J$62,$R$2422))</f>
        <v/>
      </c>
      <c r="H2449" s="33">
        <f>IF($R$2422="","",INDEX(전체채점!K$3:K$62,$R$2422))</f>
        <v/>
      </c>
      <c r="I2449" s="33">
        <f>IF($R$2422="","",INDEX(전체채점!L$3:L$62,$R$2422))</f>
        <v/>
      </c>
      <c r="J2449" s="33">
        <f>IF($R$2422="","",INDEX(전체채점!M$3:M$62,$R$2422))</f>
        <v/>
      </c>
      <c r="K2449" s="33">
        <f>IF($R$2422="","",INDEX(전체채점!N$3:N$62,$R$2422))</f>
        <v/>
      </c>
      <c r="L2449" s="33">
        <f>IF($R$2422="","",INDEX(전체채점!O$3:O$62,$R$2422))</f>
        <v/>
      </c>
      <c r="M2449" s="33">
        <f>IF($R$2422="","",INDEX(전체채점!P$3:P$62,$R$2422))</f>
        <v/>
      </c>
      <c r="N2449" s="33">
        <f>IF($R$2422="","",INDEX(전체채점!Q$3:Q$62,$R$2422))</f>
        <v/>
      </c>
      <c r="O2449" s="33">
        <f>IF($R$2422="","",INDEX(전체채점!R$3:R$62,$R$2422))</f>
        <v/>
      </c>
      <c r="P2449" s="33">
        <f>IF($R$2422="","",INDEX(전체채점!S$3:S$62,$R$2422))</f>
        <v/>
      </c>
    </row>
    <row r="2450">
      <c r="A2450" s="52" t="inlineStr">
        <is>
          <t>정오</t>
        </is>
      </c>
      <c r="B2450" s="33">
        <f>IF($R$2422="","",INDEX(전체채점!AX$3:AX$62,$R$2422))</f>
        <v/>
      </c>
      <c r="C2450" s="33">
        <f>IF($R$2422="","",INDEX(전체채점!AY$3:AY$62,$R$2422))</f>
        <v/>
      </c>
      <c r="D2450" s="33">
        <f>IF($R$2422="","",INDEX(전체채점!AZ$3:AZ$62,$R$2422))</f>
        <v/>
      </c>
      <c r="E2450" s="33">
        <f>IF($R$2422="","",INDEX(전체채점!BA$3:BA$62,$R$2422))</f>
        <v/>
      </c>
      <c r="F2450" s="33">
        <f>IF($R$2422="","",INDEX(전체채점!BB$3:BB$62,$R$2422))</f>
        <v/>
      </c>
      <c r="G2450" s="33">
        <f>IF($R$2422="","",INDEX(전체채점!BC$3:BC$62,$R$2422))</f>
        <v/>
      </c>
      <c r="H2450" s="33">
        <f>IF($R$2422="","",INDEX(전체채점!BD$3:BD$62,$R$2422))</f>
        <v/>
      </c>
      <c r="I2450" s="33">
        <f>IF($R$2422="","",INDEX(전체채점!BE$3:BE$62,$R$2422))</f>
        <v/>
      </c>
      <c r="J2450" s="33">
        <f>IF($R$2422="","",INDEX(전체채점!BF$3:BF$62,$R$2422))</f>
        <v/>
      </c>
      <c r="K2450" s="33">
        <f>IF($R$2422="","",INDEX(전체채점!BG$3:BG$62,$R$2422))</f>
        <v/>
      </c>
      <c r="L2450" s="33">
        <f>IF($R$2422="","",INDEX(전체채점!BH$3:BH$62,$R$2422))</f>
        <v/>
      </c>
      <c r="M2450" s="33">
        <f>IF($R$2422="","",INDEX(전체채점!BI$3:BI$62,$R$2422))</f>
        <v/>
      </c>
      <c r="N2450" s="33">
        <f>IF($R$2422="","",INDEX(전체채점!BJ$3:BJ$62,$R$2422))</f>
        <v/>
      </c>
      <c r="O2450" s="33">
        <f>IF($R$2422="","",INDEX(전체채점!BK$3:BK$62,$R$2422))</f>
        <v/>
      </c>
      <c r="P2450" s="33">
        <f>IF($R$2422="","",INDEX(전체채점!BL$3:BL$62,$R$2422))</f>
        <v/>
      </c>
    </row>
    <row r="2451">
      <c r="A2451" s="50" t="inlineStr">
        <is>
          <t>문항 번호</t>
        </is>
      </c>
      <c r="B2451" s="51" t="n">
        <v>16</v>
      </c>
      <c r="C2451" s="51" t="n">
        <v>17</v>
      </c>
      <c r="D2451" s="51" t="n">
        <v>18</v>
      </c>
      <c r="E2451" s="51" t="n">
        <v>19</v>
      </c>
      <c r="F2451" s="51" t="n">
        <v>20</v>
      </c>
      <c r="G2451" s="51" t="n">
        <v>21</v>
      </c>
      <c r="H2451" s="51" t="n">
        <v>22</v>
      </c>
      <c r="I2451" s="51" t="n">
        <v>23</v>
      </c>
      <c r="J2451" s="51" t="n">
        <v>24</v>
      </c>
      <c r="K2451" s="51" t="n">
        <v>25</v>
      </c>
      <c r="L2451" s="51" t="n">
        <v>26</v>
      </c>
      <c r="M2451" s="51" t="n">
        <v>27</v>
      </c>
      <c r="N2451" s="51" t="n">
        <v>28</v>
      </c>
      <c r="O2451" s="51" t="n">
        <v>29</v>
      </c>
      <c r="P2451" s="51" t="n">
        <v>30</v>
      </c>
    </row>
    <row r="2452">
      <c r="A2452" s="52" t="inlineStr">
        <is>
          <t>정답</t>
        </is>
      </c>
      <c r="B2452" s="33">
        <f>IF($R$2423="","",IF($R$2423="언어와 매체",자동계산!$D$19,자동계산!$B$19))</f>
        <v/>
      </c>
      <c r="C2452" s="33">
        <f>IF($R$2423="","",IF($R$2423="언어와 매체",자동계산!$D$20,자동계산!$B$20))</f>
        <v/>
      </c>
      <c r="D2452" s="33">
        <f>IF($R$2423="","",IF($R$2423="언어와 매체",자동계산!$D$21,자동계산!$B$21))</f>
        <v/>
      </c>
      <c r="E2452" s="33">
        <f>IF($R$2423="","",IF($R$2423="언어와 매체",자동계산!$D$22,자동계산!$B$22))</f>
        <v/>
      </c>
      <c r="F2452" s="33">
        <f>IF($R$2423="","",IF($R$2423="언어와 매체",자동계산!$D$23,자동계산!$B$23))</f>
        <v/>
      </c>
      <c r="G2452" s="33">
        <f>IF($R$2423="","",IF($R$2423="언어와 매체",자동계산!$D$24,자동계산!$B$24))</f>
        <v/>
      </c>
      <c r="H2452" s="33">
        <f>IF($R$2423="","",IF($R$2423="언어와 매체",자동계산!$D$25,자동계산!$B$25))</f>
        <v/>
      </c>
      <c r="I2452" s="33">
        <f>IF($R$2423="","",IF($R$2423="언어와 매체",자동계산!$D$26,자동계산!$B$26))</f>
        <v/>
      </c>
      <c r="J2452" s="33">
        <f>IF($R$2423="","",IF($R$2423="언어와 매체",자동계산!$D$27,자동계산!$B$27))</f>
        <v/>
      </c>
      <c r="K2452" s="33">
        <f>IF($R$2423="","",IF($R$2423="언어와 매체",자동계산!$D$28,자동계산!$B$28))</f>
        <v/>
      </c>
      <c r="L2452" s="33">
        <f>IF($R$2423="","",IF($R$2423="언어와 매체",자동계산!$D$29,자동계산!$B$29))</f>
        <v/>
      </c>
      <c r="M2452" s="33">
        <f>IF($R$2423="","",IF($R$2423="언어와 매체",자동계산!$D$30,자동계산!$B$30))</f>
        <v/>
      </c>
      <c r="N2452" s="33">
        <f>IF($R$2423="","",IF($R$2423="언어와 매체",자동계산!$D$31,자동계산!$B$31))</f>
        <v/>
      </c>
      <c r="O2452" s="33">
        <f>IF($R$2423="","",IF($R$2423="언어와 매체",자동계산!$D$32,자동계산!$B$32))</f>
        <v/>
      </c>
      <c r="P2452" s="33">
        <f>IF($R$2423="","",IF($R$2423="언어와 매체",자동계산!$D$33,자동계산!$B$33))</f>
        <v/>
      </c>
    </row>
    <row r="2453">
      <c r="A2453" s="52" t="inlineStr">
        <is>
          <t>학생답안</t>
        </is>
      </c>
      <c r="B2453" s="33">
        <f>IF($R$2422="","",INDEX(전체채점!T$3:T$62,$R$2422))</f>
        <v/>
      </c>
      <c r="C2453" s="33">
        <f>IF($R$2422="","",INDEX(전체채점!U$3:U$62,$R$2422))</f>
        <v/>
      </c>
      <c r="D2453" s="33">
        <f>IF($R$2422="","",INDEX(전체채점!V$3:V$62,$R$2422))</f>
        <v/>
      </c>
      <c r="E2453" s="33">
        <f>IF($R$2422="","",INDEX(전체채점!W$3:W$62,$R$2422))</f>
        <v/>
      </c>
      <c r="F2453" s="33">
        <f>IF($R$2422="","",INDEX(전체채점!X$3:X$62,$R$2422))</f>
        <v/>
      </c>
      <c r="G2453" s="33">
        <f>IF($R$2422="","",INDEX(전체채점!Y$3:Y$62,$R$2422))</f>
        <v/>
      </c>
      <c r="H2453" s="33">
        <f>IF($R$2422="","",INDEX(전체채점!Z$3:Z$62,$R$2422))</f>
        <v/>
      </c>
      <c r="I2453" s="33">
        <f>IF($R$2422="","",INDEX(전체채점!AA$3:AA$62,$R$2422))</f>
        <v/>
      </c>
      <c r="J2453" s="33">
        <f>IF($R$2422="","",INDEX(전체채점!AB$3:AB$62,$R$2422))</f>
        <v/>
      </c>
      <c r="K2453" s="33">
        <f>IF($R$2422="","",INDEX(전체채점!AC$3:AC$62,$R$2422))</f>
        <v/>
      </c>
      <c r="L2453" s="33">
        <f>IF($R$2422="","",INDEX(전체채점!AD$3:AD$62,$R$2422))</f>
        <v/>
      </c>
      <c r="M2453" s="33">
        <f>IF($R$2422="","",INDEX(전체채점!AE$3:AE$62,$R$2422))</f>
        <v/>
      </c>
      <c r="N2453" s="33">
        <f>IF($R$2422="","",INDEX(전체채점!AF$3:AF$62,$R$2422))</f>
        <v/>
      </c>
      <c r="O2453" s="33">
        <f>IF($R$2422="","",INDEX(전체채점!AG$3:AG$62,$R$2422))</f>
        <v/>
      </c>
      <c r="P2453" s="33">
        <f>IF($R$2422="","",INDEX(전체채점!AH$3:AH$62,$R$2422))</f>
        <v/>
      </c>
    </row>
    <row r="2454">
      <c r="A2454" s="52" t="inlineStr">
        <is>
          <t>정오</t>
        </is>
      </c>
      <c r="B2454" s="33">
        <f>IF($R$2422="","",INDEX(전체채점!BM$3:BM$62,$R$2422))</f>
        <v/>
      </c>
      <c r="C2454" s="33">
        <f>IF($R$2422="","",INDEX(전체채점!BN$3:BN$62,$R$2422))</f>
        <v/>
      </c>
      <c r="D2454" s="33">
        <f>IF($R$2422="","",INDEX(전체채점!BO$3:BO$62,$R$2422))</f>
        <v/>
      </c>
      <c r="E2454" s="33">
        <f>IF($R$2422="","",INDEX(전체채점!BP$3:BP$62,$R$2422))</f>
        <v/>
      </c>
      <c r="F2454" s="33">
        <f>IF($R$2422="","",INDEX(전체채점!BQ$3:BQ$62,$R$2422))</f>
        <v/>
      </c>
      <c r="G2454" s="33">
        <f>IF($R$2422="","",INDEX(전체채점!BR$3:BR$62,$R$2422))</f>
        <v/>
      </c>
      <c r="H2454" s="33">
        <f>IF($R$2422="","",INDEX(전체채점!BS$3:BS$62,$R$2422))</f>
        <v/>
      </c>
      <c r="I2454" s="33">
        <f>IF($R$2422="","",INDEX(전체채점!BT$3:BT$62,$R$2422))</f>
        <v/>
      </c>
      <c r="J2454" s="33">
        <f>IF($R$2422="","",INDEX(전체채점!BU$3:BU$62,$R$2422))</f>
        <v/>
      </c>
      <c r="K2454" s="33">
        <f>IF($R$2422="","",INDEX(전체채점!BV$3:BV$62,$R$2422))</f>
        <v/>
      </c>
      <c r="L2454" s="33">
        <f>IF($R$2422="","",INDEX(전체채점!BW$3:BW$62,$R$2422))</f>
        <v/>
      </c>
      <c r="M2454" s="33">
        <f>IF($R$2422="","",INDEX(전체채점!BX$3:BX$62,$R$2422))</f>
        <v/>
      </c>
      <c r="N2454" s="33">
        <f>IF($R$2422="","",INDEX(전체채점!BY$3:BY$62,$R$2422))</f>
        <v/>
      </c>
      <c r="O2454" s="33">
        <f>IF($R$2422="","",INDEX(전체채점!BZ$3:BZ$62,$R$2422))</f>
        <v/>
      </c>
      <c r="P2454" s="33">
        <f>IF($R$2422="","",INDEX(전체채점!CA$3:CA$62,$R$2422))</f>
        <v/>
      </c>
    </row>
    <row r="2455">
      <c r="A2455" s="50" t="inlineStr">
        <is>
          <t>문항 번호</t>
        </is>
      </c>
      <c r="B2455" s="51" t="n">
        <v>31</v>
      </c>
      <c r="C2455" s="51" t="n">
        <v>32</v>
      </c>
      <c r="D2455" s="51" t="n">
        <v>33</v>
      </c>
      <c r="E2455" s="51" t="n">
        <v>34</v>
      </c>
      <c r="F2455" s="51" t="n">
        <v>35</v>
      </c>
      <c r="G2455" s="51" t="n">
        <v>36</v>
      </c>
      <c r="H2455" s="51" t="n">
        <v>37</v>
      </c>
      <c r="I2455" s="51" t="n">
        <v>38</v>
      </c>
      <c r="J2455" s="51" t="n">
        <v>39</v>
      </c>
      <c r="K2455" s="51" t="n">
        <v>40</v>
      </c>
      <c r="L2455" s="51" t="n">
        <v>41</v>
      </c>
      <c r="M2455" s="51" t="n">
        <v>42</v>
      </c>
      <c r="N2455" s="51" t="n">
        <v>43</v>
      </c>
      <c r="O2455" s="51" t="n">
        <v>44</v>
      </c>
      <c r="P2455" s="51" t="n">
        <v>45</v>
      </c>
    </row>
    <row r="2456">
      <c r="A2456" s="52" t="inlineStr">
        <is>
          <t>정답</t>
        </is>
      </c>
      <c r="B2456" s="33">
        <f>IF($R$2423="","",IF($R$2423="언어와 매체",자동계산!$D$34,자동계산!$B$34))</f>
        <v/>
      </c>
      <c r="C2456" s="33">
        <f>IF($R$2423="","",IF($R$2423="언어와 매체",자동계산!$D$35,자동계산!$B$35))</f>
        <v/>
      </c>
      <c r="D2456" s="33">
        <f>IF($R$2423="","",IF($R$2423="언어와 매체",자동계산!$D$36,자동계산!$B$36))</f>
        <v/>
      </c>
      <c r="E2456" s="33">
        <f>IF($R$2423="","",IF($R$2423="언어와 매체",자동계산!$D$37,자동계산!$B$37))</f>
        <v/>
      </c>
      <c r="F2456" s="33">
        <f>IF($R$2423="","",IF($R$2423="언어와 매체",자동계산!$D$38,자동계산!$B$38))</f>
        <v/>
      </c>
      <c r="G2456" s="33">
        <f>IF($R$2423="","",IF($R$2423="언어와 매체",자동계산!$D$39,자동계산!$B$39))</f>
        <v/>
      </c>
      <c r="H2456" s="33">
        <f>IF($R$2423="","",IF($R$2423="언어와 매체",자동계산!$D$40,자동계산!$B$40))</f>
        <v/>
      </c>
      <c r="I2456" s="33">
        <f>IF($R$2423="","",IF($R$2423="언어와 매체",자동계산!$D$41,자동계산!$B$41))</f>
        <v/>
      </c>
      <c r="J2456" s="33">
        <f>IF($R$2423="","",IF($R$2423="언어와 매체",자동계산!$D$42,자동계산!$B$42))</f>
        <v/>
      </c>
      <c r="K2456" s="33">
        <f>IF($R$2423="","",IF($R$2423="언어와 매체",자동계산!$D$43,자동계산!$B$43))</f>
        <v/>
      </c>
      <c r="L2456" s="33">
        <f>IF($R$2423="","",IF($R$2423="언어와 매체",자동계산!$D$44,자동계산!$B$44))</f>
        <v/>
      </c>
      <c r="M2456" s="33">
        <f>IF($R$2423="","",IF($R$2423="언어와 매체",자동계산!$D$45,자동계산!$B$45))</f>
        <v/>
      </c>
      <c r="N2456" s="33">
        <f>IF($R$2423="","",IF($R$2423="언어와 매체",자동계산!$D$46,자동계산!$B$46))</f>
        <v/>
      </c>
      <c r="O2456" s="33">
        <f>IF($R$2423="","",IF($R$2423="언어와 매체",자동계산!$D$47,자동계산!$B$47))</f>
        <v/>
      </c>
      <c r="P2456" s="33">
        <f>IF($R$2423="","",IF($R$2423="언어와 매체",자동계산!$D$48,자동계산!$B$48))</f>
        <v/>
      </c>
    </row>
    <row r="2457">
      <c r="A2457" s="52" t="inlineStr">
        <is>
          <t>학생답안</t>
        </is>
      </c>
      <c r="B2457" s="33">
        <f>IF($R$2422="","",INDEX(전체채점!AI$3:AI$62,$R$2422))</f>
        <v/>
      </c>
      <c r="C2457" s="33">
        <f>IF($R$2422="","",INDEX(전체채점!AJ$3:AJ$62,$R$2422))</f>
        <v/>
      </c>
      <c r="D2457" s="33">
        <f>IF($R$2422="","",INDEX(전체채점!AK$3:AK$62,$R$2422))</f>
        <v/>
      </c>
      <c r="E2457" s="33">
        <f>IF($R$2422="","",INDEX(전체채점!AL$3:AL$62,$R$2422))</f>
        <v/>
      </c>
      <c r="F2457" s="33">
        <f>IF($R$2422="","",INDEX(전체채점!AM$3:AM$62,$R$2422))</f>
        <v/>
      </c>
      <c r="G2457" s="33">
        <f>IF($R$2422="","",INDEX(전체채점!AN$3:AN$62,$R$2422))</f>
        <v/>
      </c>
      <c r="H2457" s="33">
        <f>IF($R$2422="","",INDEX(전체채점!AO$3:AO$62,$R$2422))</f>
        <v/>
      </c>
      <c r="I2457" s="33">
        <f>IF($R$2422="","",INDEX(전체채점!AP$3:AP$62,$R$2422))</f>
        <v/>
      </c>
      <c r="J2457" s="33">
        <f>IF($R$2422="","",INDEX(전체채점!AQ$3:AQ$62,$R$2422))</f>
        <v/>
      </c>
      <c r="K2457" s="33">
        <f>IF($R$2422="","",INDEX(전체채점!AR$3:AR$62,$R$2422))</f>
        <v/>
      </c>
      <c r="L2457" s="33">
        <f>IF($R$2422="","",INDEX(전체채점!AS$3:AS$62,$R$2422))</f>
        <v/>
      </c>
      <c r="M2457" s="33">
        <f>IF($R$2422="","",INDEX(전체채점!AT$3:AT$62,$R$2422))</f>
        <v/>
      </c>
      <c r="N2457" s="33">
        <f>IF($R$2422="","",INDEX(전체채점!AU$3:AU$62,$R$2422))</f>
        <v/>
      </c>
      <c r="O2457" s="33">
        <f>IF($R$2422="","",INDEX(전체채점!AV$3:AV$62,$R$2422))</f>
        <v/>
      </c>
      <c r="P2457" s="33">
        <f>IF($R$2422="","",INDEX(전체채점!AW$3:AW$62,$R$2422))</f>
        <v/>
      </c>
    </row>
    <row r="2458">
      <c r="A2458" s="52" t="inlineStr">
        <is>
          <t>정오</t>
        </is>
      </c>
      <c r="B2458" s="33">
        <f>IF($R$2422="","",INDEX(전체채점!CB$3:CB$62,$R$2422))</f>
        <v/>
      </c>
      <c r="C2458" s="33">
        <f>IF($R$2422="","",INDEX(전체채점!CC$3:CC$62,$R$2422))</f>
        <v/>
      </c>
      <c r="D2458" s="33">
        <f>IF($R$2422="","",INDEX(전체채점!CD$3:CD$62,$R$2422))</f>
        <v/>
      </c>
      <c r="E2458" s="33">
        <f>IF($R$2422="","",INDEX(전체채점!CE$3:CE$62,$R$2422))</f>
        <v/>
      </c>
      <c r="F2458" s="33">
        <f>IF($R$2422="","",INDEX(전체채점!CF$3:CF$62,$R$2422))</f>
        <v/>
      </c>
      <c r="G2458" s="33">
        <f>IF($R$2422="","",INDEX(전체채점!CG$3:CG$62,$R$2422))</f>
        <v/>
      </c>
      <c r="H2458" s="33">
        <f>IF($R$2422="","",INDEX(전체채점!CH$3:CH$62,$R$2422))</f>
        <v/>
      </c>
      <c r="I2458" s="33">
        <f>IF($R$2422="","",INDEX(전체채점!CI$3:CI$62,$R$2422))</f>
        <v/>
      </c>
      <c r="J2458" s="33">
        <f>IF($R$2422="","",INDEX(전체채점!CJ$3:CJ$62,$R$2422))</f>
        <v/>
      </c>
      <c r="K2458" s="33">
        <f>IF($R$2422="","",INDEX(전체채점!CK$3:CK$62,$R$2422))</f>
        <v/>
      </c>
      <c r="L2458" s="33">
        <f>IF($R$2422="","",INDEX(전체채점!CL$3:CL$62,$R$2422))</f>
        <v/>
      </c>
      <c r="M2458" s="33">
        <f>IF($R$2422="","",INDEX(전체채점!CM$3:CM$62,$R$2422))</f>
        <v/>
      </c>
      <c r="N2458" s="33">
        <f>IF($R$2422="","",INDEX(전체채점!CN$3:CN$62,$R$2422))</f>
        <v/>
      </c>
      <c r="O2458" s="33">
        <f>IF($R$2422="","",INDEX(전체채점!CO$3:CO$62,$R$2422))</f>
        <v/>
      </c>
      <c r="P2458" s="33">
        <f>IF($R$2422="","",INDEX(전체채점!CP$3:CP$62,$R$2422))</f>
        <v/>
      </c>
    </row>
  </sheetData>
  <mergeCells count="3600">
    <mergeCell ref="A128:C128"/>
    <mergeCell ref="F1532:G1532"/>
    <mergeCell ref="F473:G473"/>
    <mergeCell ref="H757:P757"/>
    <mergeCell ref="H879:P879"/>
    <mergeCell ref="H1816:P1816"/>
    <mergeCell ref="F16:G16"/>
    <mergeCell ref="H2054:K2054"/>
    <mergeCell ref="F681:G681"/>
    <mergeCell ref="H1213:P1213"/>
    <mergeCell ref="H2382:K2382"/>
    <mergeCell ref="F1865:G1865"/>
    <mergeCell ref="F472:G472"/>
    <mergeCell ref="A206:P206"/>
    <mergeCell ref="B1705:C1705"/>
    <mergeCell ref="F466:G466"/>
    <mergeCell ref="B675:C675"/>
    <mergeCell ref="H1940:P1940"/>
    <mergeCell ref="I992:L992"/>
    <mergeCell ref="F1742:G1742"/>
    <mergeCell ref="I2182:L2182"/>
    <mergeCell ref="D1645:G1645"/>
    <mergeCell ref="B1736:C1736"/>
    <mergeCell ref="L1030:P1030"/>
    <mergeCell ref="L1152:P1152"/>
    <mergeCell ref="H597:P597"/>
    <mergeCell ref="D1193:G1193"/>
    <mergeCell ref="B1089:C1089"/>
    <mergeCell ref="L2055:P2055"/>
    <mergeCell ref="I993:L993"/>
    <mergeCell ref="F1403:H1403"/>
    <mergeCell ref="H1867:P1867"/>
    <mergeCell ref="H468:P468"/>
    <mergeCell ref="B2359:C2359"/>
    <mergeCell ref="H1658:P1658"/>
    <mergeCell ref="H599:P599"/>
    <mergeCell ref="H742:K742"/>
    <mergeCell ref="F2310:G2310"/>
    <mergeCell ref="B2150:C2150"/>
    <mergeCell ref="M2304:P2304"/>
    <mergeCell ref="L2424:P2424"/>
    <mergeCell ref="H1571:P1571"/>
    <mergeCell ref="F134:P134"/>
    <mergeCell ref="A1238:E1238"/>
    <mergeCell ref="H1869:P1869"/>
    <mergeCell ref="H1767:K1767"/>
    <mergeCell ref="A2428:E2428"/>
    <mergeCell ref="H592:P592"/>
    <mergeCell ref="F1128:G1128"/>
    <mergeCell ref="B2361:C2361"/>
    <mergeCell ref="F96:G96"/>
    <mergeCell ref="F1122:G1122"/>
    <mergeCell ref="B1329:C1329"/>
    <mergeCell ref="B1904:C1904"/>
    <mergeCell ref="M90:P90"/>
    <mergeCell ref="B1003:C1003"/>
    <mergeCell ref="H1993:P1993"/>
    <mergeCell ref="H1653:P1653"/>
    <mergeCell ref="F1130:G1130"/>
    <mergeCell ref="F98:G98"/>
    <mergeCell ref="H382:P382"/>
    <mergeCell ref="I705:L705"/>
    <mergeCell ref="M214:P214"/>
    <mergeCell ref="A944:P944"/>
    <mergeCell ref="L1808:P1808"/>
    <mergeCell ref="H1870:P1870"/>
    <mergeCell ref="I1895:L1895"/>
    <mergeCell ref="F1580:G1580"/>
    <mergeCell ref="D1849:G1849"/>
    <mergeCell ref="A1542:C1542"/>
    <mergeCell ref="B390:C390"/>
    <mergeCell ref="F1651:P1651"/>
    <mergeCell ref="A2259:C2259"/>
    <mergeCell ref="F1457:G1457"/>
    <mergeCell ref="A1313:P1313"/>
    <mergeCell ref="H923:P923"/>
    <mergeCell ref="F1125:G1125"/>
    <mergeCell ref="I706:L706"/>
    <mergeCell ref="B721:C721"/>
    <mergeCell ref="A1235:C1235"/>
    <mergeCell ref="M2017:P2017"/>
    <mergeCell ref="B714:C714"/>
    <mergeCell ref="H1284:P1284"/>
    <mergeCell ref="H1582:P1582"/>
    <mergeCell ref="B1776:C1776"/>
    <mergeCell ref="F1911:G1911"/>
    <mergeCell ref="A2141:E2141"/>
    <mergeCell ref="B2074:C2074"/>
    <mergeCell ref="H1070:K1070"/>
    <mergeCell ref="F2025:G2025"/>
    <mergeCell ref="H2309:P2309"/>
    <mergeCell ref="M2386:P2386"/>
    <mergeCell ref="B1775:C1775"/>
    <mergeCell ref="B716:C716"/>
    <mergeCell ref="F843:G843"/>
    <mergeCell ref="H1127:P1127"/>
    <mergeCell ref="H95:P95"/>
    <mergeCell ref="H1285:P1285"/>
    <mergeCell ref="H2311:P2311"/>
    <mergeCell ref="H1583:P1583"/>
    <mergeCell ref="B1777:C1777"/>
    <mergeCell ref="A1:P1"/>
    <mergeCell ref="A1255:C1255"/>
    <mergeCell ref="M1197:P1197"/>
    <mergeCell ref="F2026:G2026"/>
    <mergeCell ref="H2310:P2310"/>
    <mergeCell ref="H97:P97"/>
    <mergeCell ref="D661:G661"/>
    <mergeCell ref="A1026:P1026"/>
    <mergeCell ref="H1287:P1287"/>
    <mergeCell ref="F1607:H1607"/>
    <mergeCell ref="F2237:G2237"/>
    <mergeCell ref="A2341:C2341"/>
    <mergeCell ref="F838:G838"/>
    <mergeCell ref="B434:C434"/>
    <mergeCell ref="B1047:C1047"/>
    <mergeCell ref="B15:C15"/>
    <mergeCell ref="F419:H419"/>
    <mergeCell ref="B918:C918"/>
    <mergeCell ref="H1726:K1726"/>
    <mergeCell ref="B2108:C2108"/>
    <mergeCell ref="B1049:C1049"/>
    <mergeCell ref="F1444:H1444"/>
    <mergeCell ref="F1624:G1624"/>
    <mergeCell ref="H1908:P1908"/>
    <mergeCell ref="B2431:C2431"/>
    <mergeCell ref="H783:K783"/>
    <mergeCell ref="F2110:G2110"/>
    <mergeCell ref="F266:G266"/>
    <mergeCell ref="H550:P550"/>
    <mergeCell ref="M2099:P2099"/>
    <mergeCell ref="B1042:C1042"/>
    <mergeCell ref="M583:P583"/>
    <mergeCell ref="A1608:E1608"/>
    <mergeCell ref="B2433:C2433"/>
    <mergeCell ref="H840:P840"/>
    <mergeCell ref="F1169:G1169"/>
    <mergeCell ref="B1376:C1376"/>
    <mergeCell ref="H537:K537"/>
    <mergeCell ref="F137:G137"/>
    <mergeCell ref="H1727:K1727"/>
    <mergeCell ref="H552:P552"/>
    <mergeCell ref="H1909:P1909"/>
    <mergeCell ref="H886:P886"/>
    <mergeCell ref="M910:P910"/>
    <mergeCell ref="F925:G925"/>
    <mergeCell ref="H1209:P1209"/>
    <mergeCell ref="B1701:C1701"/>
    <mergeCell ref="F139:G139"/>
    <mergeCell ref="H423:P423"/>
    <mergeCell ref="F1652:G1652"/>
    <mergeCell ref="L1849:P1849"/>
    <mergeCell ref="F1950:G1950"/>
    <mergeCell ref="B760:C760"/>
    <mergeCell ref="F1986:G1986"/>
    <mergeCell ref="D128:G128"/>
    <mergeCell ref="F470:G470"/>
    <mergeCell ref="L825:P825"/>
    <mergeCell ref="F1952:G1952"/>
    <mergeCell ref="F920:G920"/>
    <mergeCell ref="H1439:K1439"/>
    <mergeCell ref="B1821:C1821"/>
    <mergeCell ref="B762:C762"/>
    <mergeCell ref="B1734:C1734"/>
    <mergeCell ref="F1823:G1823"/>
    <mergeCell ref="H263:P263"/>
    <mergeCell ref="B2154:C2154"/>
    <mergeCell ref="H1654:P1654"/>
    <mergeCell ref="L2178:P2178"/>
    <mergeCell ref="F1526:H1526"/>
    <mergeCell ref="B2146:C2146"/>
    <mergeCell ref="B791:C791"/>
    <mergeCell ref="F1249:G1249"/>
    <mergeCell ref="H250:K250"/>
    <mergeCell ref="H1440:K1440"/>
    <mergeCell ref="H265:P265"/>
    <mergeCell ref="B2156:C2156"/>
    <mergeCell ref="F795:G795"/>
    <mergeCell ref="B2148:C2148"/>
    <mergeCell ref="H922:P922"/>
    <mergeCell ref="F1251:G1251"/>
    <mergeCell ref="H619:K619"/>
    <mergeCell ref="H590:P590"/>
    <mergeCell ref="A1029:C1029"/>
    <mergeCell ref="I500:L500"/>
    <mergeCell ref="F788:H788"/>
    <mergeCell ref="F2276:G2276"/>
    <mergeCell ref="H924:P924"/>
    <mergeCell ref="F2312:G2312"/>
    <mergeCell ref="F2268:G2268"/>
    <mergeCell ref="F183:G183"/>
    <mergeCell ref="F796:G796"/>
    <mergeCell ref="L538:P538"/>
    <mergeCell ref="F2278:G2278"/>
    <mergeCell ref="D2301:G2301"/>
    <mergeCell ref="A2382:C2382"/>
    <mergeCell ref="B475:C475"/>
    <mergeCell ref="B263:C263"/>
    <mergeCell ref="A866:C866"/>
    <mergeCell ref="F2182:H2182"/>
    <mergeCell ref="H1253:P1253"/>
    <mergeCell ref="B1447:C1447"/>
    <mergeCell ref="A1812:E1812"/>
    <mergeCell ref="B1745:C1745"/>
    <mergeCell ref="B1867:C1867"/>
    <mergeCell ref="H1951:P1951"/>
    <mergeCell ref="B229:C229"/>
    <mergeCell ref="B1903:C1903"/>
    <mergeCell ref="H921:P921"/>
    <mergeCell ref="H1980:P1980"/>
    <mergeCell ref="B387:C387"/>
    <mergeCell ref="A746:E746"/>
    <mergeCell ref="H1377:P1377"/>
    <mergeCell ref="B1571:C1571"/>
    <mergeCell ref="H1153:K1153"/>
    <mergeCell ref="A2383:C2383"/>
    <mergeCell ref="B1869:C1869"/>
    <mergeCell ref="B1905:C1905"/>
    <mergeCell ref="B258:C258"/>
    <mergeCell ref="H1982:P1982"/>
    <mergeCell ref="H2280:P2280"/>
    <mergeCell ref="F964:G964"/>
    <mergeCell ref="H189:P189"/>
    <mergeCell ref="H332:K332"/>
    <mergeCell ref="H1248:P1248"/>
    <mergeCell ref="H2438:P2438"/>
    <mergeCell ref="A742:C742"/>
    <mergeCell ref="H916:P916"/>
    <mergeCell ref="B260:C260"/>
    <mergeCell ref="L1194:P1194"/>
    <mergeCell ref="F966:G966"/>
    <mergeCell ref="H1250:P1250"/>
    <mergeCell ref="F509:G509"/>
    <mergeCell ref="H793:P793"/>
    <mergeCell ref="A1767:C1767"/>
    <mergeCell ref="M870:P870"/>
    <mergeCell ref="F1693:G1693"/>
    <mergeCell ref="F1991:G1991"/>
    <mergeCell ref="F2027:G2027"/>
    <mergeCell ref="A2014:C2014"/>
    <mergeCell ref="I1485:L1485"/>
    <mergeCell ref="F1115:H1115"/>
    <mergeCell ref="H2308:P2308"/>
    <mergeCell ref="B1458:C1458"/>
    <mergeCell ref="A9:E9"/>
    <mergeCell ref="B309:C309"/>
    <mergeCell ref="H634:P634"/>
    <mergeCell ref="B100:C100"/>
    <mergeCell ref="M254:P254"/>
    <mergeCell ref="B1370:C1370"/>
    <mergeCell ref="B311:C311"/>
    <mergeCell ref="B2396:C2396"/>
    <mergeCell ref="H1695:P1695"/>
    <mergeCell ref="B1161:C1161"/>
    <mergeCell ref="B102:C102"/>
    <mergeCell ref="H1235:K1235"/>
    <mergeCell ref="F1622:G1622"/>
    <mergeCell ref="H635:P635"/>
    <mergeCell ref="H1906:P1906"/>
    <mergeCell ref="H629:P629"/>
    <mergeCell ref="F1165:G1165"/>
    <mergeCell ref="B1372:C1372"/>
    <mergeCell ref="H2064:P2064"/>
    <mergeCell ref="H2362:P2362"/>
    <mergeCell ref="H548:P548"/>
    <mergeCell ref="H963:P963"/>
    <mergeCell ref="H882:P882"/>
    <mergeCell ref="F1167:G1167"/>
    <mergeCell ref="F135:G135"/>
    <mergeCell ref="F433:G433"/>
    <mergeCell ref="F1325:G1325"/>
    <mergeCell ref="F1623:G1623"/>
    <mergeCell ref="A1853:E1853"/>
    <mergeCell ref="F591:G591"/>
    <mergeCell ref="F224:G224"/>
    <mergeCell ref="F1617:G1617"/>
    <mergeCell ref="B756:C756"/>
    <mergeCell ref="H2021:P2021"/>
    <mergeCell ref="F954:P954"/>
    <mergeCell ref="F435:G435"/>
    <mergeCell ref="F1494:G1494"/>
    <mergeCell ref="D2342:G2342"/>
    <mergeCell ref="F1197:H1197"/>
    <mergeCell ref="F2223:H2223"/>
    <mergeCell ref="F1162:G1162"/>
    <mergeCell ref="B758:C758"/>
    <mergeCell ref="B1817:C1817"/>
    <mergeCell ref="A91:E91"/>
    <mergeCell ref="B24:C24"/>
    <mergeCell ref="H259:P259"/>
    <mergeCell ref="B751:C751"/>
    <mergeCell ref="H1619:P1619"/>
    <mergeCell ref="H45:K45"/>
    <mergeCell ref="B840:C840"/>
    <mergeCell ref="B1085:C1085"/>
    <mergeCell ref="M1239:P1239"/>
    <mergeCell ref="B2275:C2275"/>
    <mergeCell ref="B2269:C2269"/>
    <mergeCell ref="H261:P261"/>
    <mergeCell ref="B753:C753"/>
    <mergeCell ref="H350:P350"/>
    <mergeCell ref="F1247:G1247"/>
    <mergeCell ref="D702:G702"/>
    <mergeCell ref="B1087:C1087"/>
    <mergeCell ref="F146:G146"/>
    <mergeCell ref="F1038:G1038"/>
    <mergeCell ref="F1336:G1336"/>
    <mergeCell ref="H1620:P1620"/>
    <mergeCell ref="F304:G304"/>
    <mergeCell ref="F2308:G2308"/>
    <mergeCell ref="A1727:C1727"/>
    <mergeCell ref="D2055:G2055"/>
    <mergeCell ref="F2397:G2397"/>
    <mergeCell ref="H1622:P1622"/>
    <mergeCell ref="F306:G306"/>
    <mergeCell ref="F2274:G2274"/>
    <mergeCell ref="F910:H910"/>
    <mergeCell ref="H1780:P1780"/>
    <mergeCell ref="B471:C471"/>
    <mergeCell ref="D1029:G1029"/>
    <mergeCell ref="B464:C464"/>
    <mergeCell ref="F635:G635"/>
    <mergeCell ref="B352:C352"/>
    <mergeCell ref="M952:P952"/>
    <mergeCell ref="F1333:G1333"/>
    <mergeCell ref="B1988:C1988"/>
    <mergeCell ref="H2219:K2219"/>
    <mergeCell ref="B1865:C1865"/>
    <mergeCell ref="F303:G303"/>
    <mergeCell ref="B472:C472"/>
    <mergeCell ref="H1164:P1164"/>
    <mergeCell ref="B466:C466"/>
    <mergeCell ref="D2382:G2382"/>
    <mergeCell ref="F1992:G1992"/>
    <mergeCell ref="B1742:C1742"/>
    <mergeCell ref="B1413:C1413"/>
    <mergeCell ref="H1375:P1375"/>
    <mergeCell ref="H2067:P2067"/>
    <mergeCell ref="D1358:G1358"/>
    <mergeCell ref="F296:H296"/>
    <mergeCell ref="H1491:P1491"/>
    <mergeCell ref="A250:C250"/>
    <mergeCell ref="F962:G962"/>
    <mergeCell ref="A1440:C1440"/>
    <mergeCell ref="F1566:H1566"/>
    <mergeCell ref="B1738:C1738"/>
    <mergeCell ref="H2436:P2436"/>
    <mergeCell ref="H1037:P1037"/>
    <mergeCell ref="H1335:P1335"/>
    <mergeCell ref="F1987:G1987"/>
    <mergeCell ref="A619:C619"/>
    <mergeCell ref="F2023:G2023"/>
    <mergeCell ref="H2062:P2062"/>
    <mergeCell ref="F2321:G2321"/>
    <mergeCell ref="F507:G507"/>
    <mergeCell ref="H1247:P1247"/>
    <mergeCell ref="F1989:G1989"/>
    <mergeCell ref="B96:C96"/>
    <mergeCell ref="H1932:K1932"/>
    <mergeCell ref="H300:P300"/>
    <mergeCell ref="B1614:C1614"/>
    <mergeCell ref="B98:C98"/>
    <mergeCell ref="L1276:P1276"/>
    <mergeCell ref="H2147:P2147"/>
    <mergeCell ref="H1088:P1088"/>
    <mergeCell ref="H631:P631"/>
    <mergeCell ref="B1580:C1580"/>
    <mergeCell ref="H965:P965"/>
    <mergeCell ref="F675:G675"/>
    <mergeCell ref="H959:P959"/>
    <mergeCell ref="I869:L869"/>
    <mergeCell ref="F1288:G1288"/>
    <mergeCell ref="B1451:C1451"/>
    <mergeCell ref="B1457:C1457"/>
    <mergeCell ref="H2149:P2149"/>
    <mergeCell ref="F1700:G1700"/>
    <mergeCell ref="F1815:P1815"/>
    <mergeCell ref="F2349:G2349"/>
    <mergeCell ref="F264:G264"/>
    <mergeCell ref="F220:G220"/>
    <mergeCell ref="H1562:K1562"/>
    <mergeCell ref="F676:G676"/>
    <mergeCell ref="F749:P749"/>
    <mergeCell ref="H960:P960"/>
    <mergeCell ref="F1702:G1702"/>
    <mergeCell ref="H2260:K2260"/>
    <mergeCell ref="H2144:P2144"/>
    <mergeCell ref="F222:G222"/>
    <mergeCell ref="D1070:G1070"/>
    <mergeCell ref="I2386:L2386"/>
    <mergeCell ref="L906:P906"/>
    <mergeCell ref="B1940:C1940"/>
    <mergeCell ref="B424:C424"/>
    <mergeCell ref="H1414:P1414"/>
    <mergeCell ref="H21:P21"/>
    <mergeCell ref="F11:P11"/>
    <mergeCell ref="B1906:C1906"/>
    <mergeCell ref="L2259:P2259"/>
    <mergeCell ref="I1197:L1197"/>
    <mergeCell ref="F1007:G1007"/>
    <mergeCell ref="F1001:G1001"/>
    <mergeCell ref="H346:P346"/>
    <mergeCell ref="H680:P680"/>
    <mergeCell ref="F1528:P1528"/>
    <mergeCell ref="F2062:G2062"/>
    <mergeCell ref="A1116:E1116"/>
    <mergeCell ref="F462:P462"/>
    <mergeCell ref="F2393:G2393"/>
    <mergeCell ref="F302:G302"/>
    <mergeCell ref="D783:G783"/>
    <mergeCell ref="I2099:L2099"/>
    <mergeCell ref="A1067:P1067"/>
    <mergeCell ref="A353:C353"/>
    <mergeCell ref="B137:C137"/>
    <mergeCell ref="A124:P124"/>
    <mergeCell ref="L2014:P2014"/>
    <mergeCell ref="B1619:C1619"/>
    <mergeCell ref="M747:P747"/>
    <mergeCell ref="A2018:E2018"/>
    <mergeCell ref="F1329:G1329"/>
    <mergeCell ref="I910:L910"/>
    <mergeCell ref="B925:C925"/>
    <mergeCell ref="B1655:C1655"/>
    <mergeCell ref="D2177:G2177"/>
    <mergeCell ref="A2420:P2420"/>
    <mergeCell ref="B139:C139"/>
    <mergeCell ref="H2188:P2188"/>
    <mergeCell ref="H103:P103"/>
    <mergeCell ref="H1129:P1129"/>
    <mergeCell ref="H672:P672"/>
    <mergeCell ref="B1986:C1986"/>
    <mergeCell ref="I1525:L1525"/>
    <mergeCell ref="F1935:H1935"/>
    <mergeCell ref="H1006:P1006"/>
    <mergeCell ref="M2100:P2100"/>
    <mergeCell ref="A2345:E2345"/>
    <mergeCell ref="A829:E829"/>
    <mergeCell ref="H1460:P1460"/>
    <mergeCell ref="M1074:P1074"/>
    <mergeCell ref="A702:C702"/>
    <mergeCell ref="F1660:G1660"/>
    <mergeCell ref="F628:G628"/>
    <mergeCell ref="A1009:C1009"/>
    <mergeCell ref="B1823:C1823"/>
    <mergeCell ref="B793:C793"/>
    <mergeCell ref="H1787:P1787"/>
    <mergeCell ref="F2116:G2116"/>
    <mergeCell ref="A2346:E2346"/>
    <mergeCell ref="A780:P780"/>
    <mergeCell ref="H1001:P1001"/>
    <mergeCell ref="B1249:C1249"/>
    <mergeCell ref="H1275:K1275"/>
    <mergeCell ref="A2034:C2034"/>
    <mergeCell ref="D250:G250"/>
    <mergeCell ref="I2427:L2427"/>
    <mergeCell ref="H2402:P2402"/>
    <mergeCell ref="L947:P947"/>
    <mergeCell ref="M460:P460"/>
    <mergeCell ref="B61:C61"/>
    <mergeCell ref="H759:P759"/>
    <mergeCell ref="D1890:G1890"/>
    <mergeCell ref="B1251:C1251"/>
    <mergeCell ref="A2133:P2133"/>
    <mergeCell ref="B2310:C2310"/>
    <mergeCell ref="D1767:G1767"/>
    <mergeCell ref="B1122:C1122"/>
    <mergeCell ref="B2312:C2312"/>
    <mergeCell ref="I1238:L1238"/>
    <mergeCell ref="B2268:C2268"/>
    <mergeCell ref="L2341:P2341"/>
    <mergeCell ref="F312:G312"/>
    <mergeCell ref="H596:P596"/>
    <mergeCell ref="H632:P632"/>
    <mergeCell ref="H754:P754"/>
    <mergeCell ref="F13:G13"/>
    <mergeCell ref="M787:P787"/>
    <mergeCell ref="F347:G347"/>
    <mergeCell ref="F1373:G1373"/>
    <mergeCell ref="H1657:P1657"/>
    <mergeCell ref="A131:E131"/>
    <mergeCell ref="A722:C722"/>
    <mergeCell ref="F341:G341"/>
    <mergeCell ref="B64:C64"/>
    <mergeCell ref="M664:P664"/>
    <mergeCell ref="H1931:K1931"/>
    <mergeCell ref="F1829:G1829"/>
    <mergeCell ref="H2113:P2113"/>
    <mergeCell ref="H299:P299"/>
    <mergeCell ref="A493:P493"/>
    <mergeCell ref="L1603:P1603"/>
    <mergeCell ref="F2434:G2434"/>
    <mergeCell ref="F349:G349"/>
    <mergeCell ref="D1153:G1153"/>
    <mergeCell ref="H2115:P2115"/>
    <mergeCell ref="L660:P660"/>
    <mergeCell ref="F2154:G2154"/>
    <mergeCell ref="A1108:P1108"/>
    <mergeCell ref="A2116:C2116"/>
    <mergeCell ref="B964:C964"/>
    <mergeCell ref="I1894:L1894"/>
    <mergeCell ref="F2304:H2304"/>
    <mergeCell ref="L1029:P1029"/>
    <mergeCell ref="B2234:C2234"/>
    <mergeCell ref="A1480:C1480"/>
    <mergeCell ref="H17:P17"/>
    <mergeCell ref="B966:C966"/>
    <mergeCell ref="B2025:C2025"/>
    <mergeCell ref="B1902:C1902"/>
    <mergeCell ref="B509:C509"/>
    <mergeCell ref="L1932:P1932"/>
    <mergeCell ref="L2054:P2054"/>
    <mergeCell ref="F1280:H1280"/>
    <mergeCell ref="H1499:P1499"/>
    <mergeCell ref="B2236:C2236"/>
    <mergeCell ref="B965:C965"/>
    <mergeCell ref="F2187:G2187"/>
    <mergeCell ref="B2027:C2027"/>
    <mergeCell ref="H19:P19"/>
    <mergeCell ref="H1644:K1644"/>
    <mergeCell ref="H469:P469"/>
    <mergeCell ref="F999:G999"/>
    <mergeCell ref="H12:P12"/>
    <mergeCell ref="L1316:P1316"/>
    <mergeCell ref="A743:C743"/>
    <mergeCell ref="F62:G62"/>
    <mergeCell ref="F2030:G2030"/>
    <mergeCell ref="B2237:C2237"/>
    <mergeCell ref="F998:G998"/>
    <mergeCell ref="H1530:P1530"/>
    <mergeCell ref="H1828:P1828"/>
    <mergeCell ref="H14:P14"/>
    <mergeCell ref="I582:L582"/>
    <mergeCell ref="F2358:G2358"/>
    <mergeCell ref="A821:P821"/>
    <mergeCell ref="L1685:P1685"/>
    <mergeCell ref="A1829:C1829"/>
    <mergeCell ref="D1235:G1235"/>
    <mergeCell ref="F1000:G1000"/>
    <mergeCell ref="F2017:H2017"/>
    <mergeCell ref="A2136:C2136"/>
    <mergeCell ref="L742:P742"/>
    <mergeCell ref="H800:P800"/>
    <mergeCell ref="A1070:C1070"/>
    <mergeCell ref="H914:P914"/>
    <mergeCell ref="I583:L583"/>
    <mergeCell ref="I1976:L1976"/>
    <mergeCell ref="L496:P496"/>
    <mergeCell ref="A2260:C2260"/>
    <mergeCell ref="B1949:C1949"/>
    <mergeCell ref="A500:E500"/>
    <mergeCell ref="A947:C947"/>
    <mergeCell ref="H1131:P1131"/>
    <mergeCell ref="A1690:E1690"/>
    <mergeCell ref="F1900:G1900"/>
    <mergeCell ref="B1623:C1623"/>
    <mergeCell ref="B591:C591"/>
    <mergeCell ref="B224:C224"/>
    <mergeCell ref="B1617:C1617"/>
    <mergeCell ref="H188:P188"/>
    <mergeCell ref="H1214:P1214"/>
    <mergeCell ref="H1002:P1002"/>
    <mergeCell ref="B1951:C1951"/>
    <mergeCell ref="B2073:C2073"/>
    <mergeCell ref="B1494:C1494"/>
    <mergeCell ref="M1157:P1157"/>
    <mergeCell ref="M828:P828"/>
    <mergeCell ref="H2186:P2186"/>
    <mergeCell ref="B1652:C1652"/>
    <mergeCell ref="B1950:C1950"/>
    <mergeCell ref="A1477:P1477"/>
    <mergeCell ref="H2301:K2301"/>
    <mergeCell ref="H1972:K1972"/>
    <mergeCell ref="F842:G842"/>
    <mergeCell ref="H1004:P1004"/>
    <mergeCell ref="H1126:P1126"/>
    <mergeCell ref="I295:L295"/>
    <mergeCell ref="D1111:G1111"/>
    <mergeCell ref="L1398:P1398"/>
    <mergeCell ref="F1170:G1170"/>
    <mergeCell ref="F1745:G1745"/>
    <mergeCell ref="F713:G713"/>
    <mergeCell ref="H997:P997"/>
    <mergeCell ref="D1439:G1439"/>
    <mergeCell ref="A1849:C1849"/>
    <mergeCell ref="F1903:G1903"/>
    <mergeCell ref="B2106:C2106"/>
    <mergeCell ref="F2195:G2195"/>
    <mergeCell ref="A903:P903"/>
    <mergeCell ref="A2157:C2157"/>
    <mergeCell ref="F2114:G2114"/>
    <mergeCell ref="F2266:P2266"/>
    <mergeCell ref="F715:G715"/>
    <mergeCell ref="I296:L296"/>
    <mergeCell ref="H999:P999"/>
    <mergeCell ref="L209:P209"/>
    <mergeCell ref="D1563:G1563"/>
    <mergeCell ref="A213:E213"/>
    <mergeCell ref="H844:P844"/>
    <mergeCell ref="B146:C146"/>
    <mergeCell ref="B1038:C1038"/>
    <mergeCell ref="F1171:G1171"/>
    <mergeCell ref="F141:G141"/>
    <mergeCell ref="B1336:C1336"/>
    <mergeCell ref="A1403:E1403"/>
    <mergeCell ref="B304:C304"/>
    <mergeCell ref="F2226:G2226"/>
    <mergeCell ref="F1321:H1321"/>
    <mergeCell ref="B2308:C2308"/>
    <mergeCell ref="B1207:C1207"/>
    <mergeCell ref="H1899:P1899"/>
    <mergeCell ref="H2197:P2197"/>
    <mergeCell ref="B1365:C1365"/>
    <mergeCell ref="A1485:E1485"/>
    <mergeCell ref="H2355:P2355"/>
    <mergeCell ref="H717:P717"/>
    <mergeCell ref="H839:P839"/>
    <mergeCell ref="F14:G14"/>
    <mergeCell ref="A517:C517"/>
    <mergeCell ref="H1901:P1901"/>
    <mergeCell ref="H2023:P2023"/>
    <mergeCell ref="F1160:G1160"/>
    <mergeCell ref="F1825:G1825"/>
    <mergeCell ref="H1050:P1050"/>
    <mergeCell ref="F1458:G1458"/>
    <mergeCell ref="A1559:P1559"/>
    <mergeCell ref="H710:P710"/>
    <mergeCell ref="F1039:G1039"/>
    <mergeCell ref="B635:C635"/>
    <mergeCell ref="H1900:P1900"/>
    <mergeCell ref="H841:P841"/>
    <mergeCell ref="D2219:G2219"/>
    <mergeCell ref="I952:L952"/>
    <mergeCell ref="B1333:C1333"/>
    <mergeCell ref="A616:P616"/>
    <mergeCell ref="L1726:P1726"/>
    <mergeCell ref="F1074:H1074"/>
    <mergeCell ref="F1827:G1827"/>
    <mergeCell ref="H2111:P2111"/>
    <mergeCell ref="H712:P712"/>
    <mergeCell ref="F1370:G1370"/>
    <mergeCell ref="D5:G5"/>
    <mergeCell ref="F951:H951"/>
    <mergeCell ref="F1977:H1977"/>
    <mergeCell ref="H138:P138"/>
    <mergeCell ref="B1662:C1662"/>
    <mergeCell ref="B630:C630"/>
    <mergeCell ref="I2346:L2346"/>
    <mergeCell ref="F1034:H1034"/>
    <mergeCell ref="B2021:C2021"/>
    <mergeCell ref="H1495:P1495"/>
    <mergeCell ref="H140:P140"/>
    <mergeCell ref="M173:P173"/>
    <mergeCell ref="B2023:C2023"/>
    <mergeCell ref="H127:K127"/>
    <mergeCell ref="A230:C230"/>
    <mergeCell ref="H1317:K1317"/>
    <mergeCell ref="M1198:P1198"/>
    <mergeCell ref="F2272:G2272"/>
    <mergeCell ref="H465:P465"/>
    <mergeCell ref="H763:P763"/>
    <mergeCell ref="B957:C957"/>
    <mergeCell ref="F58:G58"/>
    <mergeCell ref="D906:G906"/>
    <mergeCell ref="D1932:G1932"/>
    <mergeCell ref="A2297:P2297"/>
    <mergeCell ref="B834:C834"/>
    <mergeCell ref="F350:G350"/>
    <mergeCell ref="L1439:P1439"/>
    <mergeCell ref="I377:L377"/>
    <mergeCell ref="F787:H787"/>
    <mergeCell ref="F1540:G1540"/>
    <mergeCell ref="H1824:P1824"/>
    <mergeCell ref="F2145:G2145"/>
    <mergeCell ref="F60:G60"/>
    <mergeCell ref="A1931:C1931"/>
    <mergeCell ref="F664:H664"/>
    <mergeCell ref="F2267:G2267"/>
    <mergeCell ref="F352:G352"/>
    <mergeCell ref="H1826:P1826"/>
    <mergeCell ref="I2059:L2059"/>
    <mergeCell ref="F53:G53"/>
    <mergeCell ref="L250:P250"/>
    <mergeCell ref="B1288:C1288"/>
    <mergeCell ref="B1744:C1744"/>
    <mergeCell ref="B2349:C2349"/>
    <mergeCell ref="B264:C264"/>
    <mergeCell ref="A623:E623"/>
    <mergeCell ref="H1254:P1254"/>
    <mergeCell ref="H1030:K1030"/>
    <mergeCell ref="H1210:P1210"/>
    <mergeCell ref="M2346:P2346"/>
    <mergeCell ref="B676:C676"/>
    <mergeCell ref="H791:P791"/>
    <mergeCell ref="B1289:C1289"/>
    <mergeCell ref="H2055:K2055"/>
    <mergeCell ref="F384:G384"/>
    <mergeCell ref="M1280:P1280"/>
    <mergeCell ref="H186:P186"/>
    <mergeCell ref="B547:C547"/>
    <mergeCell ref="B101:C101"/>
    <mergeCell ref="H2271:P2271"/>
    <mergeCell ref="I90:L90"/>
    <mergeCell ref="H1537:P1537"/>
    <mergeCell ref="H65:P65"/>
    <mergeCell ref="H1091:P1091"/>
    <mergeCell ref="F1866:G1866"/>
    <mergeCell ref="H2150:P2150"/>
    <mergeCell ref="H2424:K2424"/>
    <mergeCell ref="H1211:P1211"/>
    <mergeCell ref="F386:G386"/>
    <mergeCell ref="A1644:C1644"/>
    <mergeCell ref="H2273:P2273"/>
    <mergeCell ref="L2096:P2096"/>
    <mergeCell ref="F1868:G1868"/>
    <mergeCell ref="H2152:P2152"/>
    <mergeCell ref="H23:P23"/>
    <mergeCell ref="B1007:C1007"/>
    <mergeCell ref="B1001:C1001"/>
    <mergeCell ref="F1772:H1772"/>
    <mergeCell ref="A455:C455"/>
    <mergeCell ref="F381:G381"/>
    <mergeCell ref="H54:P54"/>
    <mergeCell ref="B2062:C2062"/>
    <mergeCell ref="A336:E336"/>
    <mergeCell ref="A911:E911"/>
    <mergeCell ref="H967:P967"/>
    <mergeCell ref="F226:G226"/>
    <mergeCell ref="H510:P510"/>
    <mergeCell ref="H620:K620"/>
    <mergeCell ref="B1002:C1002"/>
    <mergeCell ref="H56:P56"/>
    <mergeCell ref="M1484:P1484"/>
    <mergeCell ref="H512:P512"/>
    <mergeCell ref="B873:C873"/>
    <mergeCell ref="F2313:G2313"/>
    <mergeCell ref="H506:P506"/>
    <mergeCell ref="B1004:C1004"/>
    <mergeCell ref="F1579:G1579"/>
    <mergeCell ref="H1863:P1863"/>
    <mergeCell ref="A2300:C2300"/>
    <mergeCell ref="F63:G63"/>
    <mergeCell ref="H2137:K2137"/>
    <mergeCell ref="F1498:G1498"/>
    <mergeCell ref="B1661:C1661"/>
    <mergeCell ref="F99:G99"/>
    <mergeCell ref="H383:P383"/>
    <mergeCell ref="A1357:C1357"/>
    <mergeCell ref="I2263:L2263"/>
    <mergeCell ref="B631:C631"/>
    <mergeCell ref="H2353:P2353"/>
    <mergeCell ref="H837:P837"/>
    <mergeCell ref="I747:L747"/>
    <mergeCell ref="F1157:H1157"/>
    <mergeCell ref="F310:G310"/>
    <mergeCell ref="F1124:G1124"/>
    <mergeCell ref="F1500:G1500"/>
    <mergeCell ref="A1111:C1111"/>
    <mergeCell ref="B1663:C1663"/>
    <mergeCell ref="F503:P503"/>
    <mergeCell ref="A2301:C2301"/>
    <mergeCell ref="F705:H705"/>
    <mergeCell ref="F1037:G1037"/>
    <mergeCell ref="H1898:P1898"/>
    <mergeCell ref="F2227:G2227"/>
    <mergeCell ref="H2196:P2196"/>
    <mergeCell ref="F1493:G1493"/>
    <mergeCell ref="I2100:L2100"/>
    <mergeCell ref="F94:G94"/>
    <mergeCell ref="B1658:C1658"/>
    <mergeCell ref="F1783:G1783"/>
    <mergeCell ref="B1992:C1992"/>
    <mergeCell ref="H1768:K1768"/>
    <mergeCell ref="H1166:P1166"/>
    <mergeCell ref="M869:P869"/>
    <mergeCell ref="F1451:G1451"/>
    <mergeCell ref="H136:P136"/>
    <mergeCell ref="H434:P434"/>
    <mergeCell ref="B628:C628"/>
    <mergeCell ref="A993:E993"/>
    <mergeCell ref="B926:C926"/>
    <mergeCell ref="H1496:P1496"/>
    <mergeCell ref="H225:P225"/>
    <mergeCell ref="L1112:P1112"/>
    <mergeCell ref="F877:G877"/>
    <mergeCell ref="B717:C717"/>
    <mergeCell ref="H1161:P1161"/>
    <mergeCell ref="A2013:C2013"/>
    <mergeCell ref="F1211:G1211"/>
    <mergeCell ref="L2137:P2137"/>
    <mergeCell ref="B1987:C1987"/>
    <mergeCell ref="F2395:G2395"/>
    <mergeCell ref="H227:P227"/>
    <mergeCell ref="H1163:P1163"/>
    <mergeCell ref="I460:L460"/>
    <mergeCell ref="F1213:G1213"/>
    <mergeCell ref="H1497:P1497"/>
    <mergeCell ref="F216:P216"/>
    <mergeCell ref="B1989:C1989"/>
    <mergeCell ref="F750:G750"/>
    <mergeCell ref="F295:H295"/>
    <mergeCell ref="F1940:G1940"/>
    <mergeCell ref="F2238:G2238"/>
    <mergeCell ref="F1206:G1206"/>
    <mergeCell ref="F147:G147"/>
    <mergeCell ref="F1208:G1208"/>
    <mergeCell ref="H881:P881"/>
    <mergeCell ref="B347:C347"/>
    <mergeCell ref="B1373:C1373"/>
    <mergeCell ref="M1525:P1525"/>
    <mergeCell ref="B341:C341"/>
    <mergeCell ref="A706:E706"/>
    <mergeCell ref="D1931:G1931"/>
    <mergeCell ref="B639:C639"/>
    <mergeCell ref="B1531:C1531"/>
    <mergeCell ref="B797:C797"/>
    <mergeCell ref="M951:P951"/>
    <mergeCell ref="B2434:C2434"/>
    <mergeCell ref="B1700:C1700"/>
    <mergeCell ref="H2392:P2392"/>
    <mergeCell ref="M1854:P1854"/>
    <mergeCell ref="F837:G837"/>
    <mergeCell ref="F592:G592"/>
    <mergeCell ref="B799:C799"/>
    <mergeCell ref="H876:P876"/>
    <mergeCell ref="B342:C342"/>
    <mergeCell ref="F926:G926"/>
    <mergeCell ref="B1287:C1287"/>
    <mergeCell ref="F1862:G1862"/>
    <mergeCell ref="B1702:C1702"/>
    <mergeCell ref="A1033:E1033"/>
    <mergeCell ref="H2394:P2394"/>
    <mergeCell ref="H2277:P2277"/>
    <mergeCell ref="A127:C127"/>
    <mergeCell ref="F1653:G1653"/>
    <mergeCell ref="H878:P878"/>
    <mergeCell ref="F1443:H1443"/>
    <mergeCell ref="F919:G919"/>
    <mergeCell ref="H1212:P1212"/>
    <mergeCell ref="F1864:G1864"/>
    <mergeCell ref="H2148:P2148"/>
    <mergeCell ref="F544:P544"/>
    <mergeCell ref="F832:G832"/>
    <mergeCell ref="F1407:G1407"/>
    <mergeCell ref="F1655:G1655"/>
    <mergeCell ref="A1362:E1362"/>
    <mergeCell ref="F2320:G2320"/>
    <mergeCell ref="B2187:C2187"/>
    <mergeCell ref="A2010:P2010"/>
    <mergeCell ref="D1644:G1644"/>
    <mergeCell ref="A1337:C1337"/>
    <mergeCell ref="B1455:C1455"/>
    <mergeCell ref="B62:C62"/>
    <mergeCell ref="H177:P177"/>
    <mergeCell ref="B998:C998"/>
    <mergeCell ref="H1808:K1808"/>
    <mergeCell ref="H1988:P1988"/>
    <mergeCell ref="H589:P589"/>
    <mergeCell ref="B2358:C2358"/>
    <mergeCell ref="F2309:G2309"/>
    <mergeCell ref="H508:P508"/>
    <mergeCell ref="B1000:C1000"/>
    <mergeCell ref="F1575:G1575"/>
    <mergeCell ref="L2423:P2423"/>
    <mergeCell ref="H1990:P1990"/>
    <mergeCell ref="F59:G59"/>
    <mergeCell ref="A2427:E2427"/>
    <mergeCell ref="F95:G95"/>
    <mergeCell ref="F393:G393"/>
    <mergeCell ref="F1583:G1583"/>
    <mergeCell ref="F1577:G1577"/>
    <mergeCell ref="H1861:P1861"/>
    <mergeCell ref="F1735:G1735"/>
    <mergeCell ref="F2033:G2033"/>
    <mergeCell ref="F97:G97"/>
    <mergeCell ref="F219:G219"/>
    <mergeCell ref="B1900:C1900"/>
    <mergeCell ref="H4:K4"/>
    <mergeCell ref="A1234:C1234"/>
    <mergeCell ref="F553:G553"/>
    <mergeCell ref="H2319:P2319"/>
    <mergeCell ref="F1578:G1578"/>
    <mergeCell ref="A927:C927"/>
    <mergeCell ref="L1809:P1809"/>
    <mergeCell ref="D1972:G1972"/>
    <mergeCell ref="B2229:C2229"/>
    <mergeCell ref="H221:P221"/>
    <mergeCell ref="A168:C168"/>
    <mergeCell ref="B713:C713"/>
    <mergeCell ref="I1074:L1074"/>
    <mergeCell ref="H1703:P1703"/>
    <mergeCell ref="F878:G878"/>
    <mergeCell ref="B2195:C2195"/>
    <mergeCell ref="H2352:P2352"/>
    <mergeCell ref="H223:P223"/>
    <mergeCell ref="B2114:C2114"/>
    <mergeCell ref="B715:C715"/>
    <mergeCell ref="H1574:P1574"/>
    <mergeCell ref="L2260:P2260"/>
    <mergeCell ref="H1705:P1705"/>
    <mergeCell ref="A497:C497"/>
    <mergeCell ref="B2230:C2230"/>
    <mergeCell ref="F1813:H1813"/>
    <mergeCell ref="F1484:H1484"/>
    <mergeCell ref="F423:G423"/>
    <mergeCell ref="B141:C141"/>
    <mergeCell ref="B2226:C2226"/>
    <mergeCell ref="H1704:P1704"/>
    <mergeCell ref="F2430:P2430"/>
    <mergeCell ref="F2234:G2234"/>
    <mergeCell ref="F339:P339"/>
    <mergeCell ref="F1202:G1202"/>
    <mergeCell ref="F143:G143"/>
    <mergeCell ref="B12:C12"/>
    <mergeCell ref="H218:P218"/>
    <mergeCell ref="H1408:P1408"/>
    <mergeCell ref="L1522:P1522"/>
    <mergeCell ref="H1706:P1706"/>
    <mergeCell ref="F2236:G2236"/>
    <mergeCell ref="F1204:G1204"/>
    <mergeCell ref="B14:C14"/>
    <mergeCell ref="H989:K989"/>
    <mergeCell ref="B1825:C1825"/>
    <mergeCell ref="F263:G263"/>
    <mergeCell ref="B1496:C1496"/>
    <mergeCell ref="B13:C13"/>
    <mergeCell ref="B1039:C1039"/>
    <mergeCell ref="I787:L787"/>
    <mergeCell ref="L333:P333"/>
    <mergeCell ref="B1827:C1827"/>
    <mergeCell ref="H549:P549"/>
    <mergeCell ref="M582:P582"/>
    <mergeCell ref="H961:P961"/>
    <mergeCell ref="H1337:P1337"/>
    <mergeCell ref="H2390:P2390"/>
    <mergeCell ref="H1295:P1295"/>
    <mergeCell ref="F52:P52"/>
    <mergeCell ref="F2020:P2020"/>
    <mergeCell ref="F915:G915"/>
    <mergeCell ref="H1330:P1330"/>
    <mergeCell ref="F1659:G1659"/>
    <mergeCell ref="M1976:P1976"/>
    <mergeCell ref="F1993:G1993"/>
    <mergeCell ref="I173:L173"/>
    <mergeCell ref="F1949:G1949"/>
    <mergeCell ref="H148:P148"/>
    <mergeCell ref="A657:P657"/>
    <mergeCell ref="F917:G917"/>
    <mergeCell ref="H2233:P2233"/>
    <mergeCell ref="B1126:C1126"/>
    <mergeCell ref="A1911:C1911"/>
    <mergeCell ref="H2391:P2391"/>
    <mergeCell ref="D127:G127"/>
    <mergeCell ref="D1317:G1317"/>
    <mergeCell ref="A1682:P1682"/>
    <mergeCell ref="A968:C968"/>
    <mergeCell ref="F1951:G1951"/>
    <mergeCell ref="M337:P337"/>
    <mergeCell ref="H1048:P1048"/>
    <mergeCell ref="A1607:E1607"/>
    <mergeCell ref="B1540:C1540"/>
    <mergeCell ref="H262:P262"/>
    <mergeCell ref="B2153:C2153"/>
    <mergeCell ref="B1121:C1121"/>
    <mergeCell ref="H1775:P1775"/>
    <mergeCell ref="F1525:H1525"/>
    <mergeCell ref="L415:P415"/>
    <mergeCell ref="B2145:C2145"/>
    <mergeCell ref="F1248:G1248"/>
    <mergeCell ref="F189:G189"/>
    <mergeCell ref="A419:E419"/>
    <mergeCell ref="B1411:C1411"/>
    <mergeCell ref="H1663:P1663"/>
    <mergeCell ref="H2109:P2109"/>
    <mergeCell ref="F2432:G2432"/>
    <mergeCell ref="H593:P593"/>
    <mergeCell ref="H587:P587"/>
    <mergeCell ref="B53:C53"/>
    <mergeCell ref="F66:G66"/>
    <mergeCell ref="F188:G188"/>
    <mergeCell ref="A418:E418"/>
    <mergeCell ref="B1079:C1079"/>
    <mergeCell ref="H1043:P1043"/>
    <mergeCell ref="F1250:G1250"/>
    <mergeCell ref="H1656:P1656"/>
    <mergeCell ref="F1854:H1854"/>
    <mergeCell ref="H2075:P2075"/>
    <mergeCell ref="H2218:K2218"/>
    <mergeCell ref="M1689:P1689"/>
    <mergeCell ref="F1706:G1706"/>
    <mergeCell ref="H1946:P1946"/>
    <mergeCell ref="A370:P370"/>
    <mergeCell ref="F1243:G1243"/>
    <mergeCell ref="B839:C839"/>
    <mergeCell ref="A1624:C1624"/>
    <mergeCell ref="H588:P588"/>
    <mergeCell ref="D1030:G1030"/>
    <mergeCell ref="A1395:P1395"/>
    <mergeCell ref="F61:G61"/>
    <mergeCell ref="F2031:G2031"/>
    <mergeCell ref="H2315:P2315"/>
    <mergeCell ref="A2263:E2263"/>
    <mergeCell ref="D2300:G2300"/>
    <mergeCell ref="A1993:C1993"/>
    <mergeCell ref="B841:C841"/>
    <mergeCell ref="H918:P918"/>
    <mergeCell ref="B384:C384"/>
    <mergeCell ref="I1280:L1280"/>
    <mergeCell ref="F2181:H2181"/>
    <mergeCell ref="H1374:P1374"/>
    <mergeCell ref="B1866:C1866"/>
    <mergeCell ref="F1576:G1576"/>
    <mergeCell ref="I1157:L1157"/>
    <mergeCell ref="I828:L828"/>
    <mergeCell ref="D2424:G2424"/>
    <mergeCell ref="B386:C386"/>
    <mergeCell ref="F961:G961"/>
    <mergeCell ref="L1931:P1931"/>
    <mergeCell ref="H2435:P2435"/>
    <mergeCell ref="H1376:P1376"/>
    <mergeCell ref="H344:P344"/>
    <mergeCell ref="B842:C842"/>
    <mergeCell ref="H919:P919"/>
    <mergeCell ref="B1868:C1868"/>
    <mergeCell ref="B836:C836"/>
    <mergeCell ref="B2191:C2191"/>
    <mergeCell ref="F2362:G2362"/>
    <mergeCell ref="F963:G963"/>
    <mergeCell ref="H310:P310"/>
    <mergeCell ref="H1369:P1369"/>
    <mergeCell ref="H1521:K1521"/>
    <mergeCell ref="H5:K5"/>
    <mergeCell ref="F2355:G2355"/>
    <mergeCell ref="A2051:P2051"/>
    <mergeCell ref="H187:P187"/>
    <mergeCell ref="B381:C381"/>
    <mergeCell ref="F956:G956"/>
    <mergeCell ref="H1371:P1371"/>
    <mergeCell ref="F875:G875"/>
    <mergeCell ref="F1901:G1901"/>
    <mergeCell ref="F2021:G2021"/>
    <mergeCell ref="F2357:G2357"/>
    <mergeCell ref="L127:P127"/>
    <mergeCell ref="D2013:G2013"/>
    <mergeCell ref="F228:G228"/>
    <mergeCell ref="D1112:G1112"/>
    <mergeCell ref="I1484:L1484"/>
    <mergeCell ref="F1894:H1894"/>
    <mergeCell ref="L4:P4"/>
    <mergeCell ref="B1579:C1579"/>
    <mergeCell ref="F1289:G1289"/>
    <mergeCell ref="F1902:G1902"/>
    <mergeCell ref="B1498:C1498"/>
    <mergeCell ref="D2137:G2137"/>
    <mergeCell ref="F259:G259"/>
    <mergeCell ref="B99:C99"/>
    <mergeCell ref="B1492:C1492"/>
    <mergeCell ref="L1644:P1644"/>
    <mergeCell ref="F870:H870"/>
    <mergeCell ref="H1089:P1089"/>
    <mergeCell ref="L128:P128"/>
    <mergeCell ref="B1283:C1283"/>
    <mergeCell ref="B555:C555"/>
    <mergeCell ref="A377:E377"/>
    <mergeCell ref="B1124:C1124"/>
    <mergeCell ref="H906:K906"/>
    <mergeCell ref="B1500:C1500"/>
    <mergeCell ref="F1895:H1895"/>
    <mergeCell ref="F2075:G2075"/>
    <mergeCell ref="F261:G261"/>
    <mergeCell ref="B1037:C1037"/>
    <mergeCell ref="H1234:K1234"/>
    <mergeCell ref="B1335:C1335"/>
    <mergeCell ref="H2027:P2027"/>
    <mergeCell ref="B1493:C1493"/>
    <mergeCell ref="H2185:P2185"/>
    <mergeCell ref="B94:C94"/>
    <mergeCell ref="H2361:P2361"/>
    <mergeCell ref="H2259:K2259"/>
    <mergeCell ref="F1620:G1620"/>
    <mergeCell ref="F588:G588"/>
    <mergeCell ref="H1003:P1003"/>
    <mergeCell ref="H2360:P2360"/>
    <mergeCell ref="F2070:G2070"/>
    <mergeCell ref="M2387:P2387"/>
    <mergeCell ref="H2028:P2028"/>
    <mergeCell ref="F590:G590"/>
    <mergeCell ref="L2300:P2300"/>
    <mergeCell ref="F2072:G2072"/>
    <mergeCell ref="H2356:P2356"/>
    <mergeCell ref="F1615:G1615"/>
    <mergeCell ref="B1211:C1211"/>
    <mergeCell ref="F2143:P2143"/>
    <mergeCell ref="B2395:C2395"/>
    <mergeCell ref="A90:E90"/>
    <mergeCell ref="B23:C23"/>
    <mergeCell ref="B145:C145"/>
    <mergeCell ref="B2272:C2272"/>
    <mergeCell ref="I1198:L1198"/>
    <mergeCell ref="B181:C181"/>
    <mergeCell ref="H258:P258"/>
    <mergeCell ref="L2301:P2301"/>
    <mergeCell ref="H556:P556"/>
    <mergeCell ref="B750:C750"/>
    <mergeCell ref="A1115:E1115"/>
    <mergeCell ref="H1746:P1746"/>
    <mergeCell ref="H714:P714"/>
    <mergeCell ref="H1740:P1740"/>
    <mergeCell ref="B2238:C2238"/>
    <mergeCell ref="A214:E214"/>
    <mergeCell ref="A661:C661"/>
    <mergeCell ref="B147:C147"/>
    <mergeCell ref="B1206:C1206"/>
    <mergeCell ref="H2014:K2014"/>
    <mergeCell ref="H260:P260"/>
    <mergeCell ref="F380:P380"/>
    <mergeCell ref="H558:P558"/>
    <mergeCell ref="H1891:K1891"/>
    <mergeCell ref="F1491:G1491"/>
    <mergeCell ref="F432:G432"/>
    <mergeCell ref="H716:P716"/>
    <mergeCell ref="B2267:C2267"/>
    <mergeCell ref="M172:P172"/>
    <mergeCell ref="B1208:C1208"/>
    <mergeCell ref="H2198:P2198"/>
    <mergeCell ref="H2341:K2341"/>
    <mergeCell ref="F1335:G1335"/>
    <mergeCell ref="H1741:P1741"/>
    <mergeCell ref="F2271:G2271"/>
    <mergeCell ref="F186:G186"/>
    <mergeCell ref="H1777:P1777"/>
    <mergeCell ref="A45:C45"/>
    <mergeCell ref="L2013:P2013"/>
    <mergeCell ref="I951:L951"/>
    <mergeCell ref="F1328:G1328"/>
    <mergeCell ref="F269:G269"/>
    <mergeCell ref="H1743:P1743"/>
    <mergeCell ref="F2273:G2273"/>
    <mergeCell ref="I1854:L1854"/>
    <mergeCell ref="H2400:P2400"/>
    <mergeCell ref="I911:L911"/>
    <mergeCell ref="B1539:C1539"/>
    <mergeCell ref="A1317:C1317"/>
    <mergeCell ref="A46:C46"/>
    <mergeCell ref="F300:G300"/>
    <mergeCell ref="B507:C507"/>
    <mergeCell ref="B1862:C1862"/>
    <mergeCell ref="B1653:C1653"/>
    <mergeCell ref="B919:C919"/>
    <mergeCell ref="H2431:P2431"/>
    <mergeCell ref="H1372:P1372"/>
    <mergeCell ref="B1864:C1864"/>
    <mergeCell ref="B832:C832"/>
    <mergeCell ref="A1197:E1197"/>
    <mergeCell ref="H1604:K1604"/>
    <mergeCell ref="H429:P429"/>
    <mergeCell ref="B2320:C2320"/>
    <mergeCell ref="H2433:P2433"/>
    <mergeCell ref="M1075:P1075"/>
    <mergeCell ref="A2100:E2100"/>
    <mergeCell ref="H640:P640"/>
    <mergeCell ref="F1984:G1984"/>
    <mergeCell ref="M2345:P2345"/>
    <mergeCell ref="F1083:G1083"/>
    <mergeCell ref="I664:L664"/>
    <mergeCell ref="H1367:P1367"/>
    <mergeCell ref="A2174:P2174"/>
    <mergeCell ref="A2219:C2219"/>
    <mergeCell ref="F1417:G1417"/>
    <mergeCell ref="H1456:P1456"/>
    <mergeCell ref="F2353:G2353"/>
    <mergeCell ref="F960:G960"/>
    <mergeCell ref="H185:P185"/>
    <mergeCell ref="D1808:G1808"/>
    <mergeCell ref="A2218:C2218"/>
    <mergeCell ref="F2144:G2144"/>
    <mergeCell ref="F1689:H1689"/>
    <mergeCell ref="F2442:G2442"/>
    <mergeCell ref="B1252:C1252"/>
    <mergeCell ref="D620:G620"/>
    <mergeCell ref="A1030:C1030"/>
    <mergeCell ref="B1575:C1575"/>
    <mergeCell ref="I1936:L1936"/>
    <mergeCell ref="A460:E460"/>
    <mergeCell ref="F2444:G2444"/>
    <mergeCell ref="H1085:P1085"/>
    <mergeCell ref="B1621:C1621"/>
    <mergeCell ref="B1577:C1577"/>
    <mergeCell ref="M1731:P1731"/>
    <mergeCell ref="B63:C63"/>
    <mergeCell ref="B2033:C2033"/>
    <mergeCell ref="H2146:P2146"/>
    <mergeCell ref="M788:P788"/>
    <mergeCell ref="D4:G4"/>
    <mergeCell ref="H1087:P1087"/>
    <mergeCell ref="B553:C553"/>
    <mergeCell ref="H630:P630"/>
    <mergeCell ref="M2058:P2058"/>
    <mergeCell ref="H1086:P1086"/>
    <mergeCell ref="H1080:P1080"/>
    <mergeCell ref="F1409:G1409"/>
    <mergeCell ref="B1578:C1578"/>
    <mergeCell ref="A1887:P1887"/>
    <mergeCell ref="H2270:P2270"/>
    <mergeCell ref="F1743:G1743"/>
    <mergeCell ref="F804:G804"/>
    <mergeCell ref="F1402:H1402"/>
    <mergeCell ref="B548:C548"/>
    <mergeCell ref="A5:C5"/>
    <mergeCell ref="D333:G333"/>
    <mergeCell ref="F2068:G2068"/>
    <mergeCell ref="F1611:G1611"/>
    <mergeCell ref="B878:C878"/>
    <mergeCell ref="H2441:P2441"/>
    <mergeCell ref="L907:P907"/>
    <mergeCell ref="B1334:C1334"/>
    <mergeCell ref="A332:C332"/>
    <mergeCell ref="B877:C877"/>
    <mergeCell ref="M418:P418"/>
    <mergeCell ref="M1444:P1444"/>
    <mergeCell ref="H1685:K1685"/>
    <mergeCell ref="F1613:G1613"/>
    <mergeCell ref="B423:C423"/>
    <mergeCell ref="H387:P387"/>
    <mergeCell ref="H1413:P1413"/>
    <mergeCell ref="A2444:C2444"/>
    <mergeCell ref="H343:P343"/>
    <mergeCell ref="B879:C879"/>
    <mergeCell ref="H679:P679"/>
    <mergeCell ref="B1202:C1202"/>
    <mergeCell ref="H496:K496"/>
    <mergeCell ref="M255:P255"/>
    <mergeCell ref="H1406:P1406"/>
    <mergeCell ref="H345:P345"/>
    <mergeCell ref="B1204:C1204"/>
    <mergeCell ref="L2382:P2382"/>
    <mergeCell ref="H2194:P2194"/>
    <mergeCell ref="I624:L624"/>
    <mergeCell ref="F1787:G1787"/>
    <mergeCell ref="H2071:P2071"/>
    <mergeCell ref="F1781:G1781"/>
    <mergeCell ref="H2065:P2065"/>
    <mergeCell ref="F271:G271"/>
    <mergeCell ref="F2394:G2394"/>
    <mergeCell ref="F1324:G1324"/>
    <mergeCell ref="A988:C988"/>
    <mergeCell ref="H1739:P1739"/>
    <mergeCell ref="H340:P340"/>
    <mergeCell ref="L620:P620"/>
    <mergeCell ref="H1124:P1124"/>
    <mergeCell ref="H1398:K1398"/>
    <mergeCell ref="I1977:L1977"/>
    <mergeCell ref="F2387:H2387"/>
    <mergeCell ref="F1326:G1326"/>
    <mergeCell ref="L497:P497"/>
    <mergeCell ref="A1112:C1112"/>
    <mergeCell ref="H100:P100"/>
    <mergeCell ref="H210:K210"/>
    <mergeCell ref="F752:G752"/>
    <mergeCell ref="B592:C592"/>
    <mergeCell ref="B915:C915"/>
    <mergeCell ref="M746:P746"/>
    <mergeCell ref="F2112:G2112"/>
    <mergeCell ref="H66:P66"/>
    <mergeCell ref="H209:K209"/>
    <mergeCell ref="B803:C803"/>
    <mergeCell ref="H425:P425"/>
    <mergeCell ref="F754:G754"/>
    <mergeCell ref="B594:C594"/>
    <mergeCell ref="B917:C917"/>
    <mergeCell ref="B1530:C1530"/>
    <mergeCell ref="A828:E828"/>
    <mergeCell ref="H427:P427"/>
    <mergeCell ref="I337:L337"/>
    <mergeCell ref="F747:H747"/>
    <mergeCell ref="F2113:G2113"/>
    <mergeCell ref="F2107:G2107"/>
    <mergeCell ref="F22:G22"/>
    <mergeCell ref="B2276:C2276"/>
    <mergeCell ref="A254:E254"/>
    <mergeCell ref="A701:C701"/>
    <mergeCell ref="B187:C187"/>
    <mergeCell ref="H1452:P1452"/>
    <mergeCell ref="F93:P93"/>
    <mergeCell ref="I1362:L1362"/>
    <mergeCell ref="A1891:C1891"/>
    <mergeCell ref="H1488:P1488"/>
    <mergeCell ref="F172:H172"/>
    <mergeCell ref="H1786:P1786"/>
    <mergeCell ref="F2115:G2115"/>
    <mergeCell ref="F2438:G2438"/>
    <mergeCell ref="F1118:P1118"/>
    <mergeCell ref="A825:C825"/>
    <mergeCell ref="B1248:C1248"/>
    <mergeCell ref="H1454:P1454"/>
    <mergeCell ref="B2432:C2432"/>
    <mergeCell ref="B1704:C1704"/>
    <mergeCell ref="B305:C305"/>
    <mergeCell ref="B188:C188"/>
    <mergeCell ref="F2440:G2440"/>
    <mergeCell ref="M459:P459"/>
    <mergeCell ref="H880:P880"/>
    <mergeCell ref="F1408:G1408"/>
    <mergeCell ref="B2309:C2309"/>
    <mergeCell ref="B1250:C1250"/>
    <mergeCell ref="F173:H173"/>
    <mergeCell ref="B218:C218"/>
    <mergeCell ref="B516:C516"/>
    <mergeCell ref="H2383:K2383"/>
    <mergeCell ref="H1783:P1783"/>
    <mergeCell ref="B59:C59"/>
    <mergeCell ref="F467:G467"/>
    <mergeCell ref="H751:P751"/>
    <mergeCell ref="H1941:P1941"/>
    <mergeCell ref="B1243:C1243"/>
    <mergeCell ref="H2239:P2239"/>
    <mergeCell ref="M1853:P1853"/>
    <mergeCell ref="H1785:P1785"/>
    <mergeCell ref="B2031:C2031"/>
    <mergeCell ref="F469:G469"/>
    <mergeCell ref="I50:L50"/>
    <mergeCell ref="H753:P753"/>
    <mergeCell ref="H1943:P1943"/>
    <mergeCell ref="F12:G12"/>
    <mergeCell ref="B219:C219"/>
    <mergeCell ref="H2235:P2235"/>
    <mergeCell ref="A414:C414"/>
    <mergeCell ref="F1739:G1739"/>
    <mergeCell ref="H752:P752"/>
    <mergeCell ref="A1604:C1604"/>
    <mergeCell ref="H1778:P1778"/>
    <mergeCell ref="F340:G340"/>
    <mergeCell ref="F1075:H1075"/>
    <mergeCell ref="F1828:G1828"/>
    <mergeCell ref="H2112:P2112"/>
    <mergeCell ref="F2151:G2151"/>
    <mergeCell ref="F831:P831"/>
    <mergeCell ref="F1705:G1705"/>
    <mergeCell ref="B2360:C2360"/>
    <mergeCell ref="A538:C538"/>
    <mergeCell ref="B961:C961"/>
    <mergeCell ref="B1119:C1119"/>
    <mergeCell ref="A845:C845"/>
    <mergeCell ref="F2153:G2153"/>
    <mergeCell ref="B1899:C1899"/>
    <mergeCell ref="D1521:G1521"/>
    <mergeCell ref="H464:P464"/>
    <mergeCell ref="B2355:C2355"/>
    <mergeCell ref="H595:P595"/>
    <mergeCell ref="B956:C956"/>
    <mergeCell ref="B875:C875"/>
    <mergeCell ref="B1901:C1901"/>
    <mergeCell ref="M1566:P1566"/>
    <mergeCell ref="H472:P472"/>
    <mergeCell ref="H1865:P1865"/>
    <mergeCell ref="H466:P466"/>
    <mergeCell ref="B2235:C2235"/>
    <mergeCell ref="B2357:C2357"/>
    <mergeCell ref="F1452:G1452"/>
    <mergeCell ref="F1207:G1207"/>
    <mergeCell ref="F1126:G1126"/>
    <mergeCell ref="F1541:G1541"/>
    <mergeCell ref="F1120:G1120"/>
    <mergeCell ref="F392:G392"/>
    <mergeCell ref="F25:G25"/>
    <mergeCell ref="F1418:G1418"/>
    <mergeCell ref="F1454:G1454"/>
    <mergeCell ref="H467:P467"/>
    <mergeCell ref="F2058:H2058"/>
    <mergeCell ref="F997:G997"/>
    <mergeCell ref="F542:H542"/>
    <mergeCell ref="F1295:G1295"/>
    <mergeCell ref="F913:P913"/>
    <mergeCell ref="F394:G394"/>
    <mergeCell ref="F1453:G1453"/>
    <mergeCell ref="B1612:C1612"/>
    <mergeCell ref="F1121:G1121"/>
    <mergeCell ref="F1455:G1455"/>
    <mergeCell ref="M2222:P2222"/>
    <mergeCell ref="F2059:H2059"/>
    <mergeCell ref="D2259:G2259"/>
    <mergeCell ref="H96:P96"/>
    <mergeCell ref="B1045:C1045"/>
    <mergeCell ref="H1122:P1122"/>
    <mergeCell ref="B1620:C1620"/>
    <mergeCell ref="B588:C588"/>
    <mergeCell ref="A1952:C1952"/>
    <mergeCell ref="B2070:C2070"/>
    <mergeCell ref="H62:P62"/>
    <mergeCell ref="D45:G45"/>
    <mergeCell ref="F2197:G2197"/>
    <mergeCell ref="B590:C590"/>
    <mergeCell ref="H1580:P1580"/>
    <mergeCell ref="F839:G839"/>
    <mergeCell ref="H1123:P1123"/>
    <mergeCell ref="B2072:C2072"/>
    <mergeCell ref="B1615:C1615"/>
    <mergeCell ref="F105:G105"/>
    <mergeCell ref="F2386:H2386"/>
    <mergeCell ref="F2109:G2109"/>
    <mergeCell ref="F710:G710"/>
    <mergeCell ref="A496:C496"/>
    <mergeCell ref="F255:H255"/>
    <mergeCell ref="F841:G841"/>
    <mergeCell ref="H1125:P1125"/>
    <mergeCell ref="F107:G107"/>
    <mergeCell ref="H1581:P1581"/>
    <mergeCell ref="F2111:G2111"/>
    <mergeCell ref="F712:G712"/>
    <mergeCell ref="F834:G834"/>
    <mergeCell ref="F624:H624"/>
    <mergeCell ref="F1168:G1168"/>
    <mergeCell ref="F1241:P1241"/>
    <mergeCell ref="L1521:P1521"/>
    <mergeCell ref="B1371:C1371"/>
    <mergeCell ref="B301:C301"/>
    <mergeCell ref="D1891:G1891"/>
    <mergeCell ref="F836:G836"/>
    <mergeCell ref="B432:C432"/>
    <mergeCell ref="B1491:C1491"/>
    <mergeCell ref="D2341:G2341"/>
    <mergeCell ref="B303:C303"/>
    <mergeCell ref="B916:C916"/>
    <mergeCell ref="H1293:P1293"/>
    <mergeCell ref="L210:P210"/>
    <mergeCell ref="H2026:P2026"/>
    <mergeCell ref="B1328:C1328"/>
    <mergeCell ref="I1689:L1689"/>
    <mergeCell ref="H2318:P2318"/>
    <mergeCell ref="F465:G465"/>
    <mergeCell ref="F763:G763"/>
    <mergeCell ref="H2237:P2237"/>
    <mergeCell ref="A209:C209"/>
    <mergeCell ref="H838:P838"/>
    <mergeCell ref="H104:P104"/>
    <mergeCell ref="H1294:P1294"/>
    <mergeCell ref="F1824:G1824"/>
    <mergeCell ref="H2108:P2108"/>
    <mergeCell ref="B515:C515"/>
    <mergeCell ref="H106:P106"/>
    <mergeCell ref="H719:P719"/>
    <mergeCell ref="H251:K251"/>
    <mergeCell ref="F1826:G1826"/>
    <mergeCell ref="F1948:G1948"/>
    <mergeCell ref="B627:C627"/>
    <mergeCell ref="D1604:G1604"/>
    <mergeCell ref="H2110:P2110"/>
    <mergeCell ref="L1111:P1111"/>
    <mergeCell ref="I1075:L1075"/>
    <mergeCell ref="B1415:C1415"/>
    <mergeCell ref="H137:P137"/>
    <mergeCell ref="B2441:C2441"/>
    <mergeCell ref="B1984:C1984"/>
    <mergeCell ref="B629:C629"/>
    <mergeCell ref="H591:P591"/>
    <mergeCell ref="I2345:L2345"/>
    <mergeCell ref="F64:G64"/>
    <mergeCell ref="A865:C865"/>
    <mergeCell ref="I1402:L1402"/>
    <mergeCell ref="F257:P257"/>
    <mergeCell ref="B1417:C1417"/>
    <mergeCell ref="F178:G178"/>
    <mergeCell ref="B960:C960"/>
    <mergeCell ref="F476:G476"/>
    <mergeCell ref="H1652:P1652"/>
    <mergeCell ref="H1950:P1950"/>
    <mergeCell ref="B2144:C2144"/>
    <mergeCell ref="B2442:C2442"/>
    <mergeCell ref="B1410:C1410"/>
    <mergeCell ref="F2427:H2427"/>
    <mergeCell ref="F1537:G1537"/>
    <mergeCell ref="F1610:P1610"/>
    <mergeCell ref="H1821:P1821"/>
    <mergeCell ref="A1321:E1321"/>
    <mergeCell ref="H1952:P1952"/>
    <mergeCell ref="F21:G21"/>
    <mergeCell ref="B228:C228"/>
    <mergeCell ref="H920:P920"/>
    <mergeCell ref="H2095:K2095"/>
    <mergeCell ref="B2313:C2313"/>
    <mergeCell ref="H463:P463"/>
    <mergeCell ref="H1489:P1489"/>
    <mergeCell ref="F1539:G1539"/>
    <mergeCell ref="H1823:P1823"/>
    <mergeCell ref="F2152:G2152"/>
    <mergeCell ref="F665:H665"/>
    <mergeCell ref="F181:G181"/>
    <mergeCell ref="L701:P701"/>
    <mergeCell ref="H1249:P1249"/>
    <mergeCell ref="A1272:P1272"/>
    <mergeCell ref="B1741:C1741"/>
    <mergeCell ref="H1947:P1947"/>
    <mergeCell ref="A435:C435"/>
    <mergeCell ref="I2058:L2058"/>
    <mergeCell ref="B1743:C1743"/>
    <mergeCell ref="F504:G504"/>
    <mergeCell ref="L2218:P2218"/>
    <mergeCell ref="F802:G802"/>
    <mergeCell ref="A2222:E2222"/>
    <mergeCell ref="H1244:P1244"/>
    <mergeCell ref="A951:E951"/>
    <mergeCell ref="H2268:P2268"/>
    <mergeCell ref="B2068:C2068"/>
    <mergeCell ref="F506:G506"/>
    <mergeCell ref="H475:P475"/>
    <mergeCell ref="F1863:G1863"/>
    <mergeCell ref="A1034:E1034"/>
    <mergeCell ref="H2278:P2278"/>
    <mergeCell ref="B554:C554"/>
    <mergeCell ref="H1246:P1246"/>
    <mergeCell ref="H176:P176"/>
    <mergeCell ref="F505:G505"/>
    <mergeCell ref="M1279:P1279"/>
    <mergeCell ref="I418:L418"/>
    <mergeCell ref="A1928:P1928"/>
    <mergeCell ref="H64:P64"/>
    <mergeCell ref="H2423:K2423"/>
    <mergeCell ref="F378:H378"/>
    <mergeCell ref="H178:P178"/>
    <mergeCell ref="B2069:C2069"/>
    <mergeCell ref="L414:P414"/>
    <mergeCell ref="H476:P476"/>
    <mergeCell ref="A985:P985"/>
    <mergeCell ref="A862:P862"/>
    <mergeCell ref="M1608:P1608"/>
    <mergeCell ref="F1164:G1164"/>
    <mergeCell ref="I1771:L1771"/>
    <mergeCell ref="F2190:G2190"/>
    <mergeCell ref="D496:G496"/>
    <mergeCell ref="B1456:C1456"/>
    <mergeCell ref="D824:G824"/>
    <mergeCell ref="F1166:G1166"/>
    <mergeCell ref="D2014:G2014"/>
    <mergeCell ref="A2379:P2379"/>
    <mergeCell ref="A664:E664"/>
    <mergeCell ref="L5:P5"/>
    <mergeCell ref="B1787:C1787"/>
    <mergeCell ref="H509:P509"/>
    <mergeCell ref="F298:P298"/>
    <mergeCell ref="B1781:C1781"/>
    <mergeCell ref="B2394:C2394"/>
    <mergeCell ref="H1693:P1693"/>
    <mergeCell ref="H1991:P1991"/>
    <mergeCell ref="B267:C267"/>
    <mergeCell ref="H2314:P2314"/>
    <mergeCell ref="F1489:G1489"/>
    <mergeCell ref="H2350:P2350"/>
    <mergeCell ref="F550:G550"/>
    <mergeCell ref="A1641:P1641"/>
    <mergeCell ref="H2024:P2024"/>
    <mergeCell ref="F429:G429"/>
    <mergeCell ref="B269:C269"/>
    <mergeCell ref="H2136:K2136"/>
    <mergeCell ref="H2316:P2316"/>
    <mergeCell ref="B1782:C1782"/>
    <mergeCell ref="H504:P504"/>
    <mergeCell ref="M1936:P1936"/>
    <mergeCell ref="D210:G210"/>
    <mergeCell ref="B752:C752"/>
    <mergeCell ref="A575:P575"/>
    <mergeCell ref="I746:L746"/>
    <mergeCell ref="F1156:H1156"/>
    <mergeCell ref="F1909:G1909"/>
    <mergeCell ref="F1490:G1490"/>
    <mergeCell ref="F431:G431"/>
    <mergeCell ref="B2112:C2112"/>
    <mergeCell ref="H1292:P1292"/>
    <mergeCell ref="D209:G209"/>
    <mergeCell ref="F1621:G1621"/>
    <mergeCell ref="B754:C754"/>
    <mergeCell ref="L2177:P2177"/>
    <mergeCell ref="B1169:C1169"/>
    <mergeCell ref="D1727:G1727"/>
    <mergeCell ref="F1492:G1492"/>
    <mergeCell ref="A2092:P2092"/>
    <mergeCell ref="B1657:C1657"/>
    <mergeCell ref="B923:C923"/>
    <mergeCell ref="B2113:C2113"/>
    <mergeCell ref="D1481:G1481"/>
    <mergeCell ref="B1081:C1081"/>
    <mergeCell ref="B22:C22"/>
    <mergeCell ref="B2107:C2107"/>
    <mergeCell ref="H433:P433"/>
    <mergeCell ref="H555:P555"/>
    <mergeCell ref="A992:E992"/>
    <mergeCell ref="H1617:P1617"/>
    <mergeCell ref="B2115:C2115"/>
    <mergeCell ref="F876:G876"/>
    <mergeCell ref="B1083:C1083"/>
    <mergeCell ref="M624:P624"/>
    <mergeCell ref="H1160:P1160"/>
    <mergeCell ref="H2073:P2073"/>
    <mergeCell ref="F142:G142"/>
    <mergeCell ref="F1332:G1332"/>
    <mergeCell ref="H435:P435"/>
    <mergeCell ref="H557:P557"/>
    <mergeCell ref="H333:K333"/>
    <mergeCell ref="H217:P217"/>
    <mergeCell ref="A681:C681"/>
    <mergeCell ref="H1616:P1616"/>
    <mergeCell ref="M1649:P1649"/>
    <mergeCell ref="H1162:P1162"/>
    <mergeCell ref="I459:L459"/>
    <mergeCell ref="H1603:K1603"/>
    <mergeCell ref="F1203:G1203"/>
    <mergeCell ref="F144:G144"/>
    <mergeCell ref="L1562:P1562"/>
    <mergeCell ref="F1334:G1334"/>
    <mergeCell ref="H1618:P1618"/>
    <mergeCell ref="D2383:G2383"/>
    <mergeCell ref="B2110:C2110"/>
    <mergeCell ref="B467:C467"/>
    <mergeCell ref="L1890:P1890"/>
    <mergeCell ref="L374:P374"/>
    <mergeCell ref="F1205:G1205"/>
    <mergeCell ref="B1737:C1737"/>
    <mergeCell ref="D537:G537"/>
    <mergeCell ref="I1731:L1731"/>
    <mergeCell ref="I1853:L1853"/>
    <mergeCell ref="F2263:H2263"/>
    <mergeCell ref="B469:C469"/>
    <mergeCell ref="A2140:E2140"/>
    <mergeCell ref="D1194:G1194"/>
    <mergeCell ref="B1739:C1739"/>
    <mergeCell ref="I665:L665"/>
    <mergeCell ref="L1891:P1891"/>
    <mergeCell ref="H146:P146"/>
    <mergeCell ref="B340:C340"/>
    <mergeCell ref="A705:E705"/>
    <mergeCell ref="F1988:G1988"/>
    <mergeCell ref="B1828:C1828"/>
    <mergeCell ref="F589:G589"/>
    <mergeCell ref="B796:C796"/>
    <mergeCell ref="H873:P873"/>
    <mergeCell ref="H2063:P2063"/>
    <mergeCell ref="H270:P270"/>
    <mergeCell ref="H1481:K1481"/>
    <mergeCell ref="F1990:G1990"/>
    <mergeCell ref="F958:G958"/>
    <mergeCell ref="H1242:P1242"/>
    <mergeCell ref="H1316:K1316"/>
    <mergeCell ref="H1331:P1331"/>
    <mergeCell ref="H415:K415"/>
    <mergeCell ref="F1861:G1861"/>
    <mergeCell ref="F1983:G1983"/>
    <mergeCell ref="D2096:G2096"/>
    <mergeCell ref="M1977:P1977"/>
    <mergeCell ref="B180:C180"/>
    <mergeCell ref="B552:C552"/>
    <mergeCell ref="I541:L541"/>
    <mergeCell ref="F2317:G2317"/>
    <mergeCell ref="H1542:P1542"/>
    <mergeCell ref="L87:P87"/>
    <mergeCell ref="F801:G801"/>
    <mergeCell ref="H1333:P1333"/>
    <mergeCell ref="D1685:G1685"/>
    <mergeCell ref="I1444:L1444"/>
    <mergeCell ref="I1566:L1566"/>
    <mergeCell ref="B1581:C1581"/>
    <mergeCell ref="F1985:G1985"/>
    <mergeCell ref="A579:C579"/>
    <mergeCell ref="A2095:C2095"/>
    <mergeCell ref="A1361:E1361"/>
    <mergeCell ref="L456:P456"/>
    <mergeCell ref="F2319:G2319"/>
    <mergeCell ref="F803:G803"/>
    <mergeCell ref="D619:G619"/>
    <mergeCell ref="I378:L378"/>
    <mergeCell ref="A907:C907"/>
    <mergeCell ref="B1452:C1452"/>
    <mergeCell ref="L1604:P1604"/>
    <mergeCell ref="A906:C906"/>
    <mergeCell ref="B392:C392"/>
    <mergeCell ref="A1932:C1932"/>
    <mergeCell ref="B1454:C1454"/>
    <mergeCell ref="B1576:C1576"/>
    <mergeCell ref="F377:H377"/>
    <mergeCell ref="B997:C997"/>
    <mergeCell ref="B1295:C1295"/>
    <mergeCell ref="F1703:G1703"/>
    <mergeCell ref="B1910:C1910"/>
    <mergeCell ref="H1987:P1987"/>
    <mergeCell ref="B1453:C1453"/>
    <mergeCell ref="M665:P665"/>
    <mergeCell ref="H2443:P2443"/>
    <mergeCell ref="A1436:P1436"/>
    <mergeCell ref="F1574:G1574"/>
    <mergeCell ref="F1696:G1696"/>
    <mergeCell ref="H1989:P1989"/>
    <mergeCell ref="B265:C265"/>
    <mergeCell ref="F673:G673"/>
    <mergeCell ref="H957:P957"/>
    <mergeCell ref="I2222:L2222"/>
    <mergeCell ref="H1255:P1255"/>
    <mergeCell ref="F514:G514"/>
    <mergeCell ref="F1704:G1704"/>
    <mergeCell ref="D1398:G1398"/>
    <mergeCell ref="F1698:G1698"/>
    <mergeCell ref="A292:C292"/>
    <mergeCell ref="F1734:G1734"/>
    <mergeCell ref="A247:P247"/>
    <mergeCell ref="F1279:H1279"/>
    <mergeCell ref="F2032:G2032"/>
    <mergeCell ref="F218:G218"/>
    <mergeCell ref="F516:G516"/>
    <mergeCell ref="D332:G332"/>
    <mergeCell ref="B1165:C1165"/>
    <mergeCell ref="H958:P958"/>
    <mergeCell ref="A2423:C2423"/>
    <mergeCell ref="F1488:G1488"/>
    <mergeCell ref="F1786:G1786"/>
    <mergeCell ref="A1198:E1198"/>
    <mergeCell ref="B105:C105"/>
    <mergeCell ref="B1167:C1167"/>
    <mergeCell ref="F90:H90"/>
    <mergeCell ref="M50:P50"/>
    <mergeCell ref="B710:C710"/>
    <mergeCell ref="F1416:G1416"/>
    <mergeCell ref="H1700:P1700"/>
    <mergeCell ref="F2029:G2029"/>
    <mergeCell ref="H1858:P1858"/>
    <mergeCell ref="B1160:C1160"/>
    <mergeCell ref="M1320:P1320"/>
    <mergeCell ref="H342:P342"/>
    <mergeCell ref="B2111:C2111"/>
    <mergeCell ref="A1149:P1149"/>
    <mergeCell ref="B1377:C1377"/>
    <mergeCell ref="H676:P676"/>
    <mergeCell ref="H1702:P1702"/>
    <mergeCell ref="H373:K373"/>
    <mergeCell ref="M132:P132"/>
    <mergeCell ref="H553:P553"/>
    <mergeCell ref="H670:P670"/>
    <mergeCell ref="H968:P968"/>
    <mergeCell ref="B1168:C1168"/>
    <mergeCell ref="H1245:P1245"/>
    <mergeCell ref="H1283:P1283"/>
    <mergeCell ref="M1772:P1772"/>
    <mergeCell ref="H678:P678"/>
    <mergeCell ref="A1231:P1231"/>
    <mergeCell ref="F1330:G1330"/>
    <mergeCell ref="H1614:P1614"/>
    <mergeCell ref="F229:G229"/>
    <mergeCell ref="H513:P513"/>
    <mergeCell ref="H671:P671"/>
    <mergeCell ref="F1201:G1201"/>
    <mergeCell ref="A620:C620"/>
    <mergeCell ref="F746:H746"/>
    <mergeCell ref="F1499:G1499"/>
    <mergeCell ref="F1936:H1936"/>
    <mergeCell ref="F2391:G2391"/>
    <mergeCell ref="F598:G598"/>
    <mergeCell ref="A1706:C1706"/>
    <mergeCell ref="F1501:G1501"/>
    <mergeCell ref="B135:C135"/>
    <mergeCell ref="B433:C433"/>
    <mergeCell ref="H2300:K2300"/>
    <mergeCell ref="B1824:C1824"/>
    <mergeCell ref="B792:C792"/>
    <mergeCell ref="B1818:C1818"/>
    <mergeCell ref="B1090:C1090"/>
    <mergeCell ref="H86:K86"/>
    <mergeCell ref="H266:P266"/>
    <mergeCell ref="H2351:P2351"/>
    <mergeCell ref="D251:G251"/>
    <mergeCell ref="H302:P302"/>
    <mergeCell ref="B1826:C1826"/>
    <mergeCell ref="F2401:G2401"/>
    <mergeCell ref="H2359:P2359"/>
    <mergeCell ref="F1043:G1043"/>
    <mergeCell ref="H268:P268"/>
    <mergeCell ref="H1327:P1327"/>
    <mergeCell ref="B1819:C1819"/>
    <mergeCell ref="F2403:G2403"/>
    <mergeCell ref="F1946:G1946"/>
    <mergeCell ref="F914:G914"/>
    <mergeCell ref="F459:H459"/>
    <mergeCell ref="I49:L49"/>
    <mergeCell ref="A333:C333"/>
    <mergeCell ref="F1045:G1045"/>
    <mergeCell ref="I1239:L1239"/>
    <mergeCell ref="H1329:P1329"/>
    <mergeCell ref="F1649:H1649"/>
    <mergeCell ref="F2104:G2104"/>
    <mergeCell ref="F924:G924"/>
    <mergeCell ref="A1603:C1603"/>
    <mergeCell ref="F995:P995"/>
    <mergeCell ref="F916:G916"/>
    <mergeCell ref="B1247:C1247"/>
    <mergeCell ref="F1214:G1214"/>
    <mergeCell ref="F184:G184"/>
    <mergeCell ref="H2013:K2013"/>
    <mergeCell ref="B1537:C1537"/>
    <mergeCell ref="B65:C65"/>
    <mergeCell ref="F1245:G1245"/>
    <mergeCell ref="M1361:P1361"/>
    <mergeCell ref="H628:P628"/>
    <mergeCell ref="B2152:C2152"/>
    <mergeCell ref="B1120:C1120"/>
    <mergeCell ref="H2116:P2116"/>
    <mergeCell ref="B1418:C1418"/>
    <mergeCell ref="F179:G179"/>
    <mergeCell ref="H1040:P1040"/>
    <mergeCell ref="F1369:G1369"/>
    <mergeCell ref="H594:P594"/>
    <mergeCell ref="H2230:P2230"/>
    <mergeCell ref="F2305:H2305"/>
    <mergeCell ref="F187:G187"/>
    <mergeCell ref="H2074:P2074"/>
    <mergeCell ref="F1371:G1371"/>
    <mergeCell ref="H1655:P1655"/>
    <mergeCell ref="F1694:G1694"/>
    <mergeCell ref="L865:P865"/>
    <mergeCell ref="A1358:C1358"/>
    <mergeCell ref="F637:G637"/>
    <mergeCell ref="B504:C504"/>
    <mergeCell ref="A869:E869"/>
    <mergeCell ref="A1316:C1316"/>
    <mergeCell ref="B802:C802"/>
    <mergeCell ref="F2028:G2028"/>
    <mergeCell ref="F708:P708"/>
    <mergeCell ref="A415:C415"/>
    <mergeCell ref="H2401:P2401"/>
    <mergeCell ref="F1733:P1733"/>
    <mergeCell ref="H312:P312"/>
    <mergeCell ref="H455:K455"/>
    <mergeCell ref="B1863:C1863"/>
    <mergeCell ref="H13:P13"/>
    <mergeCell ref="B962:C962"/>
    <mergeCell ref="A1747:C1747"/>
    <mergeCell ref="B505:C505"/>
    <mergeCell ref="I1279:L1279"/>
    <mergeCell ref="B2232:C2232"/>
    <mergeCell ref="B833:C833"/>
    <mergeCell ref="H1829:P1829"/>
    <mergeCell ref="D2423:G2423"/>
    <mergeCell ref="H15:P15"/>
    <mergeCell ref="F1082:G1082"/>
    <mergeCell ref="F23:G23"/>
    <mergeCell ref="H307:P307"/>
    <mergeCell ref="H1366:P1366"/>
    <mergeCell ref="M1443:P1443"/>
    <mergeCell ref="I1608:L1608"/>
    <mergeCell ref="B1164:C1164"/>
    <mergeCell ref="H184:P184"/>
    <mergeCell ref="H2154:P2154"/>
    <mergeCell ref="F1084:G1084"/>
    <mergeCell ref="H1368:P1368"/>
    <mergeCell ref="F627:G627"/>
    <mergeCell ref="A1071:C1071"/>
    <mergeCell ref="B1166:C1166"/>
    <mergeCell ref="F2354:G2354"/>
    <mergeCell ref="F421:P421"/>
    <mergeCell ref="A1525:E1525"/>
    <mergeCell ref="H2156:P2156"/>
    <mergeCell ref="A948:C948"/>
    <mergeCell ref="F1415:G1415"/>
    <mergeCell ref="H1699:P1699"/>
    <mergeCell ref="F874:G874"/>
    <mergeCell ref="F996:G996"/>
    <mergeCell ref="B1618:C1618"/>
    <mergeCell ref="H25:P25"/>
    <mergeCell ref="F2356:G2356"/>
    <mergeCell ref="F1286:G1286"/>
    <mergeCell ref="B1489:C1489"/>
    <mergeCell ref="A1854:E1854"/>
    <mergeCell ref="H669:P669"/>
    <mergeCell ref="F1296:G1296"/>
    <mergeCell ref="L2095:P2095"/>
    <mergeCell ref="B1945:C1945"/>
    <mergeCell ref="B429:C429"/>
    <mergeCell ref="D2136:G2136"/>
    <mergeCell ref="B465:C465"/>
    <mergeCell ref="B220:C220"/>
    <mergeCell ref="F556:G556"/>
    <mergeCell ref="F714:G714"/>
    <mergeCell ref="H998:P998"/>
    <mergeCell ref="F1740:G1740"/>
    <mergeCell ref="B1947:C1947"/>
    <mergeCell ref="B1490:C1490"/>
    <mergeCell ref="B431:C431"/>
    <mergeCell ref="F2196:G2196"/>
    <mergeCell ref="H351:P351"/>
    <mergeCell ref="A910:E910"/>
    <mergeCell ref="D374:G374"/>
    <mergeCell ref="A4:C4"/>
    <mergeCell ref="A739:P739"/>
    <mergeCell ref="H1000:P1000"/>
    <mergeCell ref="F1320:H1320"/>
    <mergeCell ref="F2067:G2067"/>
    <mergeCell ref="F1008:G1008"/>
    <mergeCell ref="F2198:G2198"/>
    <mergeCell ref="F551:G551"/>
    <mergeCell ref="H1412:P1412"/>
    <mergeCell ref="H1450:P1450"/>
    <mergeCell ref="F1741:G1741"/>
    <mergeCell ref="B1948:C1948"/>
    <mergeCell ref="F709:G709"/>
    <mergeCell ref="H2025:P2025"/>
    <mergeCell ref="F132:H132"/>
    <mergeCell ref="F254:H254"/>
    <mergeCell ref="A2182:E2182"/>
    <mergeCell ref="F1612:G1612"/>
    <mergeCell ref="F711:G711"/>
    <mergeCell ref="F1009:G1009"/>
    <mergeCell ref="A2256:P2256"/>
    <mergeCell ref="B142:C142"/>
    <mergeCell ref="F1981:G1981"/>
    <mergeCell ref="M296:P296"/>
    <mergeCell ref="B1332:C1332"/>
    <mergeCell ref="I1649:L1649"/>
    <mergeCell ref="B1660:C1660"/>
    <mergeCell ref="B1203:C1203"/>
    <mergeCell ref="B144:C144"/>
    <mergeCell ref="B2393:C2393"/>
    <mergeCell ref="H2193:P2193"/>
    <mergeCell ref="B302:C302"/>
    <mergeCell ref="H497:K497"/>
    <mergeCell ref="H677:P677"/>
    <mergeCell ref="M1813:P1813"/>
    <mergeCell ref="H713:P713"/>
    <mergeCell ref="H835:P835"/>
    <mergeCell ref="F1365:G1365"/>
    <mergeCell ref="B1205:C1205"/>
    <mergeCell ref="F1976:H1976"/>
    <mergeCell ref="H2195:P2195"/>
    <mergeCell ref="F640:G640"/>
    <mergeCell ref="F422:G422"/>
    <mergeCell ref="H2114:P2114"/>
    <mergeCell ref="A86:C86"/>
    <mergeCell ref="M1771:P1771"/>
    <mergeCell ref="H715:P715"/>
    <mergeCell ref="F1367:G1367"/>
    <mergeCell ref="F2184:P2184"/>
    <mergeCell ref="F1665:G1665"/>
    <mergeCell ref="A1895:E1895"/>
    <mergeCell ref="F633:G633"/>
    <mergeCell ref="H1171:P1171"/>
    <mergeCell ref="A989:C989"/>
    <mergeCell ref="F1456:G1456"/>
    <mergeCell ref="H824:K824"/>
    <mergeCell ref="F424:G424"/>
    <mergeCell ref="A2198:C2198"/>
    <mergeCell ref="M2140:P2140"/>
    <mergeCell ref="F722:G722"/>
    <mergeCell ref="A1969:P1969"/>
    <mergeCell ref="A2075:C2075"/>
    <mergeCell ref="M9:P9"/>
    <mergeCell ref="F1239:H1239"/>
    <mergeCell ref="A1846:P1846"/>
    <mergeCell ref="B958:C958"/>
    <mergeCell ref="L2136:P2136"/>
    <mergeCell ref="D415:G415"/>
    <mergeCell ref="B835:C835"/>
    <mergeCell ref="B506:C506"/>
    <mergeCell ref="B1861:C1861"/>
    <mergeCell ref="H1825:P1825"/>
    <mergeCell ref="B1127:C1127"/>
    <mergeCell ref="H426:P426"/>
    <mergeCell ref="H309:P309"/>
    <mergeCell ref="B2317:C2317"/>
    <mergeCell ref="F1078:G1078"/>
    <mergeCell ref="F353:G353"/>
    <mergeCell ref="H1827:P1827"/>
    <mergeCell ref="B1129:C1129"/>
    <mergeCell ref="A2386:E2386"/>
    <mergeCell ref="H428:P428"/>
    <mergeCell ref="H311:P311"/>
    <mergeCell ref="B2319:C2319"/>
    <mergeCell ref="F1080:G1080"/>
    <mergeCell ref="L251:P251"/>
    <mergeCell ref="F1378:G1378"/>
    <mergeCell ref="F1536:G1536"/>
    <mergeCell ref="H761:P761"/>
    <mergeCell ref="H1820:P1820"/>
    <mergeCell ref="F2439:G2439"/>
    <mergeCell ref="H638:P638"/>
    <mergeCell ref="H1664:P1664"/>
    <mergeCell ref="A2223:E2223"/>
    <mergeCell ref="F348:G348"/>
    <mergeCell ref="F952:H952"/>
    <mergeCell ref="F1538:G1538"/>
    <mergeCell ref="H1822:P1822"/>
    <mergeCell ref="F1081:G1081"/>
    <mergeCell ref="A2096:C2096"/>
    <mergeCell ref="I1607:L1607"/>
    <mergeCell ref="F2441:G2441"/>
    <mergeCell ref="L578:P578"/>
    <mergeCell ref="F1292:G1292"/>
    <mergeCell ref="L1768:P1768"/>
    <mergeCell ref="A582:E582"/>
    <mergeCell ref="B1574:C1574"/>
    <mergeCell ref="I1935:L1935"/>
    <mergeCell ref="B673:C673"/>
    <mergeCell ref="B2030:C2030"/>
    <mergeCell ref="B514:C514"/>
    <mergeCell ref="B550:C550"/>
    <mergeCell ref="F679:G679"/>
    <mergeCell ref="H1540:P1540"/>
    <mergeCell ref="L579:P579"/>
    <mergeCell ref="A2099:E2099"/>
    <mergeCell ref="B2032:C2032"/>
    <mergeCell ref="H24:P24"/>
    <mergeCell ref="F872:P872"/>
    <mergeCell ref="A583:E583"/>
    <mergeCell ref="H18:P18"/>
    <mergeCell ref="F793:G793"/>
    <mergeCell ref="F1406:G1406"/>
    <mergeCell ref="A1976:E1976"/>
    <mergeCell ref="H2267:P2267"/>
    <mergeCell ref="H1533:P1533"/>
    <mergeCell ref="F1200:P1200"/>
    <mergeCell ref="F2194:G2194"/>
    <mergeCell ref="H53:P53"/>
    <mergeCell ref="F382:G382"/>
    <mergeCell ref="H1079:P1079"/>
    <mergeCell ref="H2269:P2269"/>
    <mergeCell ref="B545:C545"/>
    <mergeCell ref="F680:G680"/>
    <mergeCell ref="F674:G674"/>
    <mergeCell ref="H1535:P1535"/>
    <mergeCell ref="F2071:G2071"/>
    <mergeCell ref="F794:G794"/>
    <mergeCell ref="M2181:P2181"/>
    <mergeCell ref="H55:P55"/>
    <mergeCell ref="I1320:L1320"/>
    <mergeCell ref="L291:P291"/>
    <mergeCell ref="H353:P353"/>
    <mergeCell ref="F1005:G1005"/>
    <mergeCell ref="L1481:P1481"/>
    <mergeCell ref="A295:E295"/>
    <mergeCell ref="F2189:G2189"/>
    <mergeCell ref="D373:G373"/>
    <mergeCell ref="B999:C999"/>
    <mergeCell ref="F2066:G2066"/>
    <mergeCell ref="B876:C876"/>
    <mergeCell ref="I1772:L1772"/>
    <mergeCell ref="L292:P292"/>
    <mergeCell ref="H1866:P1866"/>
    <mergeCell ref="F585:P585"/>
    <mergeCell ref="A1689:E1689"/>
    <mergeCell ref="A296:E296"/>
    <mergeCell ref="M541:P541"/>
    <mergeCell ref="A1566:E1566"/>
    <mergeCell ref="B2391:C2391"/>
    <mergeCell ref="F1907:G1907"/>
    <mergeCell ref="H798:P798"/>
    <mergeCell ref="H2191:P2191"/>
    <mergeCell ref="H352:P352"/>
    <mergeCell ref="B598:C598"/>
    <mergeCell ref="F1778:G1778"/>
    <mergeCell ref="M1894:P1894"/>
    <mergeCell ref="B1659:C1659"/>
    <mergeCell ref="H381:P381"/>
    <mergeCell ref="H1736:P1736"/>
    <mergeCell ref="F1788:G1788"/>
    <mergeCell ref="H2034:P2034"/>
    <mergeCell ref="F718:G718"/>
    <mergeCell ref="A452:P452"/>
    <mergeCell ref="H2192:P2192"/>
    <mergeCell ref="A1870:C1870"/>
    <mergeCell ref="D86:G86"/>
    <mergeCell ref="B712:C712"/>
    <mergeCell ref="I2428:L2428"/>
    <mergeCell ref="F1779:G1779"/>
    <mergeCell ref="F720:G720"/>
    <mergeCell ref="B2401:C2401"/>
    <mergeCell ref="F1910:G1910"/>
    <mergeCell ref="B589:C589"/>
    <mergeCell ref="H1579:P1579"/>
    <mergeCell ref="B1043:C1043"/>
    <mergeCell ref="H63:P63"/>
    <mergeCell ref="B800:C800"/>
    <mergeCell ref="H1492:P1492"/>
    <mergeCell ref="B1990:C1990"/>
    <mergeCell ref="F751:G751"/>
    <mergeCell ref="B914:C914"/>
    <mergeCell ref="B2104:C2104"/>
    <mergeCell ref="H1904:P1904"/>
    <mergeCell ref="F2233:G2233"/>
    <mergeCell ref="F148:G148"/>
    <mergeCell ref="H432:P432"/>
    <mergeCell ref="B1983:C1983"/>
    <mergeCell ref="B924:C924"/>
    <mergeCell ref="A66:C66"/>
    <mergeCell ref="H546:P546"/>
    <mergeCell ref="M8:P8"/>
    <mergeCell ref="F19:G19"/>
    <mergeCell ref="F1209:G1209"/>
    <mergeCell ref="H1493:P1493"/>
    <mergeCell ref="F2235:G2235"/>
    <mergeCell ref="H1449:P1449"/>
    <mergeCell ref="H94:P94"/>
    <mergeCell ref="B1985:C1985"/>
    <mergeCell ref="M1526:P1526"/>
    <mergeCell ref="A165:P165"/>
    <mergeCell ref="A1583:C1583"/>
    <mergeCell ref="H1451:P1451"/>
    <mergeCell ref="I1361:L1361"/>
    <mergeCell ref="F1771:H1771"/>
    <mergeCell ref="F2105:G2105"/>
    <mergeCell ref="F20:G20"/>
    <mergeCell ref="F1046:G1046"/>
    <mergeCell ref="H1907:P1907"/>
    <mergeCell ref="L373:P373"/>
    <mergeCell ref="H877:P877"/>
    <mergeCell ref="B179:C179"/>
    <mergeCell ref="A824:C824"/>
    <mergeCell ref="B1369:C1369"/>
    <mergeCell ref="F2140:H2140"/>
    <mergeCell ref="B1703:C1703"/>
    <mergeCell ref="F464:G464"/>
    <mergeCell ref="H145:P145"/>
    <mergeCell ref="B1696:C1696"/>
    <mergeCell ref="B637:C637"/>
    <mergeCell ref="H1111:K1111"/>
    <mergeCell ref="H750:P750"/>
    <mergeCell ref="H2238:P2238"/>
    <mergeCell ref="F922:G922"/>
    <mergeCell ref="H147:P147"/>
    <mergeCell ref="H1206:P1206"/>
    <mergeCell ref="F1858:G1858"/>
    <mergeCell ref="B1698:C1698"/>
    <mergeCell ref="A2239:C2239"/>
    <mergeCell ref="H874:P874"/>
    <mergeCell ref="H1172:P1172"/>
    <mergeCell ref="M2264:P2264"/>
    <mergeCell ref="H1208:P1208"/>
    <mergeCell ref="F2279:G2279"/>
    <mergeCell ref="H1531:P1531"/>
    <mergeCell ref="F1738:G1738"/>
    <mergeCell ref="F1860:G1860"/>
    <mergeCell ref="L86:P86"/>
    <mergeCell ref="F678:G678"/>
    <mergeCell ref="A537:C537"/>
    <mergeCell ref="B1082:C1082"/>
    <mergeCell ref="I1443:L1443"/>
    <mergeCell ref="F1853:H1853"/>
    <mergeCell ref="F792:G792"/>
    <mergeCell ref="L989:P989"/>
    <mergeCell ref="A456:C456"/>
    <mergeCell ref="F1090:G1090"/>
    <mergeCell ref="B1416:C1416"/>
    <mergeCell ref="B1293:C1293"/>
    <mergeCell ref="B58:C58"/>
    <mergeCell ref="B1084:C1084"/>
    <mergeCell ref="L1358:P1358"/>
    <mergeCell ref="B350:C350"/>
    <mergeCell ref="A172:E172"/>
    <mergeCell ref="H803:P803"/>
    <mergeCell ref="H1862:P1862"/>
    <mergeCell ref="A1809:C1809"/>
    <mergeCell ref="B2354:C2354"/>
    <mergeCell ref="B60:C60"/>
    <mergeCell ref="B996:C996"/>
    <mergeCell ref="F390:G390"/>
    <mergeCell ref="H1864:P1864"/>
    <mergeCell ref="H1986:P1986"/>
    <mergeCell ref="F1123:G1123"/>
    <mergeCell ref="M49:P49"/>
    <mergeCell ref="B1330:C1330"/>
    <mergeCell ref="H885:P885"/>
    <mergeCell ref="B2356:C2356"/>
    <mergeCell ref="H2320:P2320"/>
    <mergeCell ref="F389:G389"/>
    <mergeCell ref="H2096:K2096"/>
    <mergeCell ref="H2276:P2276"/>
    <mergeCell ref="H804:P804"/>
    <mergeCell ref="H1973:K1973"/>
    <mergeCell ref="F1573:G1573"/>
    <mergeCell ref="F180:G180"/>
    <mergeCell ref="H1857:P1857"/>
    <mergeCell ref="M1567:P1567"/>
    <mergeCell ref="A1193:C1193"/>
    <mergeCell ref="F391:G391"/>
    <mergeCell ref="H675:P675"/>
    <mergeCell ref="F385:G385"/>
    <mergeCell ref="F1581:G1581"/>
    <mergeCell ref="H1859:P1859"/>
    <mergeCell ref="I1156:L1156"/>
    <mergeCell ref="A169:C169"/>
    <mergeCell ref="F515:G515"/>
    <mergeCell ref="B2196:C2196"/>
    <mergeCell ref="F2102:P2102"/>
    <mergeCell ref="A1194:C1194"/>
    <mergeCell ref="L1071:P1071"/>
    <mergeCell ref="H1575:P1575"/>
    <mergeCell ref="A1075:E1075"/>
    <mergeCell ref="A1522:C1522"/>
    <mergeCell ref="H59:P59"/>
    <mergeCell ref="B1008:C1008"/>
    <mergeCell ref="B2067:C2067"/>
    <mergeCell ref="H1541:P1541"/>
    <mergeCell ref="B587:C587"/>
    <mergeCell ref="B709:C709"/>
    <mergeCell ref="A952:E952"/>
    <mergeCell ref="B885:C885"/>
    <mergeCell ref="H1577:P1577"/>
    <mergeCell ref="H61:P61"/>
    <mergeCell ref="M2223:P2223"/>
    <mergeCell ref="B920:C920"/>
    <mergeCell ref="B2227:C2227"/>
    <mergeCell ref="H219:P219"/>
    <mergeCell ref="F2318:G2318"/>
    <mergeCell ref="H517:P517"/>
    <mergeCell ref="B711:C711"/>
    <mergeCell ref="H1570:P1570"/>
    <mergeCell ref="H1686:K1686"/>
    <mergeCell ref="A2280:C2280"/>
    <mergeCell ref="H1701:P1701"/>
    <mergeCell ref="F2231:G2231"/>
    <mergeCell ref="M131:P131"/>
    <mergeCell ref="I1812:L1812"/>
    <mergeCell ref="B1981:C1981"/>
    <mergeCell ref="F104:G104"/>
    <mergeCell ref="H388:P388"/>
    <mergeCell ref="F1294:G1294"/>
    <mergeCell ref="H1578:P1578"/>
    <mergeCell ref="A1214:C1214"/>
    <mergeCell ref="H1572:P1572"/>
    <mergeCell ref="M1034:P1034"/>
    <mergeCell ref="F2230:G2230"/>
    <mergeCell ref="F106:G106"/>
    <mergeCell ref="H390:P390"/>
    <mergeCell ref="B1909:C1909"/>
    <mergeCell ref="F1042:G1042"/>
    <mergeCell ref="D497:G497"/>
    <mergeCell ref="F2232:G2232"/>
    <mergeCell ref="I1813:L1813"/>
    <mergeCell ref="F833:G833"/>
    <mergeCell ref="F623:H623"/>
    <mergeCell ref="A788:E788"/>
    <mergeCell ref="B308:C308"/>
    <mergeCell ref="F1569:P1569"/>
    <mergeCell ref="H46:K46"/>
    <mergeCell ref="B1699:C1699"/>
    <mergeCell ref="F2103:G2103"/>
    <mergeCell ref="F1648:H1648"/>
    <mergeCell ref="H1905:P1905"/>
    <mergeCell ref="B300:C300"/>
    <mergeCell ref="B422:C422"/>
    <mergeCell ref="B2437:C2437"/>
    <mergeCell ref="A542:E542"/>
    <mergeCell ref="H1290:P1290"/>
    <mergeCell ref="B310:C310"/>
    <mergeCell ref="H2177:K2177"/>
    <mergeCell ref="B633:C633"/>
    <mergeCell ref="H230:P230"/>
    <mergeCell ref="H1399:K1399"/>
    <mergeCell ref="H2234:P2234"/>
    <mergeCell ref="H1202:P1202"/>
    <mergeCell ref="H143:P143"/>
    <mergeCell ref="H2228:P2228"/>
    <mergeCell ref="B1694:C1694"/>
    <mergeCell ref="A2059:E2059"/>
    <mergeCell ref="F430:G430"/>
    <mergeCell ref="H1291:P1291"/>
    <mergeCell ref="H988:K988"/>
    <mergeCell ref="F1821:G1821"/>
    <mergeCell ref="H2236:P2236"/>
    <mergeCell ref="H1204:P1204"/>
    <mergeCell ref="F463:G463"/>
    <mergeCell ref="F8:H8"/>
    <mergeCell ref="A2017:E2017"/>
    <mergeCell ref="F2402:G2402"/>
    <mergeCell ref="F755:G755"/>
    <mergeCell ref="F1405:P1405"/>
    <mergeCell ref="H1170:P1170"/>
    <mergeCell ref="F1945:G1945"/>
    <mergeCell ref="H2229:P2229"/>
    <mergeCell ref="A210:C210"/>
    <mergeCell ref="F336:H336"/>
    <mergeCell ref="B1078:C1078"/>
    <mergeCell ref="B21:C21"/>
    <mergeCell ref="F1282:P1282"/>
    <mergeCell ref="F2156:G2156"/>
    <mergeCell ref="F1816:G1816"/>
    <mergeCell ref="D579:G579"/>
    <mergeCell ref="F757:G757"/>
    <mergeCell ref="F1361:H1361"/>
    <mergeCell ref="B1412:C1412"/>
    <mergeCell ref="F1947:G1947"/>
    <mergeCell ref="H2231:P2231"/>
    <mergeCell ref="A1296:C1296"/>
    <mergeCell ref="A255:E255"/>
    <mergeCell ref="H1890:K1890"/>
    <mergeCell ref="F1818:G1818"/>
    <mergeCell ref="M500:P500"/>
    <mergeCell ref="B1536:C1536"/>
    <mergeCell ref="F337:H337"/>
    <mergeCell ref="M1690:P1690"/>
    <mergeCell ref="A2321:C2321"/>
    <mergeCell ref="F631:G631"/>
    <mergeCell ref="F1244:G1244"/>
    <mergeCell ref="F185:G185"/>
    <mergeCell ref="B2439:C2439"/>
    <mergeCell ref="B1407:C1407"/>
    <mergeCell ref="B348:C348"/>
    <mergeCell ref="B1538:C1538"/>
    <mergeCell ref="H701:K701"/>
    <mergeCell ref="F597:G597"/>
    <mergeCell ref="H1949:P1949"/>
    <mergeCell ref="F56:G56"/>
    <mergeCell ref="H917:P917"/>
    <mergeCell ref="M501:P501"/>
    <mergeCell ref="F1246:G1246"/>
    <mergeCell ref="F176:G176"/>
    <mergeCell ref="B1409:C1409"/>
    <mergeCell ref="H2399:P2399"/>
    <mergeCell ref="F468:G468"/>
    <mergeCell ref="F1658:G1658"/>
    <mergeCell ref="H883:P883"/>
    <mergeCell ref="H1942:P1942"/>
    <mergeCell ref="H1041:P1041"/>
    <mergeCell ref="F1571:G1571"/>
    <mergeCell ref="F1869:G1869"/>
    <mergeCell ref="F1529:G1529"/>
    <mergeCell ref="D292:G292"/>
    <mergeCell ref="F57:G57"/>
    <mergeCell ref="B679:C679"/>
    <mergeCell ref="H1944:P1944"/>
    <mergeCell ref="F2264:H2264"/>
    <mergeCell ref="B2192:C2192"/>
    <mergeCell ref="B837:C837"/>
    <mergeCell ref="F993:H993"/>
    <mergeCell ref="H586:P586"/>
    <mergeCell ref="H1370:P1370"/>
    <mergeCell ref="H87:K87"/>
    <mergeCell ref="F1414:G1414"/>
    <mergeCell ref="F50:H50"/>
    <mergeCell ref="M1403:P1403"/>
    <mergeCell ref="B1740:C1740"/>
    <mergeCell ref="B382:C382"/>
    <mergeCell ref="H1357:K1357"/>
    <mergeCell ref="H182:P182"/>
    <mergeCell ref="B680:C680"/>
    <mergeCell ref="B674:C674"/>
    <mergeCell ref="H456:K456"/>
    <mergeCell ref="B794:C794"/>
    <mergeCell ref="H414:K414"/>
    <mergeCell ref="F923:G923"/>
    <mergeCell ref="I2181:L2181"/>
    <mergeCell ref="H1662:P1662"/>
    <mergeCell ref="B551:C551"/>
    <mergeCell ref="F2314:G2314"/>
    <mergeCell ref="F959:G959"/>
    <mergeCell ref="H1243:P1243"/>
    <mergeCell ref="B1005:C1005"/>
    <mergeCell ref="H1697:P1697"/>
    <mergeCell ref="H304:P304"/>
    <mergeCell ref="B1041:C1041"/>
    <mergeCell ref="H183:P183"/>
    <mergeCell ref="H2031:P2031"/>
    <mergeCell ref="D948:G948"/>
    <mergeCell ref="A1074:E1074"/>
    <mergeCell ref="F1284:G1284"/>
    <mergeCell ref="F1582:G1582"/>
    <mergeCell ref="F49:H49"/>
    <mergeCell ref="A783:C783"/>
    <mergeCell ref="H627:P627"/>
    <mergeCell ref="F706:H706"/>
    <mergeCell ref="A1973:C1973"/>
    <mergeCell ref="H1868:P1868"/>
    <mergeCell ref="F1323:P1323"/>
    <mergeCell ref="F1127:G1127"/>
    <mergeCell ref="F2346:H2346"/>
    <mergeCell ref="F1285:G1285"/>
    <mergeCell ref="B1907:C1907"/>
    <mergeCell ref="B95:C95"/>
    <mergeCell ref="B1664:C1664"/>
    <mergeCell ref="B393:C393"/>
    <mergeCell ref="F1692:P1692"/>
    <mergeCell ref="B306:C306"/>
    <mergeCell ref="F1287:G1287"/>
    <mergeCell ref="B97:C97"/>
    <mergeCell ref="F672:G672"/>
    <mergeCell ref="F555:G555"/>
    <mergeCell ref="H1194:K1194"/>
    <mergeCell ref="B718:C718"/>
    <mergeCell ref="B1367:C1367"/>
    <mergeCell ref="H2357:P2357"/>
    <mergeCell ref="F426:G426"/>
    <mergeCell ref="H2313:P2313"/>
    <mergeCell ref="H228:P228"/>
    <mergeCell ref="M542:P542"/>
    <mergeCell ref="F557:G557"/>
    <mergeCell ref="A787:E787"/>
    <mergeCell ref="F217:G217"/>
    <mergeCell ref="B720:C720"/>
    <mergeCell ref="F1616:G1616"/>
    <mergeCell ref="B1779:C1779"/>
    <mergeCell ref="F1908:G1908"/>
    <mergeCell ref="F428:G428"/>
    <mergeCell ref="I9:L9"/>
    <mergeCell ref="H1289:P1289"/>
    <mergeCell ref="F1618:G1618"/>
    <mergeCell ref="A1686:C1686"/>
    <mergeCell ref="F586:G586"/>
    <mergeCell ref="F131:H131"/>
    <mergeCell ref="F884:G884"/>
    <mergeCell ref="F840:G840"/>
    <mergeCell ref="F2348:P2348"/>
    <mergeCell ref="A1764:P1764"/>
    <mergeCell ref="B17:C17"/>
    <mergeCell ref="F552:G552"/>
    <mergeCell ref="B2233:C2233"/>
    <mergeCell ref="F1943:G1943"/>
    <mergeCell ref="A50:E50"/>
    <mergeCell ref="F886:G886"/>
    <mergeCell ref="H1612:P1612"/>
    <mergeCell ref="B19:C19"/>
    <mergeCell ref="D1726:G1726"/>
    <mergeCell ref="B1209:C1209"/>
    <mergeCell ref="I1526:L1526"/>
    <mergeCell ref="H1742:P1742"/>
    <mergeCell ref="F873:G873"/>
    <mergeCell ref="B143:C143"/>
    <mergeCell ref="B1080:C1080"/>
    <mergeCell ref="B2228:C2228"/>
    <mergeCell ref="H2070:P2070"/>
    <mergeCell ref="H374:K374"/>
    <mergeCell ref="F270:G270"/>
    <mergeCell ref="H554:P554"/>
    <mergeCell ref="F1979:P1979"/>
    <mergeCell ref="H1744:P1744"/>
    <mergeCell ref="B20:C20"/>
    <mergeCell ref="B1046:C1046"/>
    <mergeCell ref="H1738:P1738"/>
    <mergeCell ref="B2105:C2105"/>
    <mergeCell ref="F1242:G1242"/>
    <mergeCell ref="H2072:P2072"/>
    <mergeCell ref="D989:G989"/>
    <mergeCell ref="F1331:G1331"/>
    <mergeCell ref="H1615:P1615"/>
    <mergeCell ref="F1654:G1654"/>
    <mergeCell ref="F299:G299"/>
    <mergeCell ref="F2061:P2061"/>
    <mergeCell ref="F1542:G1542"/>
    <mergeCell ref="A1772:E1772"/>
    <mergeCell ref="F265:G265"/>
    <mergeCell ref="F1656:G1656"/>
    <mergeCell ref="F2269:G2269"/>
    <mergeCell ref="A804:C804"/>
    <mergeCell ref="F599:G599"/>
    <mergeCell ref="B922:C922"/>
    <mergeCell ref="F55:G55"/>
    <mergeCell ref="B1858:C1858"/>
    <mergeCell ref="A288:P288"/>
    <mergeCell ref="M911:P911"/>
    <mergeCell ref="A1156:E1156"/>
    <mergeCell ref="H2398:P2398"/>
    <mergeCell ref="A886:C886"/>
    <mergeCell ref="I2264:L2264"/>
    <mergeCell ref="B670:C670"/>
    <mergeCell ref="B1860:C1860"/>
    <mergeCell ref="H267:P267"/>
    <mergeCell ref="H1457:P1457"/>
    <mergeCell ref="B2194:C2194"/>
    <mergeCell ref="F955:G955"/>
    <mergeCell ref="B795:C795"/>
    <mergeCell ref="B678:C678"/>
    <mergeCell ref="F1253:G1253"/>
    <mergeCell ref="F2443:G2443"/>
    <mergeCell ref="L824:P824"/>
    <mergeCell ref="F1044:G1044"/>
    <mergeCell ref="H269:P269"/>
    <mergeCell ref="A1157:E1157"/>
    <mergeCell ref="H1328:P1328"/>
    <mergeCell ref="F1980:G1980"/>
    <mergeCell ref="F957:G957"/>
    <mergeCell ref="F1774:P1774"/>
    <mergeCell ref="F1255:G1255"/>
    <mergeCell ref="F1377:G1377"/>
    <mergeCell ref="H1539:P1539"/>
    <mergeCell ref="F798:G798"/>
    <mergeCell ref="F1982:G1982"/>
    <mergeCell ref="H181:P181"/>
    <mergeCell ref="M1730:P1730"/>
    <mergeCell ref="F501:H501"/>
    <mergeCell ref="B2189:C2189"/>
    <mergeCell ref="F2280:G2280"/>
    <mergeCell ref="F2316:G2316"/>
    <mergeCell ref="B1449:C1449"/>
    <mergeCell ref="A271:C271"/>
    <mergeCell ref="H927:P927"/>
    <mergeCell ref="H743:K743"/>
    <mergeCell ref="H865:K865"/>
    <mergeCell ref="M2059:P2059"/>
    <mergeCell ref="B389:C389"/>
    <mergeCell ref="D2218:G2218"/>
    <mergeCell ref="B1573:C1573"/>
    <mergeCell ref="I1567:L1567"/>
    <mergeCell ref="L1480:P1480"/>
    <mergeCell ref="F2311:G2311"/>
    <mergeCell ref="H1984:P1984"/>
    <mergeCell ref="A1484:E1484"/>
    <mergeCell ref="B391:C391"/>
    <mergeCell ref="H1083:P1083"/>
    <mergeCell ref="B385:C385"/>
    <mergeCell ref="L537:P537"/>
    <mergeCell ref="F2069:G2069"/>
    <mergeCell ref="B262:C262"/>
    <mergeCell ref="F670:G670"/>
    <mergeCell ref="A1173:C1173"/>
    <mergeCell ref="F968:G968"/>
    <mergeCell ref="H1252:P1252"/>
    <mergeCell ref="H2442:P2442"/>
    <mergeCell ref="H926:P926"/>
    <mergeCell ref="F1695:G1695"/>
    <mergeCell ref="F1614:G1614"/>
    <mergeCell ref="F880:G880"/>
    <mergeCell ref="F513:G513"/>
    <mergeCell ref="F1906:G1906"/>
    <mergeCell ref="H2444:P2444"/>
    <mergeCell ref="F2064:G2064"/>
    <mergeCell ref="F671:G671"/>
    <mergeCell ref="H955:P955"/>
    <mergeCell ref="B874:C874"/>
    <mergeCell ref="B1172:C1172"/>
    <mergeCell ref="I2223:L2223"/>
    <mergeCell ref="L168:P168"/>
    <mergeCell ref="H2437:P2437"/>
    <mergeCell ref="F882:G882"/>
    <mergeCell ref="D1686:G1686"/>
    <mergeCell ref="B1286:C1286"/>
    <mergeCell ref="A599:C599"/>
    <mergeCell ref="I254:L254"/>
    <mergeCell ref="L1193:P1193"/>
    <mergeCell ref="I131:L131"/>
    <mergeCell ref="F541:H541"/>
    <mergeCell ref="L2383:P2383"/>
    <mergeCell ref="B104:C104"/>
    <mergeCell ref="H796:P796"/>
    <mergeCell ref="B1294:C1294"/>
    <mergeCell ref="A1685:C1685"/>
    <mergeCell ref="H1850:K1850"/>
    <mergeCell ref="L169:P169"/>
    <mergeCell ref="H2066:P2066"/>
    <mergeCell ref="A173:E173"/>
    <mergeCell ref="F2351:G2351"/>
    <mergeCell ref="B106:C106"/>
    <mergeCell ref="H2155:P2155"/>
    <mergeCell ref="H341:P341"/>
    <mergeCell ref="H639:P639"/>
    <mergeCell ref="F1487:P1487"/>
    <mergeCell ref="H2068:P2068"/>
    <mergeCell ref="H797:P797"/>
    <mergeCell ref="F1327:G1327"/>
    <mergeCell ref="H1611:P1611"/>
    <mergeCell ref="B2103:C2103"/>
    <mergeCell ref="H2157:P2157"/>
    <mergeCell ref="H668:P668"/>
    <mergeCell ref="H799:P799"/>
    <mergeCell ref="F595:G595"/>
    <mergeCell ref="D1399:G1399"/>
    <mergeCell ref="F138:G138"/>
    <mergeCell ref="H2069:P2069"/>
    <mergeCell ref="A312:C312"/>
    <mergeCell ref="A373:C373"/>
    <mergeCell ref="A1354:P1354"/>
    <mergeCell ref="B430:C430"/>
    <mergeCell ref="D988:G988"/>
    <mergeCell ref="A1398:C1398"/>
    <mergeCell ref="F790:P790"/>
    <mergeCell ref="L1850:P1850"/>
    <mergeCell ref="B2271:C2271"/>
    <mergeCell ref="B186:C186"/>
    <mergeCell ref="F1780:G1780"/>
    <mergeCell ref="H1453:P1453"/>
    <mergeCell ref="B755:C755"/>
    <mergeCell ref="I2387:L2387"/>
    <mergeCell ref="B2402:C2402"/>
    <mergeCell ref="I1116:L1116"/>
    <mergeCell ref="A2304:E2304"/>
    <mergeCell ref="H1781:P1781"/>
    <mergeCell ref="B2279:C2279"/>
    <mergeCell ref="F1040:G1040"/>
    <mergeCell ref="H1324:P1324"/>
    <mergeCell ref="B2273:C2273"/>
    <mergeCell ref="M2427:P2427"/>
    <mergeCell ref="M1156:P1156"/>
    <mergeCell ref="B757:C757"/>
    <mergeCell ref="H1455:P1455"/>
    <mergeCell ref="B1816:C1816"/>
    <mergeCell ref="H721:P721"/>
    <mergeCell ref="F1050:G1050"/>
    <mergeCell ref="A1280:E1280"/>
    <mergeCell ref="H1747:P1747"/>
    <mergeCell ref="B1213:C1213"/>
    <mergeCell ref="H1326:P1326"/>
    <mergeCell ref="H1448:P1448"/>
    <mergeCell ref="H1624:P1624"/>
    <mergeCell ref="B2185:C2185"/>
    <mergeCell ref="F921:G921"/>
    <mergeCell ref="H1782:P1782"/>
    <mergeCell ref="A25:C25"/>
    <mergeCell ref="M1238:P1238"/>
    <mergeCell ref="F1375:G1375"/>
    <mergeCell ref="B54:C54"/>
    <mergeCell ref="A1460:C1460"/>
    <mergeCell ref="H1776:P1776"/>
    <mergeCell ref="B1244:C1244"/>
    <mergeCell ref="B185:C185"/>
    <mergeCell ref="I2018:L2018"/>
    <mergeCell ref="B2274:C2274"/>
    <mergeCell ref="M2428:P2428"/>
    <mergeCell ref="H1784:P1784"/>
    <mergeCell ref="D701:G701"/>
    <mergeCell ref="A394:C394"/>
    <mergeCell ref="F2436:G2436"/>
    <mergeCell ref="B56:C56"/>
    <mergeCell ref="I501:L501"/>
    <mergeCell ref="F582:H582"/>
    <mergeCell ref="I172:L172"/>
    <mergeCell ref="B176:C176"/>
    <mergeCell ref="F309:G309"/>
    <mergeCell ref="B1246:C1246"/>
    <mergeCell ref="F305:G305"/>
    <mergeCell ref="B512:C512"/>
    <mergeCell ref="B468:C468"/>
    <mergeCell ref="I829:L829"/>
    <mergeCell ref="A1726:C1726"/>
    <mergeCell ref="F639:G639"/>
    <mergeCell ref="H2107:P2107"/>
    <mergeCell ref="H22:P22"/>
    <mergeCell ref="A1936:E1936"/>
    <mergeCell ref="D1973:G1973"/>
    <mergeCell ref="F1366:G1366"/>
    <mergeCell ref="F307:G307"/>
    <mergeCell ref="F911:H911"/>
    <mergeCell ref="H1168:P1168"/>
    <mergeCell ref="B57:C57"/>
    <mergeCell ref="B1529:C1529"/>
    <mergeCell ref="H1047:P1047"/>
    <mergeCell ref="H1039:P1039"/>
    <mergeCell ref="F342:G342"/>
    <mergeCell ref="F1368:G1368"/>
    <mergeCell ref="B1898:C1898"/>
    <mergeCell ref="F634:G634"/>
    <mergeCell ref="H1049:P1049"/>
    <mergeCell ref="F2147:G2147"/>
    <mergeCell ref="F308:G308"/>
    <mergeCell ref="M2141:P2141"/>
    <mergeCell ref="D1357:G1357"/>
    <mergeCell ref="A1050:C1050"/>
    <mergeCell ref="H2440:P2440"/>
    <mergeCell ref="D456:G456"/>
    <mergeCell ref="F965:G965"/>
    <mergeCell ref="D414:G414"/>
    <mergeCell ref="A107:C107"/>
    <mergeCell ref="F2149:G2149"/>
    <mergeCell ref="B959:C959"/>
    <mergeCell ref="F1730:H1730"/>
    <mergeCell ref="F669:G669"/>
    <mergeCell ref="L866:P866"/>
    <mergeCell ref="L988:P988"/>
    <mergeCell ref="F214:H214"/>
    <mergeCell ref="F967:G967"/>
    <mergeCell ref="I542:L542"/>
    <mergeCell ref="B1170:C1170"/>
    <mergeCell ref="A1439:C1439"/>
    <mergeCell ref="L1645:P1645"/>
    <mergeCell ref="B1284:C1284"/>
    <mergeCell ref="A1649:E1649"/>
    <mergeCell ref="B2318:C2318"/>
    <mergeCell ref="B1582:C1582"/>
    <mergeCell ref="B227:C227"/>
    <mergeCell ref="H1494:P1494"/>
    <mergeCell ref="F2022:G2022"/>
    <mergeCell ref="H578:K578"/>
    <mergeCell ref="B2231:C2231"/>
    <mergeCell ref="F1567:H1567"/>
    <mergeCell ref="B2353:C2353"/>
    <mergeCell ref="H760:P760"/>
    <mergeCell ref="F1290:G1290"/>
    <mergeCell ref="H2151:P2151"/>
    <mergeCell ref="B1171:C1171"/>
    <mergeCell ref="A1600:P1600"/>
    <mergeCell ref="H762:P762"/>
    <mergeCell ref="B1285:C1285"/>
    <mergeCell ref="H305:P305"/>
    <mergeCell ref="H2153:P2153"/>
    <mergeCell ref="H2275:P2275"/>
    <mergeCell ref="H579:K579"/>
    <mergeCell ref="F1412:G1412"/>
    <mergeCell ref="F1450:G1450"/>
    <mergeCell ref="A534:P534"/>
    <mergeCell ref="F1291:G1291"/>
    <mergeCell ref="H907:K907"/>
    <mergeCell ref="F268:G268"/>
    <mergeCell ref="B2071:C2071"/>
    <mergeCell ref="D46:G46"/>
    <mergeCell ref="B672:C672"/>
    <mergeCell ref="H964:P964"/>
    <mergeCell ref="F1293:G1293"/>
    <mergeCell ref="H1735:P1735"/>
    <mergeCell ref="B426:C426"/>
    <mergeCell ref="B1616:C1616"/>
    <mergeCell ref="B217:C217"/>
    <mergeCell ref="B1908:C1908"/>
    <mergeCell ref="H1207:P1207"/>
    <mergeCell ref="H291:K291"/>
    <mergeCell ref="A1521:C1521"/>
    <mergeCell ref="B1944:C1944"/>
    <mergeCell ref="B2066:C2066"/>
    <mergeCell ref="B428:C428"/>
    <mergeCell ref="L1973:P1973"/>
    <mergeCell ref="H1120:P1120"/>
    <mergeCell ref="F2193:G2193"/>
    <mergeCell ref="H392:P392"/>
    <mergeCell ref="B586:C586"/>
    <mergeCell ref="H1418:P1418"/>
    <mergeCell ref="A1977:E1977"/>
    <mergeCell ref="B884:C884"/>
    <mergeCell ref="H1576:P1576"/>
    <mergeCell ref="F835:G835"/>
    <mergeCell ref="H1119:P1119"/>
    <mergeCell ref="B1611:C1611"/>
    <mergeCell ref="H394:P394"/>
    <mergeCell ref="H1563:K1563"/>
    <mergeCell ref="H292:K292"/>
    <mergeCell ref="F1163:G1163"/>
    <mergeCell ref="B1939:C1939"/>
    <mergeCell ref="H1121:P1121"/>
    <mergeCell ref="H1419:P1419"/>
    <mergeCell ref="B1613:C1613"/>
    <mergeCell ref="F2188:G2188"/>
    <mergeCell ref="F103:G103"/>
    <mergeCell ref="F1129:G1129"/>
    <mergeCell ref="B2270:C2270"/>
    <mergeCell ref="F1006:G1006"/>
    <mergeCell ref="A2177:C2177"/>
    <mergeCell ref="A784:C784"/>
    <mergeCell ref="I255:L255"/>
    <mergeCell ref="I1690:L1690"/>
    <mergeCell ref="B1242:C1242"/>
    <mergeCell ref="A2054:C2054"/>
    <mergeCell ref="L1686:P1686"/>
    <mergeCell ref="H833:P833"/>
    <mergeCell ref="M295:P295"/>
    <mergeCell ref="B1331:C1331"/>
    <mergeCell ref="H105:P105"/>
    <mergeCell ref="B299:C299"/>
    <mergeCell ref="H2321:P2321"/>
    <mergeCell ref="B597:C597"/>
    <mergeCell ref="F2392:G2392"/>
    <mergeCell ref="M1935:P1935"/>
    <mergeCell ref="B1324:C1324"/>
    <mergeCell ref="H107:P107"/>
    <mergeCell ref="H1276:K1276"/>
    <mergeCell ref="F759:G759"/>
    <mergeCell ref="M1812:P1812"/>
    <mergeCell ref="H834:P834"/>
    <mergeCell ref="H2403:P2403"/>
    <mergeCell ref="H1132:P1132"/>
    <mergeCell ref="B1326:C1326"/>
    <mergeCell ref="F1662:G1662"/>
    <mergeCell ref="B55:C55"/>
    <mergeCell ref="F630:G630"/>
    <mergeCell ref="F1820:G1820"/>
    <mergeCell ref="F761:G761"/>
    <mergeCell ref="H1045:P1045"/>
    <mergeCell ref="H2104:P2104"/>
    <mergeCell ref="H836:P836"/>
    <mergeCell ref="L46:P46"/>
    <mergeCell ref="H102:P102"/>
    <mergeCell ref="F1664:G1664"/>
    <mergeCell ref="F632:G632"/>
    <mergeCell ref="D87:G87"/>
    <mergeCell ref="D1480:G1480"/>
    <mergeCell ref="F1822:G1822"/>
    <mergeCell ref="I1403:L1403"/>
    <mergeCell ref="H2106:P2106"/>
    <mergeCell ref="B955:C955"/>
    <mergeCell ref="A1320:E1320"/>
    <mergeCell ref="B1253:C1253"/>
    <mergeCell ref="F1159:P1159"/>
    <mergeCell ref="H1459:P1459"/>
    <mergeCell ref="B2443:C2443"/>
    <mergeCell ref="L1399:P1399"/>
    <mergeCell ref="B1044:C1044"/>
    <mergeCell ref="F1238:H1238"/>
    <mergeCell ref="F2428:H2428"/>
    <mergeCell ref="A132:E132"/>
    <mergeCell ref="B2314:C2314"/>
    <mergeCell ref="M1648:P1648"/>
    <mergeCell ref="B223:C223"/>
    <mergeCell ref="B798:C798"/>
    <mergeCell ref="M377:P377"/>
    <mergeCell ref="H1490:P1490"/>
    <mergeCell ref="H756:P756"/>
    <mergeCell ref="I1730:L1730"/>
    <mergeCell ref="H1818:P1818"/>
    <mergeCell ref="H547:P547"/>
    <mergeCell ref="M1402:P1402"/>
    <mergeCell ref="B2316:C2316"/>
    <mergeCell ref="B2438:C2438"/>
    <mergeCell ref="F18:G18"/>
    <mergeCell ref="A83:P83"/>
    <mergeCell ref="L702:P702"/>
    <mergeCell ref="F1533:G1533"/>
    <mergeCell ref="F474:G474"/>
    <mergeCell ref="H758:P758"/>
    <mergeCell ref="H1817:P1817"/>
    <mergeCell ref="H1948:P1948"/>
    <mergeCell ref="F17:G17"/>
    <mergeCell ref="H301:P301"/>
    <mergeCell ref="D743:G743"/>
    <mergeCell ref="A1153:C1153"/>
    <mergeCell ref="B2440:C2440"/>
    <mergeCell ref="F1079:G1079"/>
    <mergeCell ref="B1408:C1408"/>
    <mergeCell ref="F1744:G1744"/>
    <mergeCell ref="F351:G351"/>
    <mergeCell ref="F345:G345"/>
    <mergeCell ref="F1535:G1535"/>
    <mergeCell ref="H1819:P1819"/>
    <mergeCell ref="B2311:C2311"/>
    <mergeCell ref="H303:P303"/>
    <mergeCell ref="B668:C668"/>
    <mergeCell ref="F2141:H2141"/>
    <mergeCell ref="F346:G346"/>
    <mergeCell ref="B549:C549"/>
    <mergeCell ref="F1530:G1530"/>
    <mergeCell ref="H1203:P1203"/>
    <mergeCell ref="M1115:P1115"/>
    <mergeCell ref="B2029:C2029"/>
    <mergeCell ref="B2151:C2151"/>
    <mergeCell ref="M2305:P2305"/>
    <mergeCell ref="B880:C880"/>
    <mergeCell ref="H1205:P1205"/>
    <mergeCell ref="B2064:C2064"/>
    <mergeCell ref="B671:C671"/>
    <mergeCell ref="H471:P471"/>
    <mergeCell ref="F800:G800"/>
    <mergeCell ref="H1661:P1661"/>
    <mergeCell ref="B963:C963"/>
    <mergeCell ref="H1358:K1358"/>
    <mergeCell ref="M91:P91"/>
    <mergeCell ref="F2191:G2191"/>
    <mergeCell ref="B1941:C1941"/>
    <mergeCell ref="B882:C882"/>
    <mergeCell ref="A578:C578"/>
    <mergeCell ref="H1532:P1532"/>
    <mergeCell ref="H473:P473"/>
    <mergeCell ref="F1131:G1131"/>
    <mergeCell ref="H1415:P1415"/>
    <mergeCell ref="D825:G825"/>
    <mergeCell ref="H16:P16"/>
    <mergeCell ref="A1190:P1190"/>
    <mergeCell ref="F1459:G1459"/>
    <mergeCell ref="F1002:G1002"/>
    <mergeCell ref="D1850:G1850"/>
    <mergeCell ref="H1534:P1534"/>
    <mergeCell ref="H1417:P1417"/>
    <mergeCell ref="F2192:G2192"/>
    <mergeCell ref="F2186:G2186"/>
    <mergeCell ref="L1357:P1357"/>
    <mergeCell ref="F583:H583"/>
    <mergeCell ref="F1731:H1731"/>
    <mergeCell ref="H802:P802"/>
    <mergeCell ref="A2338:P2338"/>
    <mergeCell ref="H474:P474"/>
    <mergeCell ref="F1004:G1004"/>
    <mergeCell ref="H1529:P1529"/>
    <mergeCell ref="F1608:H1608"/>
    <mergeCell ref="F1460:G1460"/>
    <mergeCell ref="B1327:C1327"/>
    <mergeCell ref="H947:K947"/>
    <mergeCell ref="B270:C270"/>
    <mergeCell ref="H2317:P2317"/>
    <mergeCell ref="B593:C593"/>
    <mergeCell ref="H505:P505"/>
    <mergeCell ref="H1071:K1071"/>
    <mergeCell ref="F1904:G1904"/>
    <mergeCell ref="B1654:C1654"/>
    <mergeCell ref="B595:C595"/>
    <mergeCell ref="A291:C291"/>
    <mergeCell ref="F2360:G2360"/>
    <mergeCell ref="F546:G546"/>
    <mergeCell ref="L743:P743"/>
    <mergeCell ref="H948:K948"/>
    <mergeCell ref="F844:G844"/>
    <mergeCell ref="H1128:P1128"/>
    <mergeCell ref="H2190:P2190"/>
    <mergeCell ref="H2312:P2312"/>
    <mergeCell ref="F1449:G1449"/>
    <mergeCell ref="B1656:C1656"/>
    <mergeCell ref="F1785:G1785"/>
    <mergeCell ref="H832:P832"/>
    <mergeCell ref="H1130:P1130"/>
    <mergeCell ref="F1856:P1856"/>
    <mergeCell ref="F1899:G1899"/>
    <mergeCell ref="H98:P98"/>
    <mergeCell ref="F427:G427"/>
    <mergeCell ref="I8:L8"/>
    <mergeCell ref="F418:H418"/>
    <mergeCell ref="I1034:L1034"/>
    <mergeCell ref="A1563:C1563"/>
    <mergeCell ref="B1622:C1622"/>
    <mergeCell ref="B1780:C1780"/>
    <mergeCell ref="F717:G717"/>
    <mergeCell ref="A1562:C1562"/>
    <mergeCell ref="B1048:C1048"/>
    <mergeCell ref="F1173:G1173"/>
    <mergeCell ref="B1040:C1040"/>
    <mergeCell ref="H2030:P2030"/>
    <mergeCell ref="A374:C374"/>
    <mergeCell ref="F719:G719"/>
    <mergeCell ref="B2109:C2109"/>
    <mergeCell ref="F2307:P2307"/>
    <mergeCell ref="H784:K784"/>
    <mergeCell ref="F145:G145"/>
    <mergeCell ref="B1980:C1980"/>
    <mergeCell ref="B921:C921"/>
    <mergeCell ref="H1613:P1613"/>
    <mergeCell ref="H1911:P1911"/>
    <mergeCell ref="H431:P431"/>
    <mergeCell ref="B1982:C1982"/>
    <mergeCell ref="H545:P545"/>
    <mergeCell ref="B2436:C2436"/>
    <mergeCell ref="H843:P843"/>
    <mergeCell ref="F1172:G1172"/>
    <mergeCell ref="A1402:E1402"/>
    <mergeCell ref="H2033:P2033"/>
    <mergeCell ref="F140:G140"/>
    <mergeCell ref="D866:G866"/>
    <mergeCell ref="A1276:C1276"/>
    <mergeCell ref="F1531:G1531"/>
    <mergeCell ref="B463:C463"/>
    <mergeCell ref="H845:P845"/>
    <mergeCell ref="B1366:C1366"/>
    <mergeCell ref="A87:C87"/>
    <mergeCell ref="H271:P271"/>
    <mergeCell ref="B1735:C1735"/>
    <mergeCell ref="B1368:C1368"/>
    <mergeCell ref="H142:P142"/>
    <mergeCell ref="H2358:P2358"/>
    <mergeCell ref="B634:C634"/>
    <mergeCell ref="F344:G344"/>
    <mergeCell ref="B2147:C2147"/>
    <mergeCell ref="I2141:L2141"/>
    <mergeCell ref="H144:P144"/>
    <mergeCell ref="A2058:E2058"/>
    <mergeCell ref="B1695:C1695"/>
    <mergeCell ref="A1788:C1788"/>
    <mergeCell ref="B2149:C2149"/>
    <mergeCell ref="F587:G587"/>
    <mergeCell ref="F885:G885"/>
    <mergeCell ref="H1169:P1169"/>
    <mergeCell ref="B669:C669"/>
    <mergeCell ref="F1857:G1857"/>
    <mergeCell ref="H1659:P1659"/>
    <mergeCell ref="F9:H9"/>
    <mergeCell ref="F2155:G2155"/>
    <mergeCell ref="H925:P925"/>
    <mergeCell ref="F1254:G1254"/>
    <mergeCell ref="H1538:P1538"/>
    <mergeCell ref="H139:P139"/>
    <mergeCell ref="F797:G797"/>
    <mergeCell ref="F1859:G1859"/>
    <mergeCell ref="B2022:C2022"/>
    <mergeCell ref="F2157:G2157"/>
    <mergeCell ref="B178:C178"/>
    <mergeCell ref="A2387:E2387"/>
    <mergeCell ref="F2315:G2315"/>
    <mergeCell ref="B1290:C1290"/>
    <mergeCell ref="H470:P470"/>
    <mergeCell ref="F799:G799"/>
    <mergeCell ref="B1448:C1448"/>
    <mergeCell ref="A148:C148"/>
    <mergeCell ref="A1813:E1813"/>
    <mergeCell ref="B1746:C1746"/>
    <mergeCell ref="B2351:C2351"/>
    <mergeCell ref="B266:C266"/>
    <mergeCell ref="D2095:G2095"/>
    <mergeCell ref="L1767:P1767"/>
    <mergeCell ref="B1450:C1450"/>
    <mergeCell ref="A1771:E1771"/>
    <mergeCell ref="A1501:C1501"/>
    <mergeCell ref="B1291:C1291"/>
    <mergeCell ref="F1699:G1699"/>
    <mergeCell ref="H1983:P1983"/>
    <mergeCell ref="D907:G907"/>
    <mergeCell ref="B268:C268"/>
    <mergeCell ref="F2185:G2185"/>
    <mergeCell ref="F1036:P1036"/>
    <mergeCell ref="F517:G517"/>
    <mergeCell ref="A747:E747"/>
    <mergeCell ref="H801:P801"/>
    <mergeCell ref="F511:G511"/>
    <mergeCell ref="H795:P795"/>
    <mergeCell ref="F1570:G1570"/>
    <mergeCell ref="H1985:P1985"/>
    <mergeCell ref="F54:G54"/>
    <mergeCell ref="B261:C261"/>
    <mergeCell ref="H915:P915"/>
    <mergeCell ref="H1251:P1251"/>
    <mergeCell ref="F388:G388"/>
    <mergeCell ref="F510:G510"/>
    <mergeCell ref="F1572:G1572"/>
    <mergeCell ref="F2389:P2389"/>
    <mergeCell ref="F91:H91"/>
    <mergeCell ref="A2403:C2403"/>
    <mergeCell ref="F512:G512"/>
    <mergeCell ref="B2193:C2193"/>
    <mergeCell ref="F548:G548"/>
    <mergeCell ref="M829:P829"/>
    <mergeCell ref="F383:G383"/>
    <mergeCell ref="B1163:C1163"/>
    <mergeCell ref="L1070:P1070"/>
    <mergeCell ref="H1696:P1696"/>
    <mergeCell ref="F1784:G1784"/>
    <mergeCell ref="D1562:G1562"/>
    <mergeCell ref="B2188:C2188"/>
    <mergeCell ref="B103:C103"/>
    <mergeCell ref="F1898:G1898"/>
    <mergeCell ref="F230:G230"/>
    <mergeCell ref="H514:P514"/>
    <mergeCell ref="B1006:C1006"/>
    <mergeCell ref="H1698:P1698"/>
    <mergeCell ref="F2228:G2228"/>
    <mergeCell ref="B2190:C2190"/>
    <mergeCell ref="H516:P516"/>
    <mergeCell ref="F1364:P1364"/>
    <mergeCell ref="B1375:C1375"/>
    <mergeCell ref="F136:G136"/>
    <mergeCell ref="H966:P966"/>
    <mergeCell ref="F1496:G1496"/>
    <mergeCell ref="F225:G225"/>
    <mergeCell ref="F2100:H2100"/>
    <mergeCell ref="F2229:G2229"/>
    <mergeCell ref="F1495:G1495"/>
    <mergeCell ref="F175:P175"/>
    <mergeCell ref="H1910:P1910"/>
    <mergeCell ref="L455:P455"/>
    <mergeCell ref="F227:G227"/>
    <mergeCell ref="H511:P511"/>
    <mergeCell ref="D1276:G1276"/>
    <mergeCell ref="B759:C759"/>
    <mergeCell ref="A189:C189"/>
    <mergeCell ref="F2222:H2222"/>
    <mergeCell ref="L783:P783"/>
    <mergeCell ref="F1497:G1497"/>
    <mergeCell ref="B307:C307"/>
    <mergeCell ref="B2277:C2277"/>
    <mergeCell ref="H2354:P2354"/>
    <mergeCell ref="A1275:C1275"/>
    <mergeCell ref="B1820:C1820"/>
    <mergeCell ref="B1086:C1086"/>
    <mergeCell ref="L1727:P1727"/>
    <mergeCell ref="H1411:P1411"/>
    <mergeCell ref="A1731:E1731"/>
    <mergeCell ref="F460:H460"/>
    <mergeCell ref="B632:C632"/>
    <mergeCell ref="L784:P784"/>
    <mergeCell ref="B1822:C1822"/>
    <mergeCell ref="H229:P229"/>
    <mergeCell ref="F1077:P1077"/>
    <mergeCell ref="A2181:E2181"/>
    <mergeCell ref="F881:G881"/>
    <mergeCell ref="B1088:C1088"/>
    <mergeCell ref="H1165:P1165"/>
    <mergeCell ref="H1201:P1201"/>
    <mergeCell ref="H264:P264"/>
    <mergeCell ref="H956:P956"/>
    <mergeCell ref="H2349:P2349"/>
    <mergeCell ref="M1033:P1033"/>
    <mergeCell ref="B1693:C1693"/>
    <mergeCell ref="B1991:C1991"/>
    <mergeCell ref="F2399:G2399"/>
    <mergeCell ref="H598:P598"/>
    <mergeCell ref="F1446:P1446"/>
    <mergeCell ref="F1942:G1942"/>
    <mergeCell ref="H141:P141"/>
    <mergeCell ref="H1167:P1167"/>
    <mergeCell ref="H2226:P2226"/>
    <mergeCell ref="H135:P135"/>
    <mergeCell ref="F1041:G1041"/>
    <mergeCell ref="H1325:P1325"/>
    <mergeCell ref="I1648:L1648"/>
    <mergeCell ref="H1501:P1501"/>
    <mergeCell ref="H1623:P1623"/>
    <mergeCell ref="H224:P224"/>
    <mergeCell ref="F1944:G1944"/>
    <mergeCell ref="F1210:G1210"/>
    <mergeCell ref="F2400:G2400"/>
    <mergeCell ref="B343:C343"/>
    <mergeCell ref="A2362:C2362"/>
    <mergeCell ref="A541:E541"/>
    <mergeCell ref="D578:G578"/>
    <mergeCell ref="B474:C474"/>
    <mergeCell ref="B1533:C1533"/>
    <mergeCell ref="L1440:P1440"/>
    <mergeCell ref="F1212:G1212"/>
    <mergeCell ref="A1444:E1444"/>
    <mergeCell ref="D1603:G1603"/>
    <mergeCell ref="F182:G182"/>
    <mergeCell ref="B351:C351"/>
    <mergeCell ref="B345:C345"/>
    <mergeCell ref="F1939:G1939"/>
    <mergeCell ref="B1535:C1535"/>
    <mergeCell ref="F638:G638"/>
    <mergeCell ref="A1894:E1894"/>
    <mergeCell ref="B801:C801"/>
    <mergeCell ref="B1414:C1414"/>
    <mergeCell ref="H1152:K1152"/>
    <mergeCell ref="B1406:C1406"/>
    <mergeCell ref="H1981:P1981"/>
    <mergeCell ref="H2396:P2396"/>
    <mergeCell ref="H2279:P2279"/>
    <mergeCell ref="A251:C251"/>
    <mergeCell ref="A870:E870"/>
    <mergeCell ref="F596:G596"/>
    <mergeCell ref="F177:G177"/>
    <mergeCell ref="B346:C346"/>
    <mergeCell ref="A558:C558"/>
    <mergeCell ref="H1038:P1038"/>
    <mergeCell ref="H1336:P1336"/>
    <mergeCell ref="A329:P329"/>
    <mergeCell ref="A624:E624"/>
    <mergeCell ref="F2024:G2024"/>
    <mergeCell ref="F1657:G1657"/>
    <mergeCell ref="M2018:P2018"/>
    <mergeCell ref="F508:G508"/>
    <mergeCell ref="I1115:L1115"/>
    <mergeCell ref="D1234:G1234"/>
    <mergeCell ref="H2397:P2397"/>
    <mergeCell ref="H308:P308"/>
    <mergeCell ref="D291:G291"/>
    <mergeCell ref="L1153:P1153"/>
    <mergeCell ref="I91:L91"/>
    <mergeCell ref="F1867:G1867"/>
    <mergeCell ref="D1316:G1316"/>
    <mergeCell ref="H179:P179"/>
    <mergeCell ref="B677:C677"/>
    <mergeCell ref="A8:E8"/>
    <mergeCell ref="F1116:H1116"/>
    <mergeCell ref="A1526:E1526"/>
    <mergeCell ref="B1459:C1459"/>
    <mergeCell ref="F1410:G1410"/>
    <mergeCell ref="H1694:P1694"/>
    <mergeCell ref="H1992:P1992"/>
    <mergeCell ref="H637:P637"/>
    <mergeCell ref="B2186:C2186"/>
    <mergeCell ref="H180:P180"/>
    <mergeCell ref="H1480:K1480"/>
    <mergeCell ref="M213:P213"/>
    <mergeCell ref="F626:P626"/>
    <mergeCell ref="A42:P42"/>
    <mergeCell ref="A337:E337"/>
    <mergeCell ref="F1737:G1737"/>
    <mergeCell ref="H962:P962"/>
    <mergeCell ref="F2350:G2350"/>
    <mergeCell ref="F221:G221"/>
    <mergeCell ref="A640:C640"/>
    <mergeCell ref="D947:G947"/>
    <mergeCell ref="F1283:G1283"/>
    <mergeCell ref="F828:H828"/>
    <mergeCell ref="A411:P411"/>
    <mergeCell ref="A1665:C1665"/>
    <mergeCell ref="B513:C513"/>
    <mergeCell ref="F2352:G2352"/>
    <mergeCell ref="F223:G223"/>
    <mergeCell ref="H507:P507"/>
    <mergeCell ref="D1071:G1071"/>
    <mergeCell ref="A1972:C1972"/>
    <mergeCell ref="B1783:C1783"/>
    <mergeCell ref="H1809:K1809"/>
    <mergeCell ref="F2345:H2345"/>
    <mergeCell ref="B425:C425"/>
    <mergeCell ref="I419:L419"/>
    <mergeCell ref="F829:H829"/>
    <mergeCell ref="A1239:E1239"/>
    <mergeCell ref="B1785:C1785"/>
    <mergeCell ref="H168:K168"/>
    <mergeCell ref="H1407:P1407"/>
    <mergeCell ref="F1736:G1736"/>
    <mergeCell ref="B1943:C1943"/>
    <mergeCell ref="F2034:G2034"/>
    <mergeCell ref="F2099:H2099"/>
    <mergeCell ref="B427:C427"/>
    <mergeCell ref="B2197:C2197"/>
    <mergeCell ref="A2264:E2264"/>
    <mergeCell ref="H1193:K1193"/>
    <mergeCell ref="H347:P347"/>
    <mergeCell ref="F554:G554"/>
    <mergeCell ref="B761:C761"/>
    <mergeCell ref="H1112:K1112"/>
    <mergeCell ref="H996:P996"/>
    <mergeCell ref="H1409:P1409"/>
    <mergeCell ref="H681:P681"/>
    <mergeCell ref="H2022:P2022"/>
    <mergeCell ref="B1488:C1488"/>
    <mergeCell ref="F2063:G2063"/>
    <mergeCell ref="H1288:P1288"/>
    <mergeCell ref="B1786:C1786"/>
    <mergeCell ref="D660:G660"/>
    <mergeCell ref="F547:G547"/>
    <mergeCell ref="H169:K169"/>
    <mergeCell ref="M1321:P1321"/>
    <mergeCell ref="A665:E665"/>
    <mergeCell ref="L1234:P1234"/>
    <mergeCell ref="H1296:P1296"/>
    <mergeCell ref="A1378:C1378"/>
    <mergeCell ref="F2065:G2065"/>
    <mergeCell ref="H220:P220"/>
    <mergeCell ref="F549:G549"/>
    <mergeCell ref="D784:G784"/>
    <mergeCell ref="H1410:P1410"/>
    <mergeCell ref="H1522:K1522"/>
    <mergeCell ref="F883:G883"/>
    <mergeCell ref="D2054:G2054"/>
    <mergeCell ref="F1337:G1337"/>
    <mergeCell ref="H1621:P1621"/>
    <mergeCell ref="B16:C16"/>
    <mergeCell ref="B138:C138"/>
    <mergeCell ref="H222:P222"/>
    <mergeCell ref="F2390:G2390"/>
    <mergeCell ref="I132:L132"/>
    <mergeCell ref="L1235:P1235"/>
    <mergeCell ref="A49:E49"/>
    <mergeCell ref="F1812:H1812"/>
    <mergeCell ref="F2398:G2398"/>
    <mergeCell ref="B18:C18"/>
    <mergeCell ref="B140:C140"/>
    <mergeCell ref="L1563:P1563"/>
    <mergeCell ref="H1008:P1008"/>
    <mergeCell ref="A1567:E1567"/>
    <mergeCell ref="F267:G267"/>
    <mergeCell ref="H551:P551"/>
    <mergeCell ref="H825:K825"/>
    <mergeCell ref="H709:P709"/>
    <mergeCell ref="H1007:P1007"/>
    <mergeCell ref="B1201:C1201"/>
    <mergeCell ref="B1499:C1499"/>
    <mergeCell ref="F636:G636"/>
    <mergeCell ref="F667:P667"/>
    <mergeCell ref="H711:P711"/>
    <mergeCell ref="A378:E378"/>
    <mergeCell ref="H1009:P1009"/>
    <mergeCell ref="H2178:K2178"/>
    <mergeCell ref="F1048:G1048"/>
    <mergeCell ref="H1332:P1332"/>
    <mergeCell ref="F1661:G1661"/>
    <mergeCell ref="F262:G262"/>
    <mergeCell ref="F1697:G1697"/>
    <mergeCell ref="M623:P623"/>
    <mergeCell ref="I2304:L2304"/>
    <mergeCell ref="I788:L788"/>
    <mergeCell ref="B1128:C1128"/>
    <mergeCell ref="H2393:P2393"/>
    <mergeCell ref="H1334:P1334"/>
    <mergeCell ref="F1663:G1663"/>
    <mergeCell ref="F593:G593"/>
    <mergeCell ref="A2342:C2342"/>
    <mergeCell ref="L2219:P2219"/>
    <mergeCell ref="L948:P948"/>
    <mergeCell ref="F1534:G1534"/>
    <mergeCell ref="B1130:C1130"/>
    <mergeCell ref="A1399:C1399"/>
    <mergeCell ref="H2395:P2395"/>
    <mergeCell ref="I2305:L2305"/>
    <mergeCell ref="H1365:P1365"/>
    <mergeCell ref="I214:L214"/>
    <mergeCell ref="H306:P306"/>
    <mergeCell ref="B1857:C1857"/>
    <mergeCell ref="B2155:C2155"/>
    <mergeCell ref="B1123:C1123"/>
    <mergeCell ref="H538:K538"/>
    <mergeCell ref="H422:P422"/>
    <mergeCell ref="B1254:C1254"/>
    <mergeCell ref="A1768:C1768"/>
    <mergeCell ref="B1946:C1946"/>
    <mergeCell ref="H1665:P1665"/>
    <mergeCell ref="B1859:C1859"/>
    <mergeCell ref="H633:P633"/>
    <mergeCell ref="B1131:C1131"/>
    <mergeCell ref="F918:G918"/>
    <mergeCell ref="B1125:C1125"/>
    <mergeCell ref="H1779:P1779"/>
    <mergeCell ref="H424:P424"/>
    <mergeCell ref="B2315:C2315"/>
    <mergeCell ref="H722:P722"/>
    <mergeCell ref="F1252:G1252"/>
    <mergeCell ref="F1374:G1374"/>
    <mergeCell ref="B184:C184"/>
    <mergeCell ref="M336:P336"/>
    <mergeCell ref="I2017:L2017"/>
    <mergeCell ref="D742:G742"/>
    <mergeCell ref="A1152:C1152"/>
    <mergeCell ref="F2435:G2435"/>
    <mergeCell ref="F1376:G1376"/>
    <mergeCell ref="H1660:P1660"/>
    <mergeCell ref="A2055:C2055"/>
    <mergeCell ref="I870:L870"/>
    <mergeCell ref="F500:H500"/>
    <mergeCell ref="B843:C843"/>
    <mergeCell ref="F1897:P1897"/>
    <mergeCell ref="H636:P636"/>
    <mergeCell ref="F2437:G2437"/>
    <mergeCell ref="H1078:P1078"/>
    <mergeCell ref="A2424:C2424"/>
    <mergeCell ref="B1570:C1570"/>
    <mergeCell ref="A1481:C1481"/>
    <mergeCell ref="B967:C967"/>
    <mergeCell ref="B2026:C2026"/>
    <mergeCell ref="B388:C388"/>
    <mergeCell ref="B510:C510"/>
    <mergeCell ref="H1378:P1378"/>
    <mergeCell ref="B546:C546"/>
    <mergeCell ref="B1572:C1572"/>
    <mergeCell ref="B844:C844"/>
    <mergeCell ref="H1536:P1536"/>
    <mergeCell ref="B838:C838"/>
    <mergeCell ref="H866:K866"/>
    <mergeCell ref="H20:P20"/>
    <mergeCell ref="M992:P992"/>
    <mergeCell ref="B2028:C2028"/>
    <mergeCell ref="H2105:P2105"/>
    <mergeCell ref="M2182:P2182"/>
    <mergeCell ref="H2439:P2439"/>
    <mergeCell ref="H1645:K1645"/>
    <mergeCell ref="H348:P348"/>
    <mergeCell ref="D455:G455"/>
    <mergeCell ref="A698:P698"/>
    <mergeCell ref="B383:C383"/>
    <mergeCell ref="H1081:P1081"/>
    <mergeCell ref="F791:G791"/>
    <mergeCell ref="M1116:P1116"/>
    <mergeCell ref="F1089:G1089"/>
    <mergeCell ref="H1373:P1373"/>
    <mergeCell ref="M993:P993"/>
    <mergeCell ref="F668:G668"/>
    <mergeCell ref="B1784:C1784"/>
    <mergeCell ref="F2359:G2359"/>
    <mergeCell ref="F213:H213"/>
    <mergeCell ref="F545:G545"/>
    <mergeCell ref="F2150:G2150"/>
    <mergeCell ref="F65:G65"/>
    <mergeCell ref="H349:P349"/>
    <mergeCell ref="F1091:G1091"/>
    <mergeCell ref="F879:G879"/>
    <mergeCell ref="A2137:C2137"/>
    <mergeCell ref="H2434:P2434"/>
    <mergeCell ref="F2361:G2361"/>
    <mergeCell ref="F845:G845"/>
    <mergeCell ref="A2215:P2215"/>
    <mergeCell ref="F1003:G1003"/>
    <mergeCell ref="F1485:H1485"/>
    <mergeCell ref="B259:C259"/>
    <mergeCell ref="B136:C136"/>
    <mergeCell ref="A501:E501"/>
    <mergeCell ref="M705:P705"/>
    <mergeCell ref="M1895:P1895"/>
    <mergeCell ref="B470:C470"/>
    <mergeCell ref="B225:C225"/>
    <mergeCell ref="H1737:P1737"/>
    <mergeCell ref="H1849:K1849"/>
    <mergeCell ref="H2029:P2029"/>
    <mergeCell ref="H674:P674"/>
    <mergeCell ref="B1495:C1495"/>
    <mergeCell ref="H2187:P2187"/>
    <mergeCell ref="H794:P794"/>
    <mergeCell ref="F869:H869"/>
    <mergeCell ref="M706:P706"/>
    <mergeCell ref="F721:G721"/>
    <mergeCell ref="H1005:P1005"/>
    <mergeCell ref="B1497:C1497"/>
    <mergeCell ref="F1905:G1905"/>
    <mergeCell ref="F258:G258"/>
    <mergeCell ref="H2189:P2189"/>
    <mergeCell ref="F1746:G1746"/>
    <mergeCell ref="D1440:G1440"/>
    <mergeCell ref="A1850:C1850"/>
    <mergeCell ref="B556:C556"/>
    <mergeCell ref="F1782:G1782"/>
    <mergeCell ref="F1776:G1776"/>
    <mergeCell ref="F2074:G2074"/>
    <mergeCell ref="F260:G260"/>
    <mergeCell ref="F558:G558"/>
    <mergeCell ref="H1734:P1734"/>
    <mergeCell ref="H2032:P2032"/>
    <mergeCell ref="F1775:G1775"/>
    <mergeCell ref="F594:G594"/>
    <mergeCell ref="F716:G716"/>
    <mergeCell ref="F1198:H1198"/>
    <mergeCell ref="B2397:C2397"/>
    <mergeCell ref="A1091:C1091"/>
    <mergeCell ref="F1619:G1619"/>
    <mergeCell ref="I1033:L1033"/>
    <mergeCell ref="F1777:G1777"/>
    <mergeCell ref="B2399:C2399"/>
    <mergeCell ref="H393:P393"/>
    <mergeCell ref="B1942:C1942"/>
    <mergeCell ref="B2278:C2278"/>
    <mergeCell ref="H661:K661"/>
    <mergeCell ref="M1362:P1362"/>
    <mergeCell ref="B2392:C2392"/>
    <mergeCell ref="H1788:P1788"/>
    <mergeCell ref="F434:G434"/>
    <mergeCell ref="H718:P718"/>
    <mergeCell ref="F1047:G1047"/>
    <mergeCell ref="F15:G15"/>
    <mergeCell ref="B1210:C1210"/>
    <mergeCell ref="H1902:P1902"/>
    <mergeCell ref="B2400:C2400"/>
    <mergeCell ref="D1768:G1768"/>
    <mergeCell ref="F1161:G1161"/>
    <mergeCell ref="L1275:P1275"/>
    <mergeCell ref="H720:P720"/>
    <mergeCell ref="H842:P842"/>
    <mergeCell ref="A660:C660"/>
    <mergeCell ref="F1049:G1049"/>
    <mergeCell ref="B1212:C1212"/>
    <mergeCell ref="A1279:E1279"/>
    <mergeCell ref="F1372:G1372"/>
    <mergeCell ref="F2108:G2108"/>
    <mergeCell ref="F2431:G2431"/>
    <mergeCell ref="B182:C182"/>
    <mergeCell ref="H1447:P1447"/>
    <mergeCell ref="H1745:P1745"/>
    <mergeCell ref="A2178:C2178"/>
    <mergeCell ref="B638:C638"/>
    <mergeCell ref="H1903:P1903"/>
    <mergeCell ref="F2433:G2433"/>
    <mergeCell ref="B1541:C1541"/>
    <mergeCell ref="B183:C183"/>
    <mergeCell ref="H875:P875"/>
    <mergeCell ref="B177:C177"/>
    <mergeCell ref="H1173:P1173"/>
    <mergeCell ref="F1701:G1701"/>
    <mergeCell ref="H2342:K2342"/>
    <mergeCell ref="L661:P661"/>
    <mergeCell ref="B511:C511"/>
    <mergeCell ref="B2024:C2024"/>
    <mergeCell ref="F760:G760"/>
    <mergeCell ref="H1044:P1044"/>
    <mergeCell ref="H128:K128"/>
    <mergeCell ref="I2140:L2140"/>
    <mergeCell ref="A1935:E1935"/>
    <mergeCell ref="F762:G762"/>
    <mergeCell ref="H1046:P1046"/>
    <mergeCell ref="F1085:G1085"/>
    <mergeCell ref="A1808:C1808"/>
    <mergeCell ref="F2275:G2275"/>
    <mergeCell ref="H1458:P1458"/>
    <mergeCell ref="F2225:P2225"/>
    <mergeCell ref="F2146:G2146"/>
    <mergeCell ref="F1087:G1087"/>
    <mergeCell ref="F1086:G1086"/>
    <mergeCell ref="F2148:G2148"/>
    <mergeCell ref="F2270:G2270"/>
    <mergeCell ref="H2432:P2432"/>
    <mergeCell ref="B1325:C1325"/>
    <mergeCell ref="I213:L213"/>
    <mergeCell ref="F1088:G1088"/>
    <mergeCell ref="M378:P378"/>
    <mergeCell ref="B2350:C2350"/>
    <mergeCell ref="A1648:E1648"/>
    <mergeCell ref="H1860:P1860"/>
    <mergeCell ref="B1162:C1162"/>
    <mergeCell ref="F1119:G1119"/>
    <mergeCell ref="B2352:C2352"/>
    <mergeCell ref="F475:G475"/>
    <mergeCell ref="H1082:P1082"/>
    <mergeCell ref="F1411:G1411"/>
    <mergeCell ref="H2272:P2272"/>
    <mergeCell ref="F1447:G1447"/>
    <mergeCell ref="B557:C557"/>
    <mergeCell ref="B1292:C1292"/>
    <mergeCell ref="F992:H992"/>
    <mergeCell ref="D1809:G1809"/>
    <mergeCell ref="H792:P792"/>
    <mergeCell ref="A459:E459"/>
    <mergeCell ref="H1090:P1090"/>
    <mergeCell ref="F1419:G1419"/>
    <mergeCell ref="F1938:P1938"/>
    <mergeCell ref="H58:P58"/>
    <mergeCell ref="F387:G387"/>
    <mergeCell ref="H1084:P1084"/>
    <mergeCell ref="F1413:G1413"/>
    <mergeCell ref="F343:G343"/>
    <mergeCell ref="A1645:C1645"/>
    <mergeCell ref="H2274:P2274"/>
    <mergeCell ref="F1747:G1747"/>
    <mergeCell ref="D168:G168"/>
    <mergeCell ref="F677:G677"/>
    <mergeCell ref="A1723:P1723"/>
    <mergeCell ref="H2145:P2145"/>
    <mergeCell ref="H60:P60"/>
    <mergeCell ref="H673:P673"/>
    <mergeCell ref="F1448:G1448"/>
    <mergeCell ref="B2063:C2063"/>
    <mergeCell ref="L619:P619"/>
    <mergeCell ref="A763:C763"/>
    <mergeCell ref="D169:G169"/>
    <mergeCell ref="I1321:L1321"/>
    <mergeCell ref="A1805:P1805"/>
    <mergeCell ref="H389:P389"/>
    <mergeCell ref="B881:C881"/>
    <mergeCell ref="H1573:P1573"/>
    <mergeCell ref="B2065:C2065"/>
    <mergeCell ref="H57:P57"/>
    <mergeCell ref="L1972:P1972"/>
    <mergeCell ref="F2073:G2073"/>
    <mergeCell ref="M1485:P1485"/>
    <mergeCell ref="H391:P391"/>
    <mergeCell ref="A1730:E1730"/>
    <mergeCell ref="D1522:G1522"/>
    <mergeCell ref="F101:G101"/>
    <mergeCell ref="H385:P385"/>
    <mergeCell ref="B883:C883"/>
    <mergeCell ref="A2305:E2305"/>
    <mergeCell ref="B2390:C2390"/>
    <mergeCell ref="F1132:G1132"/>
    <mergeCell ref="H1416:P1416"/>
    <mergeCell ref="F100:G100"/>
    <mergeCell ref="H384:P384"/>
    <mergeCell ref="H515:P515"/>
    <mergeCell ref="M1607:P1607"/>
    <mergeCell ref="F2396:G2396"/>
    <mergeCell ref="F311:G311"/>
    <mergeCell ref="B2398:C2398"/>
    <mergeCell ref="F102:G102"/>
    <mergeCell ref="H386:P386"/>
    <mergeCell ref="F425:G425"/>
    <mergeCell ref="A1419:C1419"/>
    <mergeCell ref="M419:P419"/>
    <mergeCell ref="F2106:G2106"/>
    <mergeCell ref="L332:P332"/>
    <mergeCell ref="A476:C476"/>
    <mergeCell ref="D1275:G1275"/>
    <mergeCell ref="B636:C636"/>
    <mergeCell ref="A1518:P1518"/>
    <mergeCell ref="H1286:P1286"/>
    <mergeCell ref="D1152:G1152"/>
    <mergeCell ref="B1778:C1778"/>
    <mergeCell ref="B719:C719"/>
    <mergeCell ref="D2178:G2178"/>
    <mergeCell ref="B1697:C1697"/>
    <mergeCell ref="I623:L623"/>
    <mergeCell ref="F1033:H1033"/>
    <mergeCell ref="H226:P226"/>
    <mergeCell ref="F756:G756"/>
    <mergeCell ref="B596:C596"/>
    <mergeCell ref="B1532:C1532"/>
    <mergeCell ref="B473:C473"/>
    <mergeCell ref="M2263:P2263"/>
    <mergeCell ref="F1817:G1817"/>
    <mergeCell ref="F758:G758"/>
    <mergeCell ref="H1042:P1042"/>
    <mergeCell ref="F1362:H1362"/>
    <mergeCell ref="H2232:P2232"/>
    <mergeCell ref="F301:G301"/>
    <mergeCell ref="B508:C508"/>
    <mergeCell ref="F24:G24"/>
    <mergeCell ref="B1534:C1534"/>
    <mergeCell ref="H1498:P1498"/>
    <mergeCell ref="H99:P99"/>
    <mergeCell ref="F629:G629"/>
    <mergeCell ref="A1132:C1132"/>
    <mergeCell ref="F1819:G1819"/>
    <mergeCell ref="F1941:G1941"/>
    <mergeCell ref="H2103:P2103"/>
    <mergeCell ref="F2239:G2239"/>
    <mergeCell ref="D538:G538"/>
    <mergeCell ref="H1500:P1500"/>
    <mergeCell ref="L45:P45"/>
    <mergeCell ref="H101:P101"/>
    <mergeCell ref="F753:G753"/>
    <mergeCell ref="B349:C349"/>
    <mergeCell ref="H2227:P2227"/>
    <mergeCell ref="H702:K702"/>
    <mergeCell ref="D865:G865"/>
    <mergeCell ref="F2277:G2277"/>
    <mergeCell ref="B226:C226"/>
    <mergeCell ref="B1374:C1374"/>
    <mergeCell ref="I336:L336"/>
    <mergeCell ref="H430:P430"/>
    <mergeCell ref="L1317:P1317"/>
    <mergeCell ref="H884:P884"/>
    <mergeCell ref="B1245:C1245"/>
    <mergeCell ref="H660:K660"/>
    <mergeCell ref="A1443:E1443"/>
    <mergeCell ref="A1890:C1890"/>
    <mergeCell ref="D2260:G2260"/>
    <mergeCell ref="B2435:C2435"/>
    <mergeCell ref="B222:C222"/>
    <mergeCell ref="B344:C344"/>
    <mergeCell ref="L2342:P2342"/>
    <mergeCell ref="F1690:H1690"/>
    <mergeCell ref="F1870:G1870"/>
    <mergeCell ref="F471:G471"/>
    <mergeCell ref="H755:P755"/>
    <mergeCell ref="H1945:P1945"/>
    <mergeCell ref="B221:C221"/>
    <mergeCell ref="H1029:K1029"/>
    <mergeCell ref="H1939:P1939"/>
    <mergeCell ref="F2018:H2018"/>
    <mergeCell ref="F927:G927"/>
  </mergeCells>
  <conditionalFormatting sqref="B31:P31">
    <cfRule type="cellIs" priority="1" operator="equal" dxfId="2">
      <formula>0</formula>
    </cfRule>
  </conditionalFormatting>
  <conditionalFormatting sqref="B35:P35">
    <cfRule type="cellIs" priority="2" operator="equal" dxfId="2">
      <formula>0</formula>
    </cfRule>
  </conditionalFormatting>
  <conditionalFormatting sqref="B39:P39">
    <cfRule type="cellIs" priority="3" operator="equal" dxfId="2">
      <formula>0</formula>
    </cfRule>
  </conditionalFormatting>
  <conditionalFormatting sqref="B72:P72">
    <cfRule type="cellIs" priority="4" operator="equal" dxfId="2">
      <formula>0</formula>
    </cfRule>
  </conditionalFormatting>
  <conditionalFormatting sqref="B76:P76">
    <cfRule type="cellIs" priority="5" operator="equal" dxfId="2">
      <formula>0</formula>
    </cfRule>
  </conditionalFormatting>
  <conditionalFormatting sqref="B80:P80">
    <cfRule type="cellIs" priority="6" operator="equal" dxfId="2">
      <formula>0</formula>
    </cfRule>
  </conditionalFormatting>
  <conditionalFormatting sqref="B113:P113">
    <cfRule type="cellIs" priority="7" operator="equal" dxfId="2">
      <formula>0</formula>
    </cfRule>
  </conditionalFormatting>
  <conditionalFormatting sqref="B117:P117">
    <cfRule type="cellIs" priority="8" operator="equal" dxfId="2">
      <formula>0</formula>
    </cfRule>
  </conditionalFormatting>
  <conditionalFormatting sqref="B121:P121">
    <cfRule type="cellIs" priority="9" operator="equal" dxfId="2">
      <formula>0</formula>
    </cfRule>
  </conditionalFormatting>
  <conditionalFormatting sqref="B154:P154">
    <cfRule type="cellIs" priority="10" operator="equal" dxfId="2">
      <formula>0</formula>
    </cfRule>
  </conditionalFormatting>
  <conditionalFormatting sqref="B158:P158">
    <cfRule type="cellIs" priority="11" operator="equal" dxfId="2">
      <formula>0</formula>
    </cfRule>
  </conditionalFormatting>
  <conditionalFormatting sqref="B162:P162">
    <cfRule type="cellIs" priority="12" operator="equal" dxfId="2">
      <formula>0</formula>
    </cfRule>
  </conditionalFormatting>
  <conditionalFormatting sqref="B195:P195">
    <cfRule type="cellIs" priority="13" operator="equal" dxfId="2">
      <formula>0</formula>
    </cfRule>
  </conditionalFormatting>
  <conditionalFormatting sqref="B199:P199">
    <cfRule type="cellIs" priority="14" operator="equal" dxfId="2">
      <formula>0</formula>
    </cfRule>
  </conditionalFormatting>
  <conditionalFormatting sqref="B203:P203">
    <cfRule type="cellIs" priority="15" operator="equal" dxfId="2">
      <formula>0</formula>
    </cfRule>
  </conditionalFormatting>
  <conditionalFormatting sqref="B236:P236">
    <cfRule type="cellIs" priority="16" operator="equal" dxfId="2">
      <formula>0</formula>
    </cfRule>
  </conditionalFormatting>
  <conditionalFormatting sqref="B240:P240">
    <cfRule type="cellIs" priority="17" operator="equal" dxfId="2">
      <formula>0</formula>
    </cfRule>
  </conditionalFormatting>
  <conditionalFormatting sqref="B244:P244">
    <cfRule type="cellIs" priority="18" operator="equal" dxfId="2">
      <formula>0</formula>
    </cfRule>
  </conditionalFormatting>
  <conditionalFormatting sqref="B277:P277">
    <cfRule type="cellIs" priority="19" operator="equal" dxfId="2">
      <formula>0</formula>
    </cfRule>
  </conditionalFormatting>
  <conditionalFormatting sqref="B281:P281">
    <cfRule type="cellIs" priority="20" operator="equal" dxfId="2">
      <formula>0</formula>
    </cfRule>
  </conditionalFormatting>
  <conditionalFormatting sqref="B285:P285">
    <cfRule type="cellIs" priority="21" operator="equal" dxfId="2">
      <formula>0</formula>
    </cfRule>
  </conditionalFormatting>
  <conditionalFormatting sqref="B318:P318">
    <cfRule type="cellIs" priority="22" operator="equal" dxfId="2">
      <formula>0</formula>
    </cfRule>
  </conditionalFormatting>
  <conditionalFormatting sqref="B322:P322">
    <cfRule type="cellIs" priority="23" operator="equal" dxfId="2">
      <formula>0</formula>
    </cfRule>
  </conditionalFormatting>
  <conditionalFormatting sqref="B326:P326">
    <cfRule type="cellIs" priority="24" operator="equal" dxfId="2">
      <formula>0</formula>
    </cfRule>
  </conditionalFormatting>
  <conditionalFormatting sqref="B359:P359">
    <cfRule type="cellIs" priority="25" operator="equal" dxfId="2">
      <formula>0</formula>
    </cfRule>
  </conditionalFormatting>
  <conditionalFormatting sqref="B363:P363">
    <cfRule type="cellIs" priority="26" operator="equal" dxfId="2">
      <formula>0</formula>
    </cfRule>
  </conditionalFormatting>
  <conditionalFormatting sqref="B367:P367">
    <cfRule type="cellIs" priority="27" operator="equal" dxfId="2">
      <formula>0</formula>
    </cfRule>
  </conditionalFormatting>
  <conditionalFormatting sqref="B400:P400">
    <cfRule type="cellIs" priority="28" operator="equal" dxfId="2">
      <formula>0</formula>
    </cfRule>
  </conditionalFormatting>
  <conditionalFormatting sqref="B404:P404">
    <cfRule type="cellIs" priority="29" operator="equal" dxfId="2">
      <formula>0</formula>
    </cfRule>
  </conditionalFormatting>
  <conditionalFormatting sqref="B408:P408">
    <cfRule type="cellIs" priority="30" operator="equal" dxfId="2">
      <formula>0</formula>
    </cfRule>
  </conditionalFormatting>
  <conditionalFormatting sqref="B441:P441">
    <cfRule type="cellIs" priority="31" operator="equal" dxfId="2">
      <formula>0</formula>
    </cfRule>
  </conditionalFormatting>
  <conditionalFormatting sqref="B445:P445">
    <cfRule type="cellIs" priority="32" operator="equal" dxfId="2">
      <formula>0</formula>
    </cfRule>
  </conditionalFormatting>
  <conditionalFormatting sqref="B449:P449">
    <cfRule type="cellIs" priority="33" operator="equal" dxfId="2">
      <formula>0</formula>
    </cfRule>
  </conditionalFormatting>
  <conditionalFormatting sqref="B482:P482">
    <cfRule type="cellIs" priority="34" operator="equal" dxfId="2">
      <formula>0</formula>
    </cfRule>
  </conditionalFormatting>
  <conditionalFormatting sqref="B486:P486">
    <cfRule type="cellIs" priority="35" operator="equal" dxfId="2">
      <formula>0</formula>
    </cfRule>
  </conditionalFormatting>
  <conditionalFormatting sqref="B490:P490">
    <cfRule type="cellIs" priority="36" operator="equal" dxfId="2">
      <formula>0</formula>
    </cfRule>
  </conditionalFormatting>
  <conditionalFormatting sqref="B523:P523">
    <cfRule type="cellIs" priority="37" operator="equal" dxfId="2">
      <formula>0</formula>
    </cfRule>
  </conditionalFormatting>
  <conditionalFormatting sqref="B527:P527">
    <cfRule type="cellIs" priority="38" operator="equal" dxfId="2">
      <formula>0</formula>
    </cfRule>
  </conditionalFormatting>
  <conditionalFormatting sqref="B531:P531">
    <cfRule type="cellIs" priority="39" operator="equal" dxfId="2">
      <formula>0</formula>
    </cfRule>
  </conditionalFormatting>
  <conditionalFormatting sqref="B564:P564">
    <cfRule type="cellIs" priority="40" operator="equal" dxfId="2">
      <formula>0</formula>
    </cfRule>
  </conditionalFormatting>
  <conditionalFormatting sqref="B568:P568">
    <cfRule type="cellIs" priority="41" operator="equal" dxfId="2">
      <formula>0</formula>
    </cfRule>
  </conditionalFormatting>
  <conditionalFormatting sqref="B572:P572">
    <cfRule type="cellIs" priority="42" operator="equal" dxfId="2">
      <formula>0</formula>
    </cfRule>
  </conditionalFormatting>
  <conditionalFormatting sqref="B605:P605">
    <cfRule type="cellIs" priority="43" operator="equal" dxfId="2">
      <formula>0</formula>
    </cfRule>
  </conditionalFormatting>
  <conditionalFormatting sqref="B609:P609">
    <cfRule type="cellIs" priority="44" operator="equal" dxfId="2">
      <formula>0</formula>
    </cfRule>
  </conditionalFormatting>
  <conditionalFormatting sqref="B613:P613">
    <cfRule type="cellIs" priority="45" operator="equal" dxfId="2">
      <formula>0</formula>
    </cfRule>
  </conditionalFormatting>
  <conditionalFormatting sqref="B646:P646">
    <cfRule type="cellIs" priority="46" operator="equal" dxfId="2">
      <formula>0</formula>
    </cfRule>
  </conditionalFormatting>
  <conditionalFormatting sqref="B650:P650">
    <cfRule type="cellIs" priority="47" operator="equal" dxfId="2">
      <formula>0</formula>
    </cfRule>
  </conditionalFormatting>
  <conditionalFormatting sqref="B654:P654">
    <cfRule type="cellIs" priority="48" operator="equal" dxfId="2">
      <formula>0</formula>
    </cfRule>
  </conditionalFormatting>
  <conditionalFormatting sqref="B687:P687">
    <cfRule type="cellIs" priority="49" operator="equal" dxfId="2">
      <formula>0</formula>
    </cfRule>
  </conditionalFormatting>
  <conditionalFormatting sqref="B691:P691">
    <cfRule type="cellIs" priority="50" operator="equal" dxfId="2">
      <formula>0</formula>
    </cfRule>
  </conditionalFormatting>
  <conditionalFormatting sqref="B695:P695">
    <cfRule type="cellIs" priority="51" operator="equal" dxfId="2">
      <formula>0</formula>
    </cfRule>
  </conditionalFormatting>
  <conditionalFormatting sqref="B728:P728">
    <cfRule type="cellIs" priority="52" operator="equal" dxfId="2">
      <formula>0</formula>
    </cfRule>
  </conditionalFormatting>
  <conditionalFormatting sqref="B732:P732">
    <cfRule type="cellIs" priority="53" operator="equal" dxfId="2">
      <formula>0</formula>
    </cfRule>
  </conditionalFormatting>
  <conditionalFormatting sqref="B736:P736">
    <cfRule type="cellIs" priority="54" operator="equal" dxfId="2">
      <formula>0</formula>
    </cfRule>
  </conditionalFormatting>
  <conditionalFormatting sqref="B769:P769">
    <cfRule type="cellIs" priority="55" operator="equal" dxfId="2">
      <formula>0</formula>
    </cfRule>
  </conditionalFormatting>
  <conditionalFormatting sqref="B773:P773">
    <cfRule type="cellIs" priority="56" operator="equal" dxfId="2">
      <formula>0</formula>
    </cfRule>
  </conditionalFormatting>
  <conditionalFormatting sqref="B777:P777">
    <cfRule type="cellIs" priority="57" operator="equal" dxfId="2">
      <formula>0</formula>
    </cfRule>
  </conditionalFormatting>
  <conditionalFormatting sqref="B810:P810">
    <cfRule type="cellIs" priority="58" operator="equal" dxfId="2">
      <formula>0</formula>
    </cfRule>
  </conditionalFormatting>
  <conditionalFormatting sqref="B814:P814">
    <cfRule type="cellIs" priority="59" operator="equal" dxfId="2">
      <formula>0</formula>
    </cfRule>
  </conditionalFormatting>
  <conditionalFormatting sqref="B818:P818">
    <cfRule type="cellIs" priority="60" operator="equal" dxfId="2">
      <formula>0</formula>
    </cfRule>
  </conditionalFormatting>
  <conditionalFormatting sqref="B851:P851">
    <cfRule type="cellIs" priority="61" operator="equal" dxfId="2">
      <formula>0</formula>
    </cfRule>
  </conditionalFormatting>
  <conditionalFormatting sqref="B855:P855">
    <cfRule type="cellIs" priority="62" operator="equal" dxfId="2">
      <formula>0</formula>
    </cfRule>
  </conditionalFormatting>
  <conditionalFormatting sqref="B859:P859">
    <cfRule type="cellIs" priority="63" operator="equal" dxfId="2">
      <formula>0</formula>
    </cfRule>
  </conditionalFormatting>
  <conditionalFormatting sqref="B892:P892">
    <cfRule type="cellIs" priority="64" operator="equal" dxfId="2">
      <formula>0</formula>
    </cfRule>
  </conditionalFormatting>
  <conditionalFormatting sqref="B896:P896">
    <cfRule type="cellIs" priority="65" operator="equal" dxfId="2">
      <formula>0</formula>
    </cfRule>
  </conditionalFormatting>
  <conditionalFormatting sqref="B900:P900">
    <cfRule type="cellIs" priority="66" operator="equal" dxfId="2">
      <formula>0</formula>
    </cfRule>
  </conditionalFormatting>
  <conditionalFormatting sqref="B933:P933">
    <cfRule type="cellIs" priority="67" operator="equal" dxfId="2">
      <formula>0</formula>
    </cfRule>
  </conditionalFormatting>
  <conditionalFormatting sqref="B937:P937">
    <cfRule type="cellIs" priority="68" operator="equal" dxfId="2">
      <formula>0</formula>
    </cfRule>
  </conditionalFormatting>
  <conditionalFormatting sqref="B941:P941">
    <cfRule type="cellIs" priority="69" operator="equal" dxfId="2">
      <formula>0</formula>
    </cfRule>
  </conditionalFormatting>
  <conditionalFormatting sqref="B974:P974">
    <cfRule type="cellIs" priority="70" operator="equal" dxfId="2">
      <formula>0</formula>
    </cfRule>
  </conditionalFormatting>
  <conditionalFormatting sqref="B978:P978">
    <cfRule type="cellIs" priority="71" operator="equal" dxfId="2">
      <formula>0</formula>
    </cfRule>
  </conditionalFormatting>
  <conditionalFormatting sqref="B982:P982">
    <cfRule type="cellIs" priority="72" operator="equal" dxfId="2">
      <formula>0</formula>
    </cfRule>
  </conditionalFormatting>
  <conditionalFormatting sqref="B1015:P1015">
    <cfRule type="cellIs" priority="73" operator="equal" dxfId="2">
      <formula>0</formula>
    </cfRule>
  </conditionalFormatting>
  <conditionalFormatting sqref="B1019:P1019">
    <cfRule type="cellIs" priority="74" operator="equal" dxfId="2">
      <formula>0</formula>
    </cfRule>
  </conditionalFormatting>
  <conditionalFormatting sqref="B1023:P1023">
    <cfRule type="cellIs" priority="75" operator="equal" dxfId="2">
      <formula>0</formula>
    </cfRule>
  </conditionalFormatting>
  <conditionalFormatting sqref="B1056:P1056">
    <cfRule type="cellIs" priority="76" operator="equal" dxfId="2">
      <formula>0</formula>
    </cfRule>
  </conditionalFormatting>
  <conditionalFormatting sqref="B1060:P1060">
    <cfRule type="cellIs" priority="77" operator="equal" dxfId="2">
      <formula>0</formula>
    </cfRule>
  </conditionalFormatting>
  <conditionalFormatting sqref="B1064:P1064">
    <cfRule type="cellIs" priority="78" operator="equal" dxfId="2">
      <formula>0</formula>
    </cfRule>
  </conditionalFormatting>
  <conditionalFormatting sqref="B1097:P1097">
    <cfRule type="cellIs" priority="79" operator="equal" dxfId="2">
      <formula>0</formula>
    </cfRule>
  </conditionalFormatting>
  <conditionalFormatting sqref="B1101:P1101">
    <cfRule type="cellIs" priority="80" operator="equal" dxfId="2">
      <formula>0</formula>
    </cfRule>
  </conditionalFormatting>
  <conditionalFormatting sqref="B1105:P1105">
    <cfRule type="cellIs" priority="81" operator="equal" dxfId="2">
      <formula>0</formula>
    </cfRule>
  </conditionalFormatting>
  <conditionalFormatting sqref="B1138:P1138">
    <cfRule type="cellIs" priority="82" operator="equal" dxfId="2">
      <formula>0</formula>
    </cfRule>
  </conditionalFormatting>
  <conditionalFormatting sqref="B1142:P1142">
    <cfRule type="cellIs" priority="83" operator="equal" dxfId="2">
      <formula>0</formula>
    </cfRule>
  </conditionalFormatting>
  <conditionalFormatting sqref="B1146:P1146">
    <cfRule type="cellIs" priority="84" operator="equal" dxfId="2">
      <formula>0</formula>
    </cfRule>
  </conditionalFormatting>
  <conditionalFormatting sqref="B1179:P1179">
    <cfRule type="cellIs" priority="85" operator="equal" dxfId="2">
      <formula>0</formula>
    </cfRule>
  </conditionalFormatting>
  <conditionalFormatting sqref="B1183:P1183">
    <cfRule type="cellIs" priority="86" operator="equal" dxfId="2">
      <formula>0</formula>
    </cfRule>
  </conditionalFormatting>
  <conditionalFormatting sqref="B1187:P1187">
    <cfRule type="cellIs" priority="87" operator="equal" dxfId="2">
      <formula>0</formula>
    </cfRule>
  </conditionalFormatting>
  <conditionalFormatting sqref="B1220:P1220">
    <cfRule type="cellIs" priority="88" operator="equal" dxfId="2">
      <formula>0</formula>
    </cfRule>
  </conditionalFormatting>
  <conditionalFormatting sqref="B1224:P1224">
    <cfRule type="cellIs" priority="89" operator="equal" dxfId="2">
      <formula>0</formula>
    </cfRule>
  </conditionalFormatting>
  <conditionalFormatting sqref="B1228:P1228">
    <cfRule type="cellIs" priority="90" operator="equal" dxfId="2">
      <formula>0</formula>
    </cfRule>
  </conditionalFormatting>
  <conditionalFormatting sqref="B1261:P1261">
    <cfRule type="cellIs" priority="91" operator="equal" dxfId="2">
      <formula>0</formula>
    </cfRule>
  </conditionalFormatting>
  <conditionalFormatting sqref="B1265:P1265">
    <cfRule type="cellIs" priority="92" operator="equal" dxfId="2">
      <formula>0</formula>
    </cfRule>
  </conditionalFormatting>
  <conditionalFormatting sqref="B1269:P1269">
    <cfRule type="cellIs" priority="93" operator="equal" dxfId="2">
      <formula>0</formula>
    </cfRule>
  </conditionalFormatting>
  <conditionalFormatting sqref="B1302:P1302">
    <cfRule type="cellIs" priority="94" operator="equal" dxfId="2">
      <formula>0</formula>
    </cfRule>
  </conditionalFormatting>
  <conditionalFormatting sqref="B1306:P1306">
    <cfRule type="cellIs" priority="95" operator="equal" dxfId="2">
      <formula>0</formula>
    </cfRule>
  </conditionalFormatting>
  <conditionalFormatting sqref="B1310:P1310">
    <cfRule type="cellIs" priority="96" operator="equal" dxfId="2">
      <formula>0</formula>
    </cfRule>
  </conditionalFormatting>
  <conditionalFormatting sqref="B1343:P1343">
    <cfRule type="cellIs" priority="97" operator="equal" dxfId="2">
      <formula>0</formula>
    </cfRule>
  </conditionalFormatting>
  <conditionalFormatting sqref="B1347:P1347">
    <cfRule type="cellIs" priority="98" operator="equal" dxfId="2">
      <formula>0</formula>
    </cfRule>
  </conditionalFormatting>
  <conditionalFormatting sqref="B1351:P1351">
    <cfRule type="cellIs" priority="99" operator="equal" dxfId="2">
      <formula>0</formula>
    </cfRule>
  </conditionalFormatting>
  <conditionalFormatting sqref="B1384:P1384">
    <cfRule type="cellIs" priority="100" operator="equal" dxfId="2">
      <formula>0</formula>
    </cfRule>
  </conditionalFormatting>
  <conditionalFormatting sqref="B1388:P1388">
    <cfRule type="cellIs" priority="101" operator="equal" dxfId="2">
      <formula>0</formula>
    </cfRule>
  </conditionalFormatting>
  <conditionalFormatting sqref="B1392:P1392">
    <cfRule type="cellIs" priority="102" operator="equal" dxfId="2">
      <formula>0</formula>
    </cfRule>
  </conditionalFormatting>
  <conditionalFormatting sqref="B1425:P1425">
    <cfRule type="cellIs" priority="103" operator="equal" dxfId="2">
      <formula>0</formula>
    </cfRule>
  </conditionalFormatting>
  <conditionalFormatting sqref="B1429:P1429">
    <cfRule type="cellIs" priority="104" operator="equal" dxfId="2">
      <formula>0</formula>
    </cfRule>
  </conditionalFormatting>
  <conditionalFormatting sqref="B1433:P1433">
    <cfRule type="cellIs" priority="105" operator="equal" dxfId="2">
      <formula>0</formula>
    </cfRule>
  </conditionalFormatting>
  <conditionalFormatting sqref="B1466:P1466">
    <cfRule type="cellIs" priority="106" operator="equal" dxfId="2">
      <formula>0</formula>
    </cfRule>
  </conditionalFormatting>
  <conditionalFormatting sqref="B1470:P1470">
    <cfRule type="cellIs" priority="107" operator="equal" dxfId="2">
      <formula>0</formula>
    </cfRule>
  </conditionalFormatting>
  <conditionalFormatting sqref="B1474:P1474">
    <cfRule type="cellIs" priority="108" operator="equal" dxfId="2">
      <formula>0</formula>
    </cfRule>
  </conditionalFormatting>
  <conditionalFormatting sqref="B1507:P1507">
    <cfRule type="cellIs" priority="109" operator="equal" dxfId="2">
      <formula>0</formula>
    </cfRule>
  </conditionalFormatting>
  <conditionalFormatting sqref="B1511:P1511">
    <cfRule type="cellIs" priority="110" operator="equal" dxfId="2">
      <formula>0</formula>
    </cfRule>
  </conditionalFormatting>
  <conditionalFormatting sqref="B1515:P1515">
    <cfRule type="cellIs" priority="111" operator="equal" dxfId="2">
      <formula>0</formula>
    </cfRule>
  </conditionalFormatting>
  <conditionalFormatting sqref="B1548:P1548">
    <cfRule type="cellIs" priority="112" operator="equal" dxfId="2">
      <formula>0</formula>
    </cfRule>
  </conditionalFormatting>
  <conditionalFormatting sqref="B1552:P1552">
    <cfRule type="cellIs" priority="113" operator="equal" dxfId="2">
      <formula>0</formula>
    </cfRule>
  </conditionalFormatting>
  <conditionalFormatting sqref="B1556:P1556">
    <cfRule type="cellIs" priority="114" operator="equal" dxfId="2">
      <formula>0</formula>
    </cfRule>
  </conditionalFormatting>
  <conditionalFormatting sqref="B1589:P1589">
    <cfRule type="cellIs" priority="115" operator="equal" dxfId="2">
      <formula>0</formula>
    </cfRule>
  </conditionalFormatting>
  <conditionalFormatting sqref="B1593:P1593">
    <cfRule type="cellIs" priority="116" operator="equal" dxfId="2">
      <formula>0</formula>
    </cfRule>
  </conditionalFormatting>
  <conditionalFormatting sqref="B1597:P1597">
    <cfRule type="cellIs" priority="117" operator="equal" dxfId="2">
      <formula>0</formula>
    </cfRule>
  </conditionalFormatting>
  <conditionalFormatting sqref="B1630:P1630">
    <cfRule type="cellIs" priority="118" operator="equal" dxfId="2">
      <formula>0</formula>
    </cfRule>
  </conditionalFormatting>
  <conditionalFormatting sqref="B1634:P1634">
    <cfRule type="cellIs" priority="119" operator="equal" dxfId="2">
      <formula>0</formula>
    </cfRule>
  </conditionalFormatting>
  <conditionalFormatting sqref="B1638:P1638">
    <cfRule type="cellIs" priority="120" operator="equal" dxfId="2">
      <formula>0</formula>
    </cfRule>
  </conditionalFormatting>
  <conditionalFormatting sqref="B1671:P1671">
    <cfRule type="cellIs" priority="121" operator="equal" dxfId="2">
      <formula>0</formula>
    </cfRule>
  </conditionalFormatting>
  <conditionalFormatting sqref="B1675:P1675">
    <cfRule type="cellIs" priority="122" operator="equal" dxfId="2">
      <formula>0</formula>
    </cfRule>
  </conditionalFormatting>
  <conditionalFormatting sqref="B1679:P1679">
    <cfRule type="cellIs" priority="123" operator="equal" dxfId="2">
      <formula>0</formula>
    </cfRule>
  </conditionalFormatting>
  <conditionalFormatting sqref="B1712:P1712">
    <cfRule type="cellIs" priority="124" operator="equal" dxfId="2">
      <formula>0</formula>
    </cfRule>
  </conditionalFormatting>
  <conditionalFormatting sqref="B1716:P1716">
    <cfRule type="cellIs" priority="125" operator="equal" dxfId="2">
      <formula>0</formula>
    </cfRule>
  </conditionalFormatting>
  <conditionalFormatting sqref="B1720:P1720">
    <cfRule type="cellIs" priority="126" operator="equal" dxfId="2">
      <formula>0</formula>
    </cfRule>
  </conditionalFormatting>
  <conditionalFormatting sqref="B1753:P1753">
    <cfRule type="cellIs" priority="127" operator="equal" dxfId="2">
      <formula>0</formula>
    </cfRule>
  </conditionalFormatting>
  <conditionalFormatting sqref="B1757:P1757">
    <cfRule type="cellIs" priority="128" operator="equal" dxfId="2">
      <formula>0</formula>
    </cfRule>
  </conditionalFormatting>
  <conditionalFormatting sqref="B1761:P1761">
    <cfRule type="cellIs" priority="129" operator="equal" dxfId="2">
      <formula>0</formula>
    </cfRule>
  </conditionalFormatting>
  <conditionalFormatting sqref="B1794:P1794">
    <cfRule type="cellIs" priority="130" operator="equal" dxfId="2">
      <formula>0</formula>
    </cfRule>
  </conditionalFormatting>
  <conditionalFormatting sqref="B1798:P1798">
    <cfRule type="cellIs" priority="131" operator="equal" dxfId="2">
      <formula>0</formula>
    </cfRule>
  </conditionalFormatting>
  <conditionalFormatting sqref="B1802:P1802">
    <cfRule type="cellIs" priority="132" operator="equal" dxfId="2">
      <formula>0</formula>
    </cfRule>
  </conditionalFormatting>
  <conditionalFormatting sqref="B1835:P1835">
    <cfRule type="cellIs" priority="133" operator="equal" dxfId="2">
      <formula>0</formula>
    </cfRule>
  </conditionalFormatting>
  <conditionalFormatting sqref="B1839:P1839">
    <cfRule type="cellIs" priority="134" operator="equal" dxfId="2">
      <formula>0</formula>
    </cfRule>
  </conditionalFormatting>
  <conditionalFormatting sqref="B1843:P1843">
    <cfRule type="cellIs" priority="135" operator="equal" dxfId="2">
      <formula>0</formula>
    </cfRule>
  </conditionalFormatting>
  <conditionalFormatting sqref="B1876:P1876">
    <cfRule type="cellIs" priority="136" operator="equal" dxfId="2">
      <formula>0</formula>
    </cfRule>
  </conditionalFormatting>
  <conditionalFormatting sqref="B1880:P1880">
    <cfRule type="cellIs" priority="137" operator="equal" dxfId="2">
      <formula>0</formula>
    </cfRule>
  </conditionalFormatting>
  <conditionalFormatting sqref="B1884:P1884">
    <cfRule type="cellIs" priority="138" operator="equal" dxfId="2">
      <formula>0</formula>
    </cfRule>
  </conditionalFormatting>
  <conditionalFormatting sqref="B1917:P1917">
    <cfRule type="cellIs" priority="139" operator="equal" dxfId="2">
      <formula>0</formula>
    </cfRule>
  </conditionalFormatting>
  <conditionalFormatting sqref="B1921:P1921">
    <cfRule type="cellIs" priority="140" operator="equal" dxfId="2">
      <formula>0</formula>
    </cfRule>
  </conditionalFormatting>
  <conditionalFormatting sqref="B1925:P1925">
    <cfRule type="cellIs" priority="141" operator="equal" dxfId="2">
      <formula>0</formula>
    </cfRule>
  </conditionalFormatting>
  <conditionalFormatting sqref="B1958:P1958">
    <cfRule type="cellIs" priority="142" operator="equal" dxfId="2">
      <formula>0</formula>
    </cfRule>
  </conditionalFormatting>
  <conditionalFormatting sqref="B1962:P1962">
    <cfRule type="cellIs" priority="143" operator="equal" dxfId="2">
      <formula>0</formula>
    </cfRule>
  </conditionalFormatting>
  <conditionalFormatting sqref="B1966:P1966">
    <cfRule type="cellIs" priority="144" operator="equal" dxfId="2">
      <formula>0</formula>
    </cfRule>
  </conditionalFormatting>
  <conditionalFormatting sqref="B1999:P1999">
    <cfRule type="cellIs" priority="145" operator="equal" dxfId="2">
      <formula>0</formula>
    </cfRule>
  </conditionalFormatting>
  <conditionalFormatting sqref="B2003:P2003">
    <cfRule type="cellIs" priority="146" operator="equal" dxfId="2">
      <formula>0</formula>
    </cfRule>
  </conditionalFormatting>
  <conditionalFormatting sqref="B2007:P2007">
    <cfRule type="cellIs" priority="147" operator="equal" dxfId="2">
      <formula>0</formula>
    </cfRule>
  </conditionalFormatting>
  <conditionalFormatting sqref="B2040:P2040">
    <cfRule type="cellIs" priority="148" operator="equal" dxfId="2">
      <formula>0</formula>
    </cfRule>
  </conditionalFormatting>
  <conditionalFormatting sqref="B2044:P2044">
    <cfRule type="cellIs" priority="149" operator="equal" dxfId="2">
      <formula>0</formula>
    </cfRule>
  </conditionalFormatting>
  <conditionalFormatting sqref="B2048:P2048">
    <cfRule type="cellIs" priority="150" operator="equal" dxfId="2">
      <formula>0</formula>
    </cfRule>
  </conditionalFormatting>
  <conditionalFormatting sqref="B2081:P2081">
    <cfRule type="cellIs" priority="151" operator="equal" dxfId="2">
      <formula>0</formula>
    </cfRule>
  </conditionalFormatting>
  <conditionalFormatting sqref="B2085:P2085">
    <cfRule type="cellIs" priority="152" operator="equal" dxfId="2">
      <formula>0</formula>
    </cfRule>
  </conditionalFormatting>
  <conditionalFormatting sqref="B2089:P2089">
    <cfRule type="cellIs" priority="153" operator="equal" dxfId="2">
      <formula>0</formula>
    </cfRule>
  </conditionalFormatting>
  <conditionalFormatting sqref="B2122:P2122">
    <cfRule type="cellIs" priority="154" operator="equal" dxfId="2">
      <formula>0</formula>
    </cfRule>
  </conditionalFormatting>
  <conditionalFormatting sqref="B2126:P2126">
    <cfRule type="cellIs" priority="155" operator="equal" dxfId="2">
      <formula>0</formula>
    </cfRule>
  </conditionalFormatting>
  <conditionalFormatting sqref="B2130:P2130">
    <cfRule type="cellIs" priority="156" operator="equal" dxfId="2">
      <formula>0</formula>
    </cfRule>
  </conditionalFormatting>
  <conditionalFormatting sqref="B2163:P2163">
    <cfRule type="cellIs" priority="157" operator="equal" dxfId="2">
      <formula>0</formula>
    </cfRule>
  </conditionalFormatting>
  <conditionalFormatting sqref="B2167:P2167">
    <cfRule type="cellIs" priority="158" operator="equal" dxfId="2">
      <formula>0</formula>
    </cfRule>
  </conditionalFormatting>
  <conditionalFormatting sqref="B2171:P2171">
    <cfRule type="cellIs" priority="159" operator="equal" dxfId="2">
      <formula>0</formula>
    </cfRule>
  </conditionalFormatting>
  <conditionalFormatting sqref="B2204:P2204">
    <cfRule type="cellIs" priority="160" operator="equal" dxfId="2">
      <formula>0</formula>
    </cfRule>
  </conditionalFormatting>
  <conditionalFormatting sqref="B2208:P2208">
    <cfRule type="cellIs" priority="161" operator="equal" dxfId="2">
      <formula>0</formula>
    </cfRule>
  </conditionalFormatting>
  <conditionalFormatting sqref="B2212:P2212">
    <cfRule type="cellIs" priority="162" operator="equal" dxfId="2">
      <formula>0</formula>
    </cfRule>
  </conditionalFormatting>
  <conditionalFormatting sqref="B2245:P2245">
    <cfRule type="cellIs" priority="163" operator="equal" dxfId="2">
      <formula>0</formula>
    </cfRule>
  </conditionalFormatting>
  <conditionalFormatting sqref="B2249:P2249">
    <cfRule type="cellIs" priority="164" operator="equal" dxfId="2">
      <formula>0</formula>
    </cfRule>
  </conditionalFormatting>
  <conditionalFormatting sqref="B2253:P2253">
    <cfRule type="cellIs" priority="165" operator="equal" dxfId="2">
      <formula>0</formula>
    </cfRule>
  </conditionalFormatting>
  <conditionalFormatting sqref="B2286:P2286">
    <cfRule type="cellIs" priority="166" operator="equal" dxfId="2">
      <formula>0</formula>
    </cfRule>
  </conditionalFormatting>
  <conditionalFormatting sqref="B2290:P2290">
    <cfRule type="cellIs" priority="167" operator="equal" dxfId="2">
      <formula>0</formula>
    </cfRule>
  </conditionalFormatting>
  <conditionalFormatting sqref="B2294:P2294">
    <cfRule type="cellIs" priority="168" operator="equal" dxfId="2">
      <formula>0</formula>
    </cfRule>
  </conditionalFormatting>
  <conditionalFormatting sqref="B2327:P2327">
    <cfRule type="cellIs" priority="169" operator="equal" dxfId="2">
      <formula>0</formula>
    </cfRule>
  </conditionalFormatting>
  <conditionalFormatting sqref="B2331:P2331">
    <cfRule type="cellIs" priority="170" operator="equal" dxfId="2">
      <formula>0</formula>
    </cfRule>
  </conditionalFormatting>
  <conditionalFormatting sqref="B2335:P2335">
    <cfRule type="cellIs" priority="171" operator="equal" dxfId="2">
      <formula>0</formula>
    </cfRule>
  </conditionalFormatting>
  <conditionalFormatting sqref="B2368:P2368">
    <cfRule type="cellIs" priority="172" operator="equal" dxfId="2">
      <formula>0</formula>
    </cfRule>
  </conditionalFormatting>
  <conditionalFormatting sqref="B2372:P2372">
    <cfRule type="cellIs" priority="173" operator="equal" dxfId="2">
      <formula>0</formula>
    </cfRule>
  </conditionalFormatting>
  <conditionalFormatting sqref="B2376:P2376">
    <cfRule type="cellIs" priority="174" operator="equal" dxfId="2">
      <formula>0</formula>
    </cfRule>
  </conditionalFormatting>
  <conditionalFormatting sqref="B2409:P2409">
    <cfRule type="cellIs" priority="175" operator="equal" dxfId="2">
      <formula>0</formula>
    </cfRule>
  </conditionalFormatting>
  <conditionalFormatting sqref="B2413:P2413">
    <cfRule type="cellIs" priority="176" operator="equal" dxfId="2">
      <formula>0</formula>
    </cfRule>
  </conditionalFormatting>
  <conditionalFormatting sqref="B2417:P2417">
    <cfRule type="cellIs" priority="177" operator="equal" dxfId="2">
      <formula>0</formula>
    </cfRule>
  </conditionalFormatting>
  <conditionalFormatting sqref="B2450:P2450">
    <cfRule type="cellIs" priority="178" operator="equal" dxfId="2">
      <formula>0</formula>
    </cfRule>
  </conditionalFormatting>
  <conditionalFormatting sqref="B2454:P2454">
    <cfRule type="cellIs" priority="179" operator="equal" dxfId="2">
      <formula>0</formula>
    </cfRule>
  </conditionalFormatting>
  <conditionalFormatting sqref="B2458:P2458">
    <cfRule type="cellIs" priority="180" operator="equal" dxfId="2">
      <formula>0</formula>
    </cfRule>
  </conditionalFormatting>
  <pageMargins left="0.3" right="0.3" top="0.4" bottom="0.4" header="0.5" footer="0.5"/>
  <pageSetup orientation="portrait" paperSize="9" fitToHeight="0" fitToWidth="1"/>
  <rowBreaks count="59" manualBreakCount="59">
    <brk id="41" min="0" max="16383" man="1"/>
    <brk id="82" min="0" max="16383" man="1"/>
    <brk id="123" min="0" max="16383" man="1"/>
    <brk id="164" min="0" max="16383" man="1"/>
    <brk id="205" min="0" max="16383" man="1"/>
    <brk id="246" min="0" max="16383" man="1"/>
    <brk id="287" min="0" max="16383" man="1"/>
    <brk id="328" min="0" max="16383" man="1"/>
    <brk id="369" min="0" max="16383" man="1"/>
    <brk id="410" min="0" max="16383" man="1"/>
    <brk id="451" min="0" max="16383" man="1"/>
    <brk id="492" min="0" max="16383" man="1"/>
    <brk id="533" min="0" max="16383" man="1"/>
    <brk id="574" min="0" max="16383" man="1"/>
    <brk id="615" min="0" max="16383" man="1"/>
    <brk id="656" min="0" max="16383" man="1"/>
    <brk id="697" min="0" max="16383" man="1"/>
    <brk id="738" min="0" max="16383" man="1"/>
    <brk id="779" min="0" max="16383" man="1"/>
    <brk id="820" min="0" max="16383" man="1"/>
    <brk id="861" min="0" max="16383" man="1"/>
    <brk id="902" min="0" max="16383" man="1"/>
    <brk id="943" min="0" max="16383" man="1"/>
    <brk id="984" min="0" max="16383" man="1"/>
    <brk id="1025" min="0" max="16383" man="1"/>
    <brk id="1066" min="0" max="16383" man="1"/>
    <brk id="1107" min="0" max="16383" man="1"/>
    <brk id="1148" min="0" max="16383" man="1"/>
    <brk id="1189" min="0" max="16383" man="1"/>
    <brk id="1230" min="0" max="16383" man="1"/>
    <brk id="1271" min="0" max="16383" man="1"/>
    <brk id="1312" min="0" max="16383" man="1"/>
    <brk id="1353" min="0" max="16383" man="1"/>
    <brk id="1394" min="0" max="16383" man="1"/>
    <brk id="1435" min="0" max="16383" man="1"/>
    <brk id="1476" min="0" max="16383" man="1"/>
    <brk id="1517" min="0" max="16383" man="1"/>
    <brk id="1558" min="0" max="16383" man="1"/>
    <brk id="1599" min="0" max="16383" man="1"/>
    <brk id="1640" min="0" max="16383" man="1"/>
    <brk id="1681" min="0" max="16383" man="1"/>
    <brk id="1722" min="0" max="16383" man="1"/>
    <brk id="1763" min="0" max="16383" man="1"/>
    <brk id="1804" min="0" max="16383" man="1"/>
    <brk id="1845" min="0" max="16383" man="1"/>
    <brk id="1886" min="0" max="16383" man="1"/>
    <brk id="1927" min="0" max="16383" man="1"/>
    <brk id="1968" min="0" max="16383" man="1"/>
    <brk id="2009" min="0" max="16383" man="1"/>
    <brk id="2050" min="0" max="16383" man="1"/>
    <brk id="2091" min="0" max="16383" man="1"/>
    <brk id="2132" min="0" max="16383" man="1"/>
    <brk id="2173" min="0" max="16383" man="1"/>
    <brk id="2214" min="0" max="16383" man="1"/>
    <brk id="2255" min="0" max="16383" man="1"/>
    <brk id="2296" min="0" max="16383" man="1"/>
    <brk id="2337" min="0" max="16383" man="1"/>
    <brk id="2378" min="0" max="16383" man="1"/>
    <brk id="2419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ySplit="27" topLeftCell="A2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30" customWidth="1" min="7" max="7"/>
    <col hidden="1" width="6" customWidth="1" min="8" max="8"/>
  </cols>
  <sheetData>
    <row r="1">
      <c r="A1" s="54" t="inlineStr">
        <is>
          <t>반 전체 분석</t>
        </is>
      </c>
    </row>
    <row r="3">
      <c r="A3" s="12" t="inlineStr">
        <is>
          <t>■ 요약</t>
        </is>
      </c>
    </row>
    <row r="4">
      <c r="A4" s="5" t="inlineStr">
        <is>
          <t>응시 인원</t>
        </is>
      </c>
      <c r="B4" s="8" t="n"/>
      <c r="C4" s="55">
        <f>COUNT(전체채점!$C$3:$C$62)</f>
        <v/>
      </c>
    </row>
    <row r="5">
      <c r="A5" s="5" t="inlineStr">
        <is>
          <t>평균 점수</t>
        </is>
      </c>
      <c r="B5" s="8" t="n"/>
      <c r="C5" s="56">
        <f>IFERROR(AVERAGE(전체채점!$C$3:$C$62),"")</f>
        <v/>
      </c>
    </row>
    <row r="6">
      <c r="A6" s="5" t="inlineStr">
        <is>
          <t>최고 점수</t>
        </is>
      </c>
      <c r="B6" s="8" t="n"/>
      <c r="C6" s="57">
        <f>IFERROR(MAX(전체채점!$C$3:$C$62),"")</f>
        <v/>
      </c>
    </row>
    <row r="7">
      <c r="A7" s="5" t="inlineStr">
        <is>
          <t>최저 점수</t>
        </is>
      </c>
      <c r="B7" s="8" t="n"/>
      <c r="C7" s="57">
        <f>IFERROR(MIN(전체채점!$C$3:$C$62),"")</f>
        <v/>
      </c>
    </row>
    <row r="8">
      <c r="A8" s="5" t="inlineStr">
        <is>
          <t>화법과 작문 평균</t>
        </is>
      </c>
      <c r="B8" s="8" t="n"/>
      <c r="C8" s="56">
        <f>IFERROR(AVERAGEIF(전체채점!$B$3:$B$62,"화법과 작문",전체채점!$C$3:$C$62),"")</f>
        <v/>
      </c>
    </row>
    <row r="9">
      <c r="A9" s="5" t="inlineStr">
        <is>
          <t>언어와 매체 평균</t>
        </is>
      </c>
      <c r="B9" s="8" t="n"/>
      <c r="C9" s="56">
        <f>IFERROR(AVERAGEIF(전체채점!$B$3:$B$62,"언어와 매체",전체채점!$C$3:$C$62),"")</f>
        <v/>
      </c>
    </row>
    <row r="10">
      <c r="A10" s="5" t="inlineStr">
        <is>
          <t>성적표(전원) 인쇄 쪽수</t>
        </is>
      </c>
      <c r="B10" s="8" t="n"/>
      <c r="C10" s="58">
        <f>COUNT(전체채점!$C$3:$C$62)</f>
        <v/>
      </c>
    </row>
    <row r="12">
      <c r="A12" s="12" t="inlineStr">
        <is>
          <t>■ 등급 분포</t>
        </is>
      </c>
    </row>
    <row r="13">
      <c r="A13" s="13" t="inlineStr">
        <is>
          <t>1등급</t>
        </is>
      </c>
      <c r="B13" s="13" t="inlineStr">
        <is>
          <t>2등급</t>
        </is>
      </c>
      <c r="C13" s="13" t="inlineStr">
        <is>
          <t>3등급</t>
        </is>
      </c>
      <c r="D13" s="13" t="inlineStr">
        <is>
          <t>4등급</t>
        </is>
      </c>
      <c r="E13" s="13" t="inlineStr">
        <is>
          <t>등급 외</t>
        </is>
      </c>
    </row>
    <row r="14">
      <c r="A14" s="59">
        <f>COUNTIF(전체채점!$D$3:$D$62,"1등급")</f>
        <v/>
      </c>
      <c r="B14" s="59">
        <f>COUNTIF(전체채점!$D$3:$D$62,"2등급")</f>
        <v/>
      </c>
      <c r="C14" s="59">
        <f>COUNTIF(전체채점!$D$3:$D$62,"3등급")</f>
        <v/>
      </c>
      <c r="D14" s="59">
        <f>COUNTIF(전체채점!$D$3:$D$62,"4등급")</f>
        <v/>
      </c>
      <c r="E14" s="59">
        <f>COUNTIF(전체채점!$D$3:$D$62,"등급 외")</f>
        <v/>
      </c>
    </row>
    <row r="15">
      <c r="A15" s="12" t="inlineStr">
        <is>
          <t>■ 공통과목 영역별 반 평균 성취도</t>
        </is>
      </c>
    </row>
    <row r="16">
      <c r="A16" s="13" t="inlineStr">
        <is>
          <t>분류</t>
        </is>
      </c>
      <c r="B16" s="13" t="inlineStr">
        <is>
          <t>영역</t>
        </is>
      </c>
      <c r="C16" s="13" t="inlineStr">
        <is>
          <t>문항</t>
        </is>
      </c>
      <c r="D16" s="13" t="inlineStr">
        <is>
          <t>배점</t>
        </is>
      </c>
      <c r="E16" s="13" t="inlineStr">
        <is>
          <t>반 평균 득점</t>
        </is>
      </c>
      <c r="F16" s="13" t="inlineStr">
        <is>
          <t>평균 성취도(%)</t>
        </is>
      </c>
      <c r="G16" s="13" t="inlineStr">
        <is>
          <t>막대</t>
        </is>
      </c>
    </row>
    <row r="17">
      <c r="A17" s="14">
        <f>IF($H17="","",IF(INDEX(회차설정!$E$13:$E$27,$H17)&lt;&gt;"공통","",INDEX(회차설정!$A$13:$A$27,$H17)))</f>
        <v/>
      </c>
      <c r="B17" s="14">
        <f>IF($H17="","",IF(INDEX(회차설정!$E$13:$E$27,$H17)&lt;&gt;"공통","",INDEX(회차설정!$B$13:$B$27,$H17)))</f>
        <v/>
      </c>
      <c r="C17" s="14">
        <f>IF($H17="","",IF(INDEX(회차설정!$E$13:$E$27,$H17)&lt;&gt;"공통","",INDEX(회차설정!$C$13:$C$27,$H17)&amp;"~"&amp;INDEX(회차설정!$D$13:$D$27,$H17)))</f>
        <v/>
      </c>
      <c r="D17" s="14">
        <f>IF($A17="","",SUMPRODUCT((자동계산!$A$4:$A$48&gt;=INDEX(회차설정!$C$13:$C$27,$H17))*(자동계산!$A$4:$A$48&lt;=INDEX(회차설정!$D$13:$D$27,$H17))*자동계산!$C$4:$C$48))</f>
        <v/>
      </c>
      <c r="E17" s="60">
        <f>IF(OR($A17="",$C$4=0),"",SUM(OFFSET(전체채점!$AW$2,1,INDEX(회차설정!$C$13:$C$27,$H17),60,INDEX(회차설정!$D$13:$D$27,$H17)-INDEX(회차설정!$C$13:$C$27,$H17)+1))/$C$4)</f>
        <v/>
      </c>
      <c r="F17" s="46">
        <f>IF(OR($A17="",$D17=0,$D17=""),"",$E17/$D17*100)</f>
        <v/>
      </c>
      <c r="G17" s="47">
        <f>IF($F17="","",REPT("■",ROUND($F17/5,0)))</f>
        <v/>
      </c>
      <c r="H17" s="37">
        <f>IFERROR(MATCH(1,회차설정!$F$13:$F$27,0),"")</f>
        <v/>
      </c>
    </row>
    <row r="18">
      <c r="A18" s="14">
        <f>IF($H18="","",IF(INDEX(회차설정!$E$13:$E$27,$H18)&lt;&gt;"공통","",INDEX(회차설정!$A$13:$A$27,$H18)))</f>
        <v/>
      </c>
      <c r="B18" s="14">
        <f>IF($H18="","",IF(INDEX(회차설정!$E$13:$E$27,$H18)&lt;&gt;"공통","",INDEX(회차설정!$B$13:$B$27,$H18)))</f>
        <v/>
      </c>
      <c r="C18" s="14">
        <f>IF($H18="","",IF(INDEX(회차설정!$E$13:$E$27,$H18)&lt;&gt;"공통","",INDEX(회차설정!$C$13:$C$27,$H18)&amp;"~"&amp;INDEX(회차설정!$D$13:$D$27,$H18)))</f>
        <v/>
      </c>
      <c r="D18" s="14">
        <f>IF($A18="","",SUMPRODUCT((자동계산!$A$4:$A$48&gt;=INDEX(회차설정!$C$13:$C$27,$H18))*(자동계산!$A$4:$A$48&lt;=INDEX(회차설정!$D$13:$D$27,$H18))*자동계산!$C$4:$C$48))</f>
        <v/>
      </c>
      <c r="E18" s="60">
        <f>IF(OR($A18="",$C$4=0),"",SUM(OFFSET(전체채점!$AW$2,1,INDEX(회차설정!$C$13:$C$27,$H18),60,INDEX(회차설정!$D$13:$D$27,$H18)-INDEX(회차설정!$C$13:$C$27,$H18)+1))/$C$4)</f>
        <v/>
      </c>
      <c r="F18" s="46">
        <f>IF(OR($A18="",$D18=0,$D18=""),"",$E18/$D18*100)</f>
        <v/>
      </c>
      <c r="G18" s="47">
        <f>IF($F18="","",REPT("■",ROUND($F18/5,0)))</f>
        <v/>
      </c>
      <c r="H18" s="37">
        <f>IFERROR(MATCH(2,회차설정!$F$13:$F$27,0),"")</f>
        <v/>
      </c>
    </row>
    <row r="19">
      <c r="A19" s="14">
        <f>IF($H19="","",IF(INDEX(회차설정!$E$13:$E$27,$H19)&lt;&gt;"공통","",INDEX(회차설정!$A$13:$A$27,$H19)))</f>
        <v/>
      </c>
      <c r="B19" s="14">
        <f>IF($H19="","",IF(INDEX(회차설정!$E$13:$E$27,$H19)&lt;&gt;"공통","",INDEX(회차설정!$B$13:$B$27,$H19)))</f>
        <v/>
      </c>
      <c r="C19" s="14">
        <f>IF($H19="","",IF(INDEX(회차설정!$E$13:$E$27,$H19)&lt;&gt;"공통","",INDEX(회차설정!$C$13:$C$27,$H19)&amp;"~"&amp;INDEX(회차설정!$D$13:$D$27,$H19)))</f>
        <v/>
      </c>
      <c r="D19" s="14">
        <f>IF($A19="","",SUMPRODUCT((자동계산!$A$4:$A$48&gt;=INDEX(회차설정!$C$13:$C$27,$H19))*(자동계산!$A$4:$A$48&lt;=INDEX(회차설정!$D$13:$D$27,$H19))*자동계산!$C$4:$C$48))</f>
        <v/>
      </c>
      <c r="E19" s="60">
        <f>IF(OR($A19="",$C$4=0),"",SUM(OFFSET(전체채점!$AW$2,1,INDEX(회차설정!$C$13:$C$27,$H19),60,INDEX(회차설정!$D$13:$D$27,$H19)-INDEX(회차설정!$C$13:$C$27,$H19)+1))/$C$4)</f>
        <v/>
      </c>
      <c r="F19" s="46">
        <f>IF(OR($A19="",$D19=0,$D19=""),"",$E19/$D19*100)</f>
        <v/>
      </c>
      <c r="G19" s="47">
        <f>IF($F19="","",REPT("■",ROUND($F19/5,0)))</f>
        <v/>
      </c>
      <c r="H19" s="37">
        <f>IFERROR(MATCH(3,회차설정!$F$13:$F$27,0),"")</f>
        <v/>
      </c>
    </row>
    <row r="20">
      <c r="A20" s="14">
        <f>IF($H20="","",IF(INDEX(회차설정!$E$13:$E$27,$H20)&lt;&gt;"공통","",INDEX(회차설정!$A$13:$A$27,$H20)))</f>
        <v/>
      </c>
      <c r="B20" s="14">
        <f>IF($H20="","",IF(INDEX(회차설정!$E$13:$E$27,$H20)&lt;&gt;"공통","",INDEX(회차설정!$B$13:$B$27,$H20)))</f>
        <v/>
      </c>
      <c r="C20" s="14">
        <f>IF($H20="","",IF(INDEX(회차설정!$E$13:$E$27,$H20)&lt;&gt;"공통","",INDEX(회차설정!$C$13:$C$27,$H20)&amp;"~"&amp;INDEX(회차설정!$D$13:$D$27,$H20)))</f>
        <v/>
      </c>
      <c r="D20" s="14">
        <f>IF($A20="","",SUMPRODUCT((자동계산!$A$4:$A$48&gt;=INDEX(회차설정!$C$13:$C$27,$H20))*(자동계산!$A$4:$A$48&lt;=INDEX(회차설정!$D$13:$D$27,$H20))*자동계산!$C$4:$C$48))</f>
        <v/>
      </c>
      <c r="E20" s="60">
        <f>IF(OR($A20="",$C$4=0),"",SUM(OFFSET(전체채점!$AW$2,1,INDEX(회차설정!$C$13:$C$27,$H20),60,INDEX(회차설정!$D$13:$D$27,$H20)-INDEX(회차설정!$C$13:$C$27,$H20)+1))/$C$4)</f>
        <v/>
      </c>
      <c r="F20" s="46">
        <f>IF(OR($A20="",$D20=0,$D20=""),"",$E20/$D20*100)</f>
        <v/>
      </c>
      <c r="G20" s="47">
        <f>IF($F20="","",REPT("■",ROUND($F20/5,0)))</f>
        <v/>
      </c>
      <c r="H20" s="37">
        <f>IFERROR(MATCH(4,회차설정!$F$13:$F$27,0),"")</f>
        <v/>
      </c>
    </row>
    <row r="21">
      <c r="A21" s="14">
        <f>IF($H21="","",IF(INDEX(회차설정!$E$13:$E$27,$H21)&lt;&gt;"공통","",INDEX(회차설정!$A$13:$A$27,$H21)))</f>
        <v/>
      </c>
      <c r="B21" s="14">
        <f>IF($H21="","",IF(INDEX(회차설정!$E$13:$E$27,$H21)&lt;&gt;"공통","",INDEX(회차설정!$B$13:$B$27,$H21)))</f>
        <v/>
      </c>
      <c r="C21" s="14">
        <f>IF($H21="","",IF(INDEX(회차설정!$E$13:$E$27,$H21)&lt;&gt;"공통","",INDEX(회차설정!$C$13:$C$27,$H21)&amp;"~"&amp;INDEX(회차설정!$D$13:$D$27,$H21)))</f>
        <v/>
      </c>
      <c r="D21" s="14">
        <f>IF($A21="","",SUMPRODUCT((자동계산!$A$4:$A$48&gt;=INDEX(회차설정!$C$13:$C$27,$H21))*(자동계산!$A$4:$A$48&lt;=INDEX(회차설정!$D$13:$D$27,$H21))*자동계산!$C$4:$C$48))</f>
        <v/>
      </c>
      <c r="E21" s="60">
        <f>IF(OR($A21="",$C$4=0),"",SUM(OFFSET(전체채점!$AW$2,1,INDEX(회차설정!$C$13:$C$27,$H21),60,INDEX(회차설정!$D$13:$D$27,$H21)-INDEX(회차설정!$C$13:$C$27,$H21)+1))/$C$4)</f>
        <v/>
      </c>
      <c r="F21" s="46">
        <f>IF(OR($A21="",$D21=0,$D21=""),"",$E21/$D21*100)</f>
        <v/>
      </c>
      <c r="G21" s="47">
        <f>IF($F21="","",REPT("■",ROUND($F21/5,0)))</f>
        <v/>
      </c>
      <c r="H21" s="37">
        <f>IFERROR(MATCH(5,회차설정!$F$13:$F$27,0),"")</f>
        <v/>
      </c>
    </row>
    <row r="22">
      <c r="A22" s="14">
        <f>IF($H22="","",IF(INDEX(회차설정!$E$13:$E$27,$H22)&lt;&gt;"공통","",INDEX(회차설정!$A$13:$A$27,$H22)))</f>
        <v/>
      </c>
      <c r="B22" s="14">
        <f>IF($H22="","",IF(INDEX(회차설정!$E$13:$E$27,$H22)&lt;&gt;"공통","",INDEX(회차설정!$B$13:$B$27,$H22)))</f>
        <v/>
      </c>
      <c r="C22" s="14">
        <f>IF($H22="","",IF(INDEX(회차설정!$E$13:$E$27,$H22)&lt;&gt;"공통","",INDEX(회차설정!$C$13:$C$27,$H22)&amp;"~"&amp;INDEX(회차설정!$D$13:$D$27,$H22)))</f>
        <v/>
      </c>
      <c r="D22" s="14">
        <f>IF($A22="","",SUMPRODUCT((자동계산!$A$4:$A$48&gt;=INDEX(회차설정!$C$13:$C$27,$H22))*(자동계산!$A$4:$A$48&lt;=INDEX(회차설정!$D$13:$D$27,$H22))*자동계산!$C$4:$C$48))</f>
        <v/>
      </c>
      <c r="E22" s="60">
        <f>IF(OR($A22="",$C$4=0),"",SUM(OFFSET(전체채점!$AW$2,1,INDEX(회차설정!$C$13:$C$27,$H22),60,INDEX(회차설정!$D$13:$D$27,$H22)-INDEX(회차설정!$C$13:$C$27,$H22)+1))/$C$4)</f>
        <v/>
      </c>
      <c r="F22" s="46">
        <f>IF(OR($A22="",$D22=0,$D22=""),"",$E22/$D22*100)</f>
        <v/>
      </c>
      <c r="G22" s="47">
        <f>IF($F22="","",REPT("■",ROUND($F22/5,0)))</f>
        <v/>
      </c>
      <c r="H22" s="37">
        <f>IFERROR(MATCH(6,회차설정!$F$13:$F$27,0),"")</f>
        <v/>
      </c>
    </row>
    <row r="23">
      <c r="A23" s="14">
        <f>IF($H23="","",IF(INDEX(회차설정!$E$13:$E$27,$H23)&lt;&gt;"공통","",INDEX(회차설정!$A$13:$A$27,$H23)))</f>
        <v/>
      </c>
      <c r="B23" s="14">
        <f>IF($H23="","",IF(INDEX(회차설정!$E$13:$E$27,$H23)&lt;&gt;"공통","",INDEX(회차설정!$B$13:$B$27,$H23)))</f>
        <v/>
      </c>
      <c r="C23" s="14">
        <f>IF($H23="","",IF(INDEX(회차설정!$E$13:$E$27,$H23)&lt;&gt;"공통","",INDEX(회차설정!$C$13:$C$27,$H23)&amp;"~"&amp;INDEX(회차설정!$D$13:$D$27,$H23)))</f>
        <v/>
      </c>
      <c r="D23" s="14">
        <f>IF($A23="","",SUMPRODUCT((자동계산!$A$4:$A$48&gt;=INDEX(회차설정!$C$13:$C$27,$H23))*(자동계산!$A$4:$A$48&lt;=INDEX(회차설정!$D$13:$D$27,$H23))*자동계산!$C$4:$C$48))</f>
        <v/>
      </c>
      <c r="E23" s="60">
        <f>IF(OR($A23="",$C$4=0),"",SUM(OFFSET(전체채점!$AW$2,1,INDEX(회차설정!$C$13:$C$27,$H23),60,INDEX(회차설정!$D$13:$D$27,$H23)-INDEX(회차설정!$C$13:$C$27,$H23)+1))/$C$4)</f>
        <v/>
      </c>
      <c r="F23" s="46">
        <f>IF(OR($A23="",$D23=0,$D23=""),"",$E23/$D23*100)</f>
        <v/>
      </c>
      <c r="G23" s="47">
        <f>IF($F23="","",REPT("■",ROUND($F23/5,0)))</f>
        <v/>
      </c>
      <c r="H23" s="37">
        <f>IFERROR(MATCH(7,회차설정!$F$13:$F$27,0),"")</f>
        <v/>
      </c>
    </row>
    <row r="24">
      <c r="A24" s="14">
        <f>IF($H24="","",IF(INDEX(회차설정!$E$13:$E$27,$H24)&lt;&gt;"공통","",INDEX(회차설정!$A$13:$A$27,$H24)))</f>
        <v/>
      </c>
      <c r="B24" s="14">
        <f>IF($H24="","",IF(INDEX(회차설정!$E$13:$E$27,$H24)&lt;&gt;"공통","",INDEX(회차설정!$B$13:$B$27,$H24)))</f>
        <v/>
      </c>
      <c r="C24" s="14">
        <f>IF($H24="","",IF(INDEX(회차설정!$E$13:$E$27,$H24)&lt;&gt;"공통","",INDEX(회차설정!$C$13:$C$27,$H24)&amp;"~"&amp;INDEX(회차설정!$D$13:$D$27,$H24)))</f>
        <v/>
      </c>
      <c r="D24" s="14">
        <f>IF($A24="","",SUMPRODUCT((자동계산!$A$4:$A$48&gt;=INDEX(회차설정!$C$13:$C$27,$H24))*(자동계산!$A$4:$A$48&lt;=INDEX(회차설정!$D$13:$D$27,$H24))*자동계산!$C$4:$C$48))</f>
        <v/>
      </c>
      <c r="E24" s="60">
        <f>IF(OR($A24="",$C$4=0),"",SUM(OFFSET(전체채점!$AW$2,1,INDEX(회차설정!$C$13:$C$27,$H24),60,INDEX(회차설정!$D$13:$D$27,$H24)-INDEX(회차설정!$C$13:$C$27,$H24)+1))/$C$4)</f>
        <v/>
      </c>
      <c r="F24" s="46">
        <f>IF(OR($A24="",$D24=0,$D24=""),"",$E24/$D24*100)</f>
        <v/>
      </c>
      <c r="G24" s="47">
        <f>IF($F24="","",REPT("■",ROUND($F24/5,0)))</f>
        <v/>
      </c>
      <c r="H24" s="37">
        <f>IFERROR(MATCH(8,회차설정!$F$13:$F$27,0),"")</f>
        <v/>
      </c>
    </row>
    <row r="26">
      <c r="A26" s="12" t="inlineStr">
        <is>
          <t>■ 문항별 정답률  (낮은 문항이 많이 틀린 문항입니다)</t>
        </is>
      </c>
    </row>
    <row r="27">
      <c r="A27" s="13" t="inlineStr">
        <is>
          <t>번호</t>
        </is>
      </c>
      <c r="B27" s="13" t="inlineStr">
        <is>
          <t>전체 정답률(%)</t>
        </is>
      </c>
      <c r="C27" s="13" t="inlineStr">
        <is>
          <t>화법과 작문(%)</t>
        </is>
      </c>
      <c r="D27" s="13" t="inlineStr">
        <is>
          <t>언어와 매체(%)</t>
        </is>
      </c>
      <c r="E27" s="13" t="inlineStr"/>
      <c r="F27" s="8" t="n"/>
      <c r="G27" s="13" t="inlineStr">
        <is>
          <t>막대</t>
        </is>
      </c>
    </row>
    <row r="28">
      <c r="A28" s="51" t="n">
        <v>1</v>
      </c>
      <c r="B28" s="61">
        <f>IFERROR(COUNTIF(전체채점!AX$3:AX$62,"&gt;0")/$C$4*100,"")</f>
        <v/>
      </c>
      <c r="C28" s="62" t="inlineStr">
        <is>
          <t>-</t>
        </is>
      </c>
      <c r="D28" s="62" t="inlineStr">
        <is>
          <t>-</t>
        </is>
      </c>
      <c r="E28" s="63" t="n"/>
      <c r="F28" s="8" t="n"/>
      <c r="G28" s="64">
        <f>IF($B28="","",REPT("■",ROUND($B28/5,0)))</f>
        <v/>
      </c>
    </row>
    <row r="29">
      <c r="A29" s="51" t="n">
        <v>2</v>
      </c>
      <c r="B29" s="61">
        <f>IFERROR(COUNTIF(전체채점!AY$3:AY$62,"&gt;0")/$C$4*100,"")</f>
        <v/>
      </c>
      <c r="C29" s="62" t="inlineStr">
        <is>
          <t>-</t>
        </is>
      </c>
      <c r="D29" s="62" t="inlineStr">
        <is>
          <t>-</t>
        </is>
      </c>
      <c r="E29" s="63" t="n"/>
      <c r="F29" s="8" t="n"/>
      <c r="G29" s="64">
        <f>IF($B29="","",REPT("■",ROUND($B29/5,0)))</f>
        <v/>
      </c>
    </row>
    <row r="30">
      <c r="A30" s="51" t="n">
        <v>3</v>
      </c>
      <c r="B30" s="61">
        <f>IFERROR(COUNTIF(전체채점!AZ$3:AZ$62,"&gt;0")/$C$4*100,"")</f>
        <v/>
      </c>
      <c r="C30" s="62" t="inlineStr">
        <is>
          <t>-</t>
        </is>
      </c>
      <c r="D30" s="62" t="inlineStr">
        <is>
          <t>-</t>
        </is>
      </c>
      <c r="E30" s="63" t="n"/>
      <c r="F30" s="8" t="n"/>
      <c r="G30" s="64">
        <f>IF($B30="","",REPT("■",ROUND($B30/5,0)))</f>
        <v/>
      </c>
    </row>
    <row r="31">
      <c r="A31" s="51" t="n">
        <v>4</v>
      </c>
      <c r="B31" s="61">
        <f>IFERROR(COUNTIF(전체채점!BA$3:BA$62,"&gt;0")/$C$4*100,"")</f>
        <v/>
      </c>
      <c r="C31" s="62" t="inlineStr">
        <is>
          <t>-</t>
        </is>
      </c>
      <c r="D31" s="62" t="inlineStr">
        <is>
          <t>-</t>
        </is>
      </c>
      <c r="E31" s="63" t="n"/>
      <c r="F31" s="8" t="n"/>
      <c r="G31" s="64">
        <f>IF($B31="","",REPT("■",ROUND($B31/5,0)))</f>
        <v/>
      </c>
    </row>
    <row r="32">
      <c r="A32" s="51" t="n">
        <v>5</v>
      </c>
      <c r="B32" s="61">
        <f>IFERROR(COUNTIF(전체채점!BB$3:BB$62,"&gt;0")/$C$4*100,"")</f>
        <v/>
      </c>
      <c r="C32" s="62" t="inlineStr">
        <is>
          <t>-</t>
        </is>
      </c>
      <c r="D32" s="62" t="inlineStr">
        <is>
          <t>-</t>
        </is>
      </c>
      <c r="E32" s="63" t="n"/>
      <c r="F32" s="8" t="n"/>
      <c r="G32" s="64">
        <f>IF($B32="","",REPT("■",ROUND($B32/5,0)))</f>
        <v/>
      </c>
    </row>
    <row r="33">
      <c r="A33" s="51" t="n">
        <v>6</v>
      </c>
      <c r="B33" s="61">
        <f>IFERROR(COUNTIF(전체채점!BC$3:BC$62,"&gt;0")/$C$4*100,"")</f>
        <v/>
      </c>
      <c r="C33" s="62" t="inlineStr">
        <is>
          <t>-</t>
        </is>
      </c>
      <c r="D33" s="62" t="inlineStr">
        <is>
          <t>-</t>
        </is>
      </c>
      <c r="E33" s="63" t="n"/>
      <c r="F33" s="8" t="n"/>
      <c r="G33" s="64">
        <f>IF($B33="","",REPT("■",ROUND($B33/5,0)))</f>
        <v/>
      </c>
    </row>
    <row r="34">
      <c r="A34" s="51" t="n">
        <v>7</v>
      </c>
      <c r="B34" s="61">
        <f>IFERROR(COUNTIF(전체채점!BD$3:BD$62,"&gt;0")/$C$4*100,"")</f>
        <v/>
      </c>
      <c r="C34" s="62" t="inlineStr">
        <is>
          <t>-</t>
        </is>
      </c>
      <c r="D34" s="62" t="inlineStr">
        <is>
          <t>-</t>
        </is>
      </c>
      <c r="E34" s="63" t="n"/>
      <c r="F34" s="8" t="n"/>
      <c r="G34" s="64">
        <f>IF($B34="","",REPT("■",ROUND($B34/5,0)))</f>
        <v/>
      </c>
    </row>
    <row r="35">
      <c r="A35" s="51" t="n">
        <v>8</v>
      </c>
      <c r="B35" s="61">
        <f>IFERROR(COUNTIF(전체채점!BE$3:BE$62,"&gt;0")/$C$4*100,"")</f>
        <v/>
      </c>
      <c r="C35" s="62" t="inlineStr">
        <is>
          <t>-</t>
        </is>
      </c>
      <c r="D35" s="62" t="inlineStr">
        <is>
          <t>-</t>
        </is>
      </c>
      <c r="E35" s="63" t="n"/>
      <c r="F35" s="8" t="n"/>
      <c r="G35" s="64">
        <f>IF($B35="","",REPT("■",ROUND($B35/5,0)))</f>
        <v/>
      </c>
    </row>
    <row r="36">
      <c r="A36" s="51" t="n">
        <v>9</v>
      </c>
      <c r="B36" s="61">
        <f>IFERROR(COUNTIF(전체채점!BF$3:BF$62,"&gt;0")/$C$4*100,"")</f>
        <v/>
      </c>
      <c r="C36" s="62" t="inlineStr">
        <is>
          <t>-</t>
        </is>
      </c>
      <c r="D36" s="62" t="inlineStr">
        <is>
          <t>-</t>
        </is>
      </c>
      <c r="E36" s="63" t="n"/>
      <c r="F36" s="8" t="n"/>
      <c r="G36" s="64">
        <f>IF($B36="","",REPT("■",ROUND($B36/5,0)))</f>
        <v/>
      </c>
    </row>
    <row r="37">
      <c r="A37" s="51" t="n">
        <v>10</v>
      </c>
      <c r="B37" s="61">
        <f>IFERROR(COUNTIF(전체채점!BG$3:BG$62,"&gt;0")/$C$4*100,"")</f>
        <v/>
      </c>
      <c r="C37" s="62" t="inlineStr">
        <is>
          <t>-</t>
        </is>
      </c>
      <c r="D37" s="62" t="inlineStr">
        <is>
          <t>-</t>
        </is>
      </c>
      <c r="E37" s="63" t="n"/>
      <c r="F37" s="8" t="n"/>
      <c r="G37" s="64">
        <f>IF($B37="","",REPT("■",ROUND($B37/5,0)))</f>
        <v/>
      </c>
    </row>
    <row r="38">
      <c r="A38" s="51" t="n">
        <v>11</v>
      </c>
      <c r="B38" s="61">
        <f>IFERROR(COUNTIF(전체채점!BH$3:BH$62,"&gt;0")/$C$4*100,"")</f>
        <v/>
      </c>
      <c r="C38" s="62" t="inlineStr">
        <is>
          <t>-</t>
        </is>
      </c>
      <c r="D38" s="62" t="inlineStr">
        <is>
          <t>-</t>
        </is>
      </c>
      <c r="E38" s="63" t="n"/>
      <c r="F38" s="8" t="n"/>
      <c r="G38" s="64">
        <f>IF($B38="","",REPT("■",ROUND($B38/5,0)))</f>
        <v/>
      </c>
    </row>
    <row r="39">
      <c r="A39" s="51" t="n">
        <v>12</v>
      </c>
      <c r="B39" s="61">
        <f>IFERROR(COUNTIF(전체채점!BI$3:BI$62,"&gt;0")/$C$4*100,"")</f>
        <v/>
      </c>
      <c r="C39" s="62" t="inlineStr">
        <is>
          <t>-</t>
        </is>
      </c>
      <c r="D39" s="62" t="inlineStr">
        <is>
          <t>-</t>
        </is>
      </c>
      <c r="E39" s="63" t="n"/>
      <c r="F39" s="8" t="n"/>
      <c r="G39" s="64">
        <f>IF($B39="","",REPT("■",ROUND($B39/5,0)))</f>
        <v/>
      </c>
    </row>
    <row r="40">
      <c r="A40" s="51" t="n">
        <v>13</v>
      </c>
      <c r="B40" s="61">
        <f>IFERROR(COUNTIF(전체채점!BJ$3:BJ$62,"&gt;0")/$C$4*100,"")</f>
        <v/>
      </c>
      <c r="C40" s="62" t="inlineStr">
        <is>
          <t>-</t>
        </is>
      </c>
      <c r="D40" s="62" t="inlineStr">
        <is>
          <t>-</t>
        </is>
      </c>
      <c r="E40" s="63" t="n"/>
      <c r="F40" s="8" t="n"/>
      <c r="G40" s="64">
        <f>IF($B40="","",REPT("■",ROUND($B40/5,0)))</f>
        <v/>
      </c>
    </row>
    <row r="41">
      <c r="A41" s="51" t="n">
        <v>14</v>
      </c>
      <c r="B41" s="61">
        <f>IFERROR(COUNTIF(전체채점!BK$3:BK$62,"&gt;0")/$C$4*100,"")</f>
        <v/>
      </c>
      <c r="C41" s="62" t="inlineStr">
        <is>
          <t>-</t>
        </is>
      </c>
      <c r="D41" s="62" t="inlineStr">
        <is>
          <t>-</t>
        </is>
      </c>
      <c r="E41" s="63" t="n"/>
      <c r="F41" s="8" t="n"/>
      <c r="G41" s="64">
        <f>IF($B41="","",REPT("■",ROUND($B41/5,0)))</f>
        <v/>
      </c>
    </row>
    <row r="42">
      <c r="A42" s="51" t="n">
        <v>15</v>
      </c>
      <c r="B42" s="61">
        <f>IFERROR(COUNTIF(전체채점!BL$3:BL$62,"&gt;0")/$C$4*100,"")</f>
        <v/>
      </c>
      <c r="C42" s="62" t="inlineStr">
        <is>
          <t>-</t>
        </is>
      </c>
      <c r="D42" s="62" t="inlineStr">
        <is>
          <t>-</t>
        </is>
      </c>
      <c r="E42" s="63" t="n"/>
      <c r="F42" s="8" t="n"/>
      <c r="G42" s="64">
        <f>IF($B42="","",REPT("■",ROUND($B42/5,0)))</f>
        <v/>
      </c>
    </row>
    <row r="43">
      <c r="A43" s="51" t="n">
        <v>16</v>
      </c>
      <c r="B43" s="61">
        <f>IFERROR(COUNTIF(전체채점!BM$3:BM$62,"&gt;0")/$C$4*100,"")</f>
        <v/>
      </c>
      <c r="C43" s="62" t="inlineStr">
        <is>
          <t>-</t>
        </is>
      </c>
      <c r="D43" s="62" t="inlineStr">
        <is>
          <t>-</t>
        </is>
      </c>
      <c r="E43" s="63" t="n"/>
      <c r="F43" s="8" t="n"/>
      <c r="G43" s="64">
        <f>IF($B43="","",REPT("■",ROUND($B43/5,0)))</f>
        <v/>
      </c>
    </row>
    <row r="44">
      <c r="A44" s="51" t="n">
        <v>17</v>
      </c>
      <c r="B44" s="61">
        <f>IFERROR(COUNTIF(전체채점!BN$3:BN$62,"&gt;0")/$C$4*100,"")</f>
        <v/>
      </c>
      <c r="C44" s="62" t="inlineStr">
        <is>
          <t>-</t>
        </is>
      </c>
      <c r="D44" s="62" t="inlineStr">
        <is>
          <t>-</t>
        </is>
      </c>
      <c r="E44" s="63" t="n"/>
      <c r="F44" s="8" t="n"/>
      <c r="G44" s="64">
        <f>IF($B44="","",REPT("■",ROUND($B44/5,0)))</f>
        <v/>
      </c>
    </row>
    <row r="45">
      <c r="A45" s="51" t="n">
        <v>18</v>
      </c>
      <c r="B45" s="61">
        <f>IFERROR(COUNTIF(전체채점!BO$3:BO$62,"&gt;0")/$C$4*100,"")</f>
        <v/>
      </c>
      <c r="C45" s="62" t="inlineStr">
        <is>
          <t>-</t>
        </is>
      </c>
      <c r="D45" s="62" t="inlineStr">
        <is>
          <t>-</t>
        </is>
      </c>
      <c r="E45" s="63" t="n"/>
      <c r="F45" s="8" t="n"/>
      <c r="G45" s="64">
        <f>IF($B45="","",REPT("■",ROUND($B45/5,0)))</f>
        <v/>
      </c>
    </row>
    <row r="46">
      <c r="A46" s="51" t="n">
        <v>19</v>
      </c>
      <c r="B46" s="61">
        <f>IFERROR(COUNTIF(전체채점!BP$3:BP$62,"&gt;0")/$C$4*100,"")</f>
        <v/>
      </c>
      <c r="C46" s="62" t="inlineStr">
        <is>
          <t>-</t>
        </is>
      </c>
      <c r="D46" s="62" t="inlineStr">
        <is>
          <t>-</t>
        </is>
      </c>
      <c r="E46" s="63" t="n"/>
      <c r="F46" s="8" t="n"/>
      <c r="G46" s="64">
        <f>IF($B46="","",REPT("■",ROUND($B46/5,0)))</f>
        <v/>
      </c>
    </row>
    <row r="47">
      <c r="A47" s="51" t="n">
        <v>20</v>
      </c>
      <c r="B47" s="61">
        <f>IFERROR(COUNTIF(전체채점!BQ$3:BQ$62,"&gt;0")/$C$4*100,"")</f>
        <v/>
      </c>
      <c r="C47" s="62" t="inlineStr">
        <is>
          <t>-</t>
        </is>
      </c>
      <c r="D47" s="62" t="inlineStr">
        <is>
          <t>-</t>
        </is>
      </c>
      <c r="E47" s="63" t="n"/>
      <c r="F47" s="8" t="n"/>
      <c r="G47" s="64">
        <f>IF($B47="","",REPT("■",ROUND($B47/5,0)))</f>
        <v/>
      </c>
    </row>
    <row r="48">
      <c r="A48" s="51" t="n">
        <v>21</v>
      </c>
      <c r="B48" s="61">
        <f>IFERROR(COUNTIF(전체채점!BR$3:BR$62,"&gt;0")/$C$4*100,"")</f>
        <v/>
      </c>
      <c r="C48" s="62" t="inlineStr">
        <is>
          <t>-</t>
        </is>
      </c>
      <c r="D48" s="62" t="inlineStr">
        <is>
          <t>-</t>
        </is>
      </c>
      <c r="E48" s="63" t="n"/>
      <c r="F48" s="8" t="n"/>
      <c r="G48" s="64">
        <f>IF($B48="","",REPT("■",ROUND($B48/5,0)))</f>
        <v/>
      </c>
    </row>
    <row r="49">
      <c r="A49" s="51" t="n">
        <v>22</v>
      </c>
      <c r="B49" s="61">
        <f>IFERROR(COUNTIF(전체채점!BS$3:BS$62,"&gt;0")/$C$4*100,"")</f>
        <v/>
      </c>
      <c r="C49" s="62" t="inlineStr">
        <is>
          <t>-</t>
        </is>
      </c>
      <c r="D49" s="62" t="inlineStr">
        <is>
          <t>-</t>
        </is>
      </c>
      <c r="E49" s="63" t="n"/>
      <c r="F49" s="8" t="n"/>
      <c r="G49" s="64">
        <f>IF($B49="","",REPT("■",ROUND($B49/5,0)))</f>
        <v/>
      </c>
    </row>
    <row r="50">
      <c r="A50" s="51" t="n">
        <v>23</v>
      </c>
      <c r="B50" s="61">
        <f>IFERROR(COUNTIF(전체채점!BT$3:BT$62,"&gt;0")/$C$4*100,"")</f>
        <v/>
      </c>
      <c r="C50" s="62" t="inlineStr">
        <is>
          <t>-</t>
        </is>
      </c>
      <c r="D50" s="62" t="inlineStr">
        <is>
          <t>-</t>
        </is>
      </c>
      <c r="E50" s="63" t="n"/>
      <c r="F50" s="8" t="n"/>
      <c r="G50" s="64">
        <f>IF($B50="","",REPT("■",ROUND($B50/5,0)))</f>
        <v/>
      </c>
    </row>
    <row r="51">
      <c r="A51" s="51" t="n">
        <v>24</v>
      </c>
      <c r="B51" s="61">
        <f>IFERROR(COUNTIF(전체채점!BU$3:BU$62,"&gt;0")/$C$4*100,"")</f>
        <v/>
      </c>
      <c r="C51" s="62" t="inlineStr">
        <is>
          <t>-</t>
        </is>
      </c>
      <c r="D51" s="62" t="inlineStr">
        <is>
          <t>-</t>
        </is>
      </c>
      <c r="E51" s="63" t="n"/>
      <c r="F51" s="8" t="n"/>
      <c r="G51" s="64">
        <f>IF($B51="","",REPT("■",ROUND($B51/5,0)))</f>
        <v/>
      </c>
    </row>
    <row r="52">
      <c r="A52" s="51" t="n">
        <v>25</v>
      </c>
      <c r="B52" s="61">
        <f>IFERROR(COUNTIF(전체채점!BV$3:BV$62,"&gt;0")/$C$4*100,"")</f>
        <v/>
      </c>
      <c r="C52" s="62" t="inlineStr">
        <is>
          <t>-</t>
        </is>
      </c>
      <c r="D52" s="62" t="inlineStr">
        <is>
          <t>-</t>
        </is>
      </c>
      <c r="E52" s="63" t="n"/>
      <c r="F52" s="8" t="n"/>
      <c r="G52" s="64">
        <f>IF($B52="","",REPT("■",ROUND($B52/5,0)))</f>
        <v/>
      </c>
    </row>
    <row r="53">
      <c r="A53" s="51" t="n">
        <v>26</v>
      </c>
      <c r="B53" s="61">
        <f>IFERROR(COUNTIF(전체채점!BW$3:BW$62,"&gt;0")/$C$4*100,"")</f>
        <v/>
      </c>
      <c r="C53" s="62" t="inlineStr">
        <is>
          <t>-</t>
        </is>
      </c>
      <c r="D53" s="62" t="inlineStr">
        <is>
          <t>-</t>
        </is>
      </c>
      <c r="E53" s="63" t="n"/>
      <c r="F53" s="8" t="n"/>
      <c r="G53" s="64">
        <f>IF($B53="","",REPT("■",ROUND($B53/5,0)))</f>
        <v/>
      </c>
    </row>
    <row r="54">
      <c r="A54" s="51" t="n">
        <v>27</v>
      </c>
      <c r="B54" s="61">
        <f>IFERROR(COUNTIF(전체채점!BX$3:BX$62,"&gt;0")/$C$4*100,"")</f>
        <v/>
      </c>
      <c r="C54" s="62" t="inlineStr">
        <is>
          <t>-</t>
        </is>
      </c>
      <c r="D54" s="62" t="inlineStr">
        <is>
          <t>-</t>
        </is>
      </c>
      <c r="E54" s="63" t="n"/>
      <c r="F54" s="8" t="n"/>
      <c r="G54" s="64">
        <f>IF($B54="","",REPT("■",ROUND($B54/5,0)))</f>
        <v/>
      </c>
    </row>
    <row r="55">
      <c r="A55" s="51" t="n">
        <v>28</v>
      </c>
      <c r="B55" s="61">
        <f>IFERROR(COUNTIF(전체채점!BY$3:BY$62,"&gt;0")/$C$4*100,"")</f>
        <v/>
      </c>
      <c r="C55" s="62" t="inlineStr">
        <is>
          <t>-</t>
        </is>
      </c>
      <c r="D55" s="62" t="inlineStr">
        <is>
          <t>-</t>
        </is>
      </c>
      <c r="E55" s="63" t="n"/>
      <c r="F55" s="8" t="n"/>
      <c r="G55" s="64">
        <f>IF($B55="","",REPT("■",ROUND($B55/5,0)))</f>
        <v/>
      </c>
    </row>
    <row r="56">
      <c r="A56" s="51" t="n">
        <v>29</v>
      </c>
      <c r="B56" s="61">
        <f>IFERROR(COUNTIF(전체채점!BZ$3:BZ$62,"&gt;0")/$C$4*100,"")</f>
        <v/>
      </c>
      <c r="C56" s="62" t="inlineStr">
        <is>
          <t>-</t>
        </is>
      </c>
      <c r="D56" s="62" t="inlineStr">
        <is>
          <t>-</t>
        </is>
      </c>
      <c r="E56" s="63" t="n"/>
      <c r="F56" s="8" t="n"/>
      <c r="G56" s="64">
        <f>IF($B56="","",REPT("■",ROUND($B56/5,0)))</f>
        <v/>
      </c>
    </row>
    <row r="57">
      <c r="A57" s="51" t="n">
        <v>30</v>
      </c>
      <c r="B57" s="61">
        <f>IFERROR(COUNTIF(전체채점!CA$3:CA$62,"&gt;0")/$C$4*100,"")</f>
        <v/>
      </c>
      <c r="C57" s="62" t="inlineStr">
        <is>
          <t>-</t>
        </is>
      </c>
      <c r="D57" s="62" t="inlineStr">
        <is>
          <t>-</t>
        </is>
      </c>
      <c r="E57" s="63" t="n"/>
      <c r="F57" s="8" t="n"/>
      <c r="G57" s="64">
        <f>IF($B57="","",REPT("■",ROUND($B57/5,0)))</f>
        <v/>
      </c>
    </row>
    <row r="58">
      <c r="A58" s="51" t="n">
        <v>31</v>
      </c>
      <c r="B58" s="61">
        <f>IFERROR(COUNTIF(전체채점!CB$3:CB$62,"&gt;0")/$C$4*100,"")</f>
        <v/>
      </c>
      <c r="C58" s="62" t="inlineStr">
        <is>
          <t>-</t>
        </is>
      </c>
      <c r="D58" s="62" t="inlineStr">
        <is>
          <t>-</t>
        </is>
      </c>
      <c r="E58" s="63" t="n"/>
      <c r="F58" s="8" t="n"/>
      <c r="G58" s="64">
        <f>IF($B58="","",REPT("■",ROUND($B58/5,0)))</f>
        <v/>
      </c>
    </row>
    <row r="59">
      <c r="A59" s="51" t="n">
        <v>32</v>
      </c>
      <c r="B59" s="61">
        <f>IFERROR(COUNTIF(전체채점!CC$3:CC$62,"&gt;0")/$C$4*100,"")</f>
        <v/>
      </c>
      <c r="C59" s="62" t="inlineStr">
        <is>
          <t>-</t>
        </is>
      </c>
      <c r="D59" s="62" t="inlineStr">
        <is>
          <t>-</t>
        </is>
      </c>
      <c r="E59" s="63" t="n"/>
      <c r="F59" s="8" t="n"/>
      <c r="G59" s="64">
        <f>IF($B59="","",REPT("■",ROUND($B59/5,0)))</f>
        <v/>
      </c>
    </row>
    <row r="60">
      <c r="A60" s="51" t="n">
        <v>33</v>
      </c>
      <c r="B60" s="61">
        <f>IFERROR(COUNTIF(전체채점!CD$3:CD$62,"&gt;0")/$C$4*100,"")</f>
        <v/>
      </c>
      <c r="C60" s="62" t="inlineStr">
        <is>
          <t>-</t>
        </is>
      </c>
      <c r="D60" s="62" t="inlineStr">
        <is>
          <t>-</t>
        </is>
      </c>
      <c r="E60" s="63" t="n"/>
      <c r="F60" s="8" t="n"/>
      <c r="G60" s="64">
        <f>IF($B60="","",REPT("■",ROUND($B60/5,0)))</f>
        <v/>
      </c>
    </row>
    <row r="61">
      <c r="A61" s="51" t="n">
        <v>34</v>
      </c>
      <c r="B61" s="61">
        <f>IFERROR(COUNTIF(전체채점!CE$3:CE$62,"&gt;0")/$C$4*100,"")</f>
        <v/>
      </c>
      <c r="C61" s="62" t="inlineStr">
        <is>
          <t>-</t>
        </is>
      </c>
      <c r="D61" s="62" t="inlineStr">
        <is>
          <t>-</t>
        </is>
      </c>
      <c r="E61" s="63" t="n"/>
      <c r="F61" s="8" t="n"/>
      <c r="G61" s="64">
        <f>IF($B61="","",REPT("■",ROUND($B61/5,0)))</f>
        <v/>
      </c>
    </row>
    <row r="62">
      <c r="A62" s="51" t="n">
        <v>35</v>
      </c>
      <c r="B62" s="61">
        <f>IFERROR(COUNTIF(전체채점!CF$3:CF$62,"&gt;0")/$C$4*100,"")</f>
        <v/>
      </c>
      <c r="C62" s="65">
        <f>IFERROR(COUNTIFS(전체채점!$B$3:$B$62,"화법과 작문",전체채점!CF$3:CF$62,"&gt;0")/COUNTIF(전체채점!$B$3:$B$62,"화법과 작문")*100,"")</f>
        <v/>
      </c>
      <c r="D62" s="65">
        <f>IFERROR(COUNTIFS(전체채점!$B$3:$B$62,"언어와 매체",전체채점!CF$3:CF$62,"&gt;0")/COUNTIF(전체채점!$B$3:$B$62,"언어와 매체")*100,"")</f>
        <v/>
      </c>
      <c r="E62" s="63" t="n"/>
      <c r="F62" s="8" t="n"/>
      <c r="G62" s="64">
        <f>IF($B62="","",REPT("■",ROUND($B62/5,0)))</f>
        <v/>
      </c>
    </row>
    <row r="63">
      <c r="A63" s="51" t="n">
        <v>36</v>
      </c>
      <c r="B63" s="61">
        <f>IFERROR(COUNTIF(전체채점!CG$3:CG$62,"&gt;0")/$C$4*100,"")</f>
        <v/>
      </c>
      <c r="C63" s="65">
        <f>IFERROR(COUNTIFS(전체채점!$B$3:$B$62,"화법과 작문",전체채점!CG$3:CG$62,"&gt;0")/COUNTIF(전체채점!$B$3:$B$62,"화법과 작문")*100,"")</f>
        <v/>
      </c>
      <c r="D63" s="65">
        <f>IFERROR(COUNTIFS(전체채점!$B$3:$B$62,"언어와 매체",전체채점!CG$3:CG$62,"&gt;0")/COUNTIF(전체채점!$B$3:$B$62,"언어와 매체")*100,"")</f>
        <v/>
      </c>
      <c r="E63" s="63" t="n"/>
      <c r="F63" s="8" t="n"/>
      <c r="G63" s="64">
        <f>IF($B63="","",REPT("■",ROUND($B63/5,0)))</f>
        <v/>
      </c>
    </row>
    <row r="64">
      <c r="A64" s="51" t="n">
        <v>37</v>
      </c>
      <c r="B64" s="61">
        <f>IFERROR(COUNTIF(전체채점!CH$3:CH$62,"&gt;0")/$C$4*100,"")</f>
        <v/>
      </c>
      <c r="C64" s="65">
        <f>IFERROR(COUNTIFS(전체채점!$B$3:$B$62,"화법과 작문",전체채점!CH$3:CH$62,"&gt;0")/COUNTIF(전체채점!$B$3:$B$62,"화법과 작문")*100,"")</f>
        <v/>
      </c>
      <c r="D64" s="65">
        <f>IFERROR(COUNTIFS(전체채점!$B$3:$B$62,"언어와 매체",전체채점!CH$3:CH$62,"&gt;0")/COUNTIF(전체채점!$B$3:$B$62,"언어와 매체")*100,"")</f>
        <v/>
      </c>
      <c r="E64" s="63" t="n"/>
      <c r="F64" s="8" t="n"/>
      <c r="G64" s="64">
        <f>IF($B64="","",REPT("■",ROUND($B64/5,0)))</f>
        <v/>
      </c>
    </row>
    <row r="65">
      <c r="A65" s="51" t="n">
        <v>38</v>
      </c>
      <c r="B65" s="61">
        <f>IFERROR(COUNTIF(전체채점!CI$3:CI$62,"&gt;0")/$C$4*100,"")</f>
        <v/>
      </c>
      <c r="C65" s="65">
        <f>IFERROR(COUNTIFS(전체채점!$B$3:$B$62,"화법과 작문",전체채점!CI$3:CI$62,"&gt;0")/COUNTIF(전체채점!$B$3:$B$62,"화법과 작문")*100,"")</f>
        <v/>
      </c>
      <c r="D65" s="65">
        <f>IFERROR(COUNTIFS(전체채점!$B$3:$B$62,"언어와 매체",전체채점!CI$3:CI$62,"&gt;0")/COUNTIF(전체채점!$B$3:$B$62,"언어와 매체")*100,"")</f>
        <v/>
      </c>
      <c r="E65" s="63" t="n"/>
      <c r="F65" s="8" t="n"/>
      <c r="G65" s="64">
        <f>IF($B65="","",REPT("■",ROUND($B65/5,0)))</f>
        <v/>
      </c>
    </row>
    <row r="66">
      <c r="A66" s="51" t="n">
        <v>39</v>
      </c>
      <c r="B66" s="61">
        <f>IFERROR(COUNTIF(전체채점!CJ$3:CJ$62,"&gt;0")/$C$4*100,"")</f>
        <v/>
      </c>
      <c r="C66" s="65">
        <f>IFERROR(COUNTIFS(전체채점!$B$3:$B$62,"화법과 작문",전체채점!CJ$3:CJ$62,"&gt;0")/COUNTIF(전체채점!$B$3:$B$62,"화법과 작문")*100,"")</f>
        <v/>
      </c>
      <c r="D66" s="65">
        <f>IFERROR(COUNTIFS(전체채점!$B$3:$B$62,"언어와 매체",전체채점!CJ$3:CJ$62,"&gt;0")/COUNTIF(전체채점!$B$3:$B$62,"언어와 매체")*100,"")</f>
        <v/>
      </c>
      <c r="E66" s="63" t="n"/>
      <c r="F66" s="8" t="n"/>
      <c r="G66" s="64">
        <f>IF($B66="","",REPT("■",ROUND($B66/5,0)))</f>
        <v/>
      </c>
    </row>
    <row r="67">
      <c r="A67" s="51" t="n">
        <v>40</v>
      </c>
      <c r="B67" s="61">
        <f>IFERROR(COUNTIF(전체채점!CK$3:CK$62,"&gt;0")/$C$4*100,"")</f>
        <v/>
      </c>
      <c r="C67" s="65">
        <f>IFERROR(COUNTIFS(전체채점!$B$3:$B$62,"화법과 작문",전체채점!CK$3:CK$62,"&gt;0")/COUNTIF(전체채점!$B$3:$B$62,"화법과 작문")*100,"")</f>
        <v/>
      </c>
      <c r="D67" s="65">
        <f>IFERROR(COUNTIFS(전체채점!$B$3:$B$62,"언어와 매체",전체채점!CK$3:CK$62,"&gt;0")/COUNTIF(전체채점!$B$3:$B$62,"언어와 매체")*100,"")</f>
        <v/>
      </c>
      <c r="E67" s="63" t="n"/>
      <c r="F67" s="8" t="n"/>
      <c r="G67" s="64">
        <f>IF($B67="","",REPT("■",ROUND($B67/5,0)))</f>
        <v/>
      </c>
    </row>
    <row r="68">
      <c r="A68" s="51" t="n">
        <v>41</v>
      </c>
      <c r="B68" s="61">
        <f>IFERROR(COUNTIF(전체채점!CL$3:CL$62,"&gt;0")/$C$4*100,"")</f>
        <v/>
      </c>
      <c r="C68" s="65">
        <f>IFERROR(COUNTIFS(전체채점!$B$3:$B$62,"화법과 작문",전체채점!CL$3:CL$62,"&gt;0")/COUNTIF(전체채점!$B$3:$B$62,"화법과 작문")*100,"")</f>
        <v/>
      </c>
      <c r="D68" s="65">
        <f>IFERROR(COUNTIFS(전체채점!$B$3:$B$62,"언어와 매체",전체채점!CL$3:CL$62,"&gt;0")/COUNTIF(전체채점!$B$3:$B$62,"언어와 매체")*100,"")</f>
        <v/>
      </c>
      <c r="E68" s="63" t="n"/>
      <c r="F68" s="8" t="n"/>
      <c r="G68" s="64">
        <f>IF($B68="","",REPT("■",ROUND($B68/5,0)))</f>
        <v/>
      </c>
    </row>
    <row r="69">
      <c r="A69" s="51" t="n">
        <v>42</v>
      </c>
      <c r="B69" s="61">
        <f>IFERROR(COUNTIF(전체채점!CM$3:CM$62,"&gt;0")/$C$4*100,"")</f>
        <v/>
      </c>
      <c r="C69" s="65">
        <f>IFERROR(COUNTIFS(전체채점!$B$3:$B$62,"화법과 작문",전체채점!CM$3:CM$62,"&gt;0")/COUNTIF(전체채점!$B$3:$B$62,"화법과 작문")*100,"")</f>
        <v/>
      </c>
      <c r="D69" s="65">
        <f>IFERROR(COUNTIFS(전체채점!$B$3:$B$62,"언어와 매체",전체채점!CM$3:CM$62,"&gt;0")/COUNTIF(전체채점!$B$3:$B$62,"언어와 매체")*100,"")</f>
        <v/>
      </c>
      <c r="E69" s="63" t="n"/>
      <c r="F69" s="8" t="n"/>
      <c r="G69" s="64">
        <f>IF($B69="","",REPT("■",ROUND($B69/5,0)))</f>
        <v/>
      </c>
    </row>
    <row r="70">
      <c r="A70" s="51" t="n">
        <v>43</v>
      </c>
      <c r="B70" s="61">
        <f>IFERROR(COUNTIF(전체채점!CN$3:CN$62,"&gt;0")/$C$4*100,"")</f>
        <v/>
      </c>
      <c r="C70" s="65">
        <f>IFERROR(COUNTIFS(전체채점!$B$3:$B$62,"화법과 작문",전체채점!CN$3:CN$62,"&gt;0")/COUNTIF(전체채점!$B$3:$B$62,"화법과 작문")*100,"")</f>
        <v/>
      </c>
      <c r="D70" s="65">
        <f>IFERROR(COUNTIFS(전체채점!$B$3:$B$62,"언어와 매체",전체채점!CN$3:CN$62,"&gt;0")/COUNTIF(전체채점!$B$3:$B$62,"언어와 매체")*100,"")</f>
        <v/>
      </c>
      <c r="E70" s="63" t="n"/>
      <c r="F70" s="8" t="n"/>
      <c r="G70" s="64">
        <f>IF($B70="","",REPT("■",ROUND($B70/5,0)))</f>
        <v/>
      </c>
    </row>
    <row r="71">
      <c r="A71" s="51" t="n">
        <v>44</v>
      </c>
      <c r="B71" s="61">
        <f>IFERROR(COUNTIF(전체채점!CO$3:CO$62,"&gt;0")/$C$4*100,"")</f>
        <v/>
      </c>
      <c r="C71" s="65">
        <f>IFERROR(COUNTIFS(전체채점!$B$3:$B$62,"화법과 작문",전체채점!CO$3:CO$62,"&gt;0")/COUNTIF(전체채점!$B$3:$B$62,"화법과 작문")*100,"")</f>
        <v/>
      </c>
      <c r="D71" s="65">
        <f>IFERROR(COUNTIFS(전체채점!$B$3:$B$62,"언어와 매체",전체채점!CO$3:CO$62,"&gt;0")/COUNTIF(전체채점!$B$3:$B$62,"언어와 매체")*100,"")</f>
        <v/>
      </c>
      <c r="E71" s="63" t="n"/>
      <c r="F71" s="8" t="n"/>
      <c r="G71" s="64">
        <f>IF($B71="","",REPT("■",ROUND($B71/5,0)))</f>
        <v/>
      </c>
    </row>
    <row r="72">
      <c r="A72" s="51" t="n">
        <v>45</v>
      </c>
      <c r="B72" s="61">
        <f>IFERROR(COUNTIF(전체채점!CP$3:CP$62,"&gt;0")/$C$4*100,"")</f>
        <v/>
      </c>
      <c r="C72" s="65">
        <f>IFERROR(COUNTIFS(전체채점!$B$3:$B$62,"화법과 작문",전체채점!CP$3:CP$62,"&gt;0")/COUNTIF(전체채점!$B$3:$B$62,"화법과 작문")*100,"")</f>
        <v/>
      </c>
      <c r="D72" s="65">
        <f>IFERROR(COUNTIFS(전체채점!$B$3:$B$62,"언어와 매체",전체채점!CP$3:CP$62,"&gt;0")/COUNTIF(전체채점!$B$3:$B$62,"언어와 매체")*100,"")</f>
        <v/>
      </c>
      <c r="E72" s="63" t="n"/>
      <c r="F72" s="8" t="n"/>
      <c r="G72" s="64">
        <f>IF($B72="","",REPT("■",ROUND($B72/5,0)))</f>
        <v/>
      </c>
    </row>
  </sheetData>
  <mergeCells count="58">
    <mergeCell ref="E43:F43"/>
    <mergeCell ref="E50:F50"/>
    <mergeCell ref="E55:F55"/>
    <mergeCell ref="E62:F62"/>
    <mergeCell ref="E68:F68"/>
    <mergeCell ref="E33:F33"/>
    <mergeCell ref="E71:F71"/>
    <mergeCell ref="E67:F67"/>
    <mergeCell ref="E42:F42"/>
    <mergeCell ref="A3:C3"/>
    <mergeCell ref="E52:F52"/>
    <mergeCell ref="E48:F48"/>
    <mergeCell ref="E39:F39"/>
    <mergeCell ref="A6:B6"/>
    <mergeCell ref="E64:F64"/>
    <mergeCell ref="E44:F44"/>
    <mergeCell ref="E35:F35"/>
    <mergeCell ref="E51:F51"/>
    <mergeCell ref="E38:F38"/>
    <mergeCell ref="A7:B7"/>
    <mergeCell ref="E29:F29"/>
    <mergeCell ref="E63:F63"/>
    <mergeCell ref="E28:F28"/>
    <mergeCell ref="A15:G15"/>
    <mergeCell ref="E69:F69"/>
    <mergeCell ref="E60:F60"/>
    <mergeCell ref="E40:F40"/>
    <mergeCell ref="E31:F31"/>
    <mergeCell ref="E65:F65"/>
    <mergeCell ref="E34:F34"/>
    <mergeCell ref="E59:F59"/>
    <mergeCell ref="A12:E12"/>
    <mergeCell ref="A1:G1"/>
    <mergeCell ref="E30:F30"/>
    <mergeCell ref="E46:F46"/>
    <mergeCell ref="E58:F58"/>
    <mergeCell ref="E49:F49"/>
    <mergeCell ref="A5:B5"/>
    <mergeCell ref="E27:F27"/>
    <mergeCell ref="E45:F45"/>
    <mergeCell ref="E36:F36"/>
    <mergeCell ref="E61:F61"/>
    <mergeCell ref="A8:B8"/>
    <mergeCell ref="E70:F70"/>
    <mergeCell ref="A4:B4"/>
    <mergeCell ref="E57:F57"/>
    <mergeCell ref="E54:F54"/>
    <mergeCell ref="E32:F32"/>
    <mergeCell ref="E72:F72"/>
    <mergeCell ref="E41:F41"/>
    <mergeCell ref="A10:B10"/>
    <mergeCell ref="A26:G26"/>
    <mergeCell ref="E37:F37"/>
    <mergeCell ref="E53:F53"/>
    <mergeCell ref="E66:F66"/>
    <mergeCell ref="A9:B9"/>
    <mergeCell ref="E56:F56"/>
    <mergeCell ref="E47:F47"/>
  </mergeCells>
  <conditionalFormatting sqref="B28">
    <cfRule type="cellIs" priority="1" operator="lessThan" dxfId="2">
      <formula>50</formula>
    </cfRule>
  </conditionalFormatting>
  <conditionalFormatting sqref="B29">
    <cfRule type="cellIs" priority="2" operator="lessThan" dxfId="2">
      <formula>50</formula>
    </cfRule>
  </conditionalFormatting>
  <conditionalFormatting sqref="B30">
    <cfRule type="cellIs" priority="3" operator="lessThan" dxfId="2">
      <formula>50</formula>
    </cfRule>
  </conditionalFormatting>
  <conditionalFormatting sqref="B31">
    <cfRule type="cellIs" priority="4" operator="lessThan" dxfId="2">
      <formula>50</formula>
    </cfRule>
  </conditionalFormatting>
  <conditionalFormatting sqref="B32">
    <cfRule type="cellIs" priority="5" operator="lessThan" dxfId="2">
      <formula>50</formula>
    </cfRule>
  </conditionalFormatting>
  <conditionalFormatting sqref="B33">
    <cfRule type="cellIs" priority="6" operator="lessThan" dxfId="2">
      <formula>50</formula>
    </cfRule>
  </conditionalFormatting>
  <conditionalFormatting sqref="B34">
    <cfRule type="cellIs" priority="7" operator="lessThan" dxfId="2">
      <formula>50</formula>
    </cfRule>
  </conditionalFormatting>
  <conditionalFormatting sqref="B35">
    <cfRule type="cellIs" priority="8" operator="lessThan" dxfId="2">
      <formula>50</formula>
    </cfRule>
  </conditionalFormatting>
  <conditionalFormatting sqref="B36">
    <cfRule type="cellIs" priority="9" operator="lessThan" dxfId="2">
      <formula>50</formula>
    </cfRule>
  </conditionalFormatting>
  <conditionalFormatting sqref="B37">
    <cfRule type="cellIs" priority="10" operator="lessThan" dxfId="2">
      <formula>50</formula>
    </cfRule>
  </conditionalFormatting>
  <conditionalFormatting sqref="B38">
    <cfRule type="cellIs" priority="11" operator="lessThan" dxfId="2">
      <formula>50</formula>
    </cfRule>
  </conditionalFormatting>
  <conditionalFormatting sqref="B39">
    <cfRule type="cellIs" priority="12" operator="lessThan" dxfId="2">
      <formula>50</formula>
    </cfRule>
  </conditionalFormatting>
  <conditionalFormatting sqref="B40">
    <cfRule type="cellIs" priority="13" operator="lessThan" dxfId="2">
      <formula>50</formula>
    </cfRule>
  </conditionalFormatting>
  <conditionalFormatting sqref="B41">
    <cfRule type="cellIs" priority="14" operator="lessThan" dxfId="2">
      <formula>50</formula>
    </cfRule>
  </conditionalFormatting>
  <conditionalFormatting sqref="B42">
    <cfRule type="cellIs" priority="15" operator="lessThan" dxfId="2">
      <formula>50</formula>
    </cfRule>
  </conditionalFormatting>
  <conditionalFormatting sqref="B43">
    <cfRule type="cellIs" priority="16" operator="lessThan" dxfId="2">
      <formula>50</formula>
    </cfRule>
  </conditionalFormatting>
  <conditionalFormatting sqref="B44">
    <cfRule type="cellIs" priority="17" operator="lessThan" dxfId="2">
      <formula>50</formula>
    </cfRule>
  </conditionalFormatting>
  <conditionalFormatting sqref="B45">
    <cfRule type="cellIs" priority="18" operator="lessThan" dxfId="2">
      <formula>50</formula>
    </cfRule>
  </conditionalFormatting>
  <conditionalFormatting sqref="B46">
    <cfRule type="cellIs" priority="19" operator="lessThan" dxfId="2">
      <formula>50</formula>
    </cfRule>
  </conditionalFormatting>
  <conditionalFormatting sqref="B47">
    <cfRule type="cellIs" priority="20" operator="lessThan" dxfId="2">
      <formula>50</formula>
    </cfRule>
  </conditionalFormatting>
  <conditionalFormatting sqref="B48">
    <cfRule type="cellIs" priority="21" operator="lessThan" dxfId="2">
      <formula>50</formula>
    </cfRule>
  </conditionalFormatting>
  <conditionalFormatting sqref="B49">
    <cfRule type="cellIs" priority="22" operator="lessThan" dxfId="2">
      <formula>50</formula>
    </cfRule>
  </conditionalFormatting>
  <conditionalFormatting sqref="B50">
    <cfRule type="cellIs" priority="23" operator="lessThan" dxfId="2">
      <formula>50</formula>
    </cfRule>
  </conditionalFormatting>
  <conditionalFormatting sqref="B51">
    <cfRule type="cellIs" priority="24" operator="lessThan" dxfId="2">
      <formula>50</formula>
    </cfRule>
  </conditionalFormatting>
  <conditionalFormatting sqref="B52">
    <cfRule type="cellIs" priority="25" operator="lessThan" dxfId="2">
      <formula>50</formula>
    </cfRule>
  </conditionalFormatting>
  <conditionalFormatting sqref="B53">
    <cfRule type="cellIs" priority="26" operator="lessThan" dxfId="2">
      <formula>50</formula>
    </cfRule>
  </conditionalFormatting>
  <conditionalFormatting sqref="B54">
    <cfRule type="cellIs" priority="27" operator="lessThan" dxfId="2">
      <formula>50</formula>
    </cfRule>
  </conditionalFormatting>
  <conditionalFormatting sqref="B55">
    <cfRule type="cellIs" priority="28" operator="lessThan" dxfId="2">
      <formula>50</formula>
    </cfRule>
  </conditionalFormatting>
  <conditionalFormatting sqref="B56">
    <cfRule type="cellIs" priority="29" operator="lessThan" dxfId="2">
      <formula>50</formula>
    </cfRule>
  </conditionalFormatting>
  <conditionalFormatting sqref="B57">
    <cfRule type="cellIs" priority="30" operator="lessThan" dxfId="2">
      <formula>50</formula>
    </cfRule>
  </conditionalFormatting>
  <conditionalFormatting sqref="B58">
    <cfRule type="cellIs" priority="31" operator="lessThan" dxfId="2">
      <formula>50</formula>
    </cfRule>
  </conditionalFormatting>
  <conditionalFormatting sqref="B59">
    <cfRule type="cellIs" priority="32" operator="lessThan" dxfId="2">
      <formula>50</formula>
    </cfRule>
  </conditionalFormatting>
  <conditionalFormatting sqref="B60">
    <cfRule type="cellIs" priority="33" operator="lessThan" dxfId="2">
      <formula>50</formula>
    </cfRule>
  </conditionalFormatting>
  <conditionalFormatting sqref="B61">
    <cfRule type="cellIs" priority="34" operator="lessThan" dxfId="2">
      <formula>50</formula>
    </cfRule>
  </conditionalFormatting>
  <conditionalFormatting sqref="B62">
    <cfRule type="cellIs" priority="35" operator="lessThan" dxfId="2">
      <formula>50</formula>
    </cfRule>
  </conditionalFormatting>
  <conditionalFormatting sqref="B63">
    <cfRule type="cellIs" priority="36" operator="lessThan" dxfId="2">
      <formula>50</formula>
    </cfRule>
  </conditionalFormatting>
  <conditionalFormatting sqref="B64">
    <cfRule type="cellIs" priority="37" operator="lessThan" dxfId="2">
      <formula>50</formula>
    </cfRule>
  </conditionalFormatting>
  <conditionalFormatting sqref="B65">
    <cfRule type="cellIs" priority="38" operator="lessThan" dxfId="2">
      <formula>50</formula>
    </cfRule>
  </conditionalFormatting>
  <conditionalFormatting sqref="B66">
    <cfRule type="cellIs" priority="39" operator="lessThan" dxfId="2">
      <formula>50</formula>
    </cfRule>
  </conditionalFormatting>
  <conditionalFormatting sqref="B67">
    <cfRule type="cellIs" priority="40" operator="lessThan" dxfId="2">
      <formula>50</formula>
    </cfRule>
  </conditionalFormatting>
  <conditionalFormatting sqref="B68">
    <cfRule type="cellIs" priority="41" operator="lessThan" dxfId="2">
      <formula>50</formula>
    </cfRule>
  </conditionalFormatting>
  <conditionalFormatting sqref="B69">
    <cfRule type="cellIs" priority="42" operator="lessThan" dxfId="2">
      <formula>50</formula>
    </cfRule>
  </conditionalFormatting>
  <conditionalFormatting sqref="B70">
    <cfRule type="cellIs" priority="43" operator="lessThan" dxfId="2">
      <formula>50</formula>
    </cfRule>
  </conditionalFormatting>
  <conditionalFormatting sqref="B71">
    <cfRule type="cellIs" priority="44" operator="lessThan" dxfId="2">
      <formula>50</formula>
    </cfRule>
  </conditionalFormatting>
  <conditionalFormatting sqref="B72">
    <cfRule type="cellIs" priority="45" operator="lessThan" dxfId="2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66" t="inlineStr">
        <is>
          <t>자동 계산용 시트입니다. 고치지 마세요.</t>
        </is>
      </c>
    </row>
    <row r="2">
      <c r="A2" s="10" t="inlineStr">
        <is>
          <t>회차설정 시트의 값을 문항 순서대로 모아 둔 표입니다.</t>
        </is>
      </c>
    </row>
    <row r="3">
      <c r="A3" s="67" t="inlineStr">
        <is>
          <t>번호</t>
        </is>
      </c>
      <c r="B3" s="67" t="inlineStr">
        <is>
          <t>정답(화작)</t>
        </is>
      </c>
      <c r="C3" s="67" t="inlineStr">
        <is>
          <t>배점(화작)</t>
        </is>
      </c>
      <c r="D3" s="67" t="inlineStr">
        <is>
          <t>정답(언매)</t>
        </is>
      </c>
      <c r="E3" s="67" t="inlineStr">
        <is>
          <t>배점(언매)</t>
        </is>
      </c>
      <c r="F3" s="67" t="inlineStr">
        <is>
          <t>덮음(화작)</t>
        </is>
      </c>
      <c r="G3" s="67" t="inlineStr">
        <is>
          <t>덮음(언매)</t>
        </is>
      </c>
    </row>
    <row r="4">
      <c r="A4" s="33" t="n">
        <v>1</v>
      </c>
      <c r="B4" s="33">
        <f>회차설정!$B$32</f>
        <v/>
      </c>
      <c r="C4" s="33">
        <f>회차설정!$C$32</f>
        <v/>
      </c>
      <c r="D4" s="33">
        <f>회차설정!$B$32</f>
        <v/>
      </c>
      <c r="E4" s="33">
        <f>회차설정!$C$32</f>
        <v/>
      </c>
      <c r="F4" s="33">
        <f>SUMPRODUCT(((회차설정!$E$13:$E$27="공통")+(회차설정!$E$13:$E$27="화법과 작문"))*(회차설정!$C$13:$C$27&lt;=$A4)*(회차설정!$D$13:$D$27&gt;=$A4))</f>
        <v/>
      </c>
      <c r="G4" s="33">
        <f>SUMPRODUCT(((회차설정!$E$13:$E$27="공통")+(회차설정!$E$13:$E$27="언어와 매체"))*(회차설정!$C$13:$C$27&lt;=$A4)*(회차설정!$D$13:$D$27&gt;=$A4))</f>
        <v/>
      </c>
    </row>
    <row r="5">
      <c r="A5" s="33" t="n">
        <v>2</v>
      </c>
      <c r="B5" s="33">
        <f>회차설정!$B$33</f>
        <v/>
      </c>
      <c r="C5" s="33">
        <f>회차설정!$C$33</f>
        <v/>
      </c>
      <c r="D5" s="33">
        <f>회차설정!$B$33</f>
        <v/>
      </c>
      <c r="E5" s="33">
        <f>회차설정!$C$33</f>
        <v/>
      </c>
      <c r="F5" s="33">
        <f>SUMPRODUCT(((회차설정!$E$13:$E$27="공통")+(회차설정!$E$13:$E$27="화법과 작문"))*(회차설정!$C$13:$C$27&lt;=$A5)*(회차설정!$D$13:$D$27&gt;=$A5))</f>
        <v/>
      </c>
      <c r="G5" s="33">
        <f>SUMPRODUCT(((회차설정!$E$13:$E$27="공통")+(회차설정!$E$13:$E$27="언어와 매체"))*(회차설정!$C$13:$C$27&lt;=$A5)*(회차설정!$D$13:$D$27&gt;=$A5))</f>
        <v/>
      </c>
    </row>
    <row r="6">
      <c r="A6" s="33" t="n">
        <v>3</v>
      </c>
      <c r="B6" s="33">
        <f>회차설정!$B$34</f>
        <v/>
      </c>
      <c r="C6" s="33">
        <f>회차설정!$C$34</f>
        <v/>
      </c>
      <c r="D6" s="33">
        <f>회차설정!$B$34</f>
        <v/>
      </c>
      <c r="E6" s="33">
        <f>회차설정!$C$34</f>
        <v/>
      </c>
      <c r="F6" s="33">
        <f>SUMPRODUCT(((회차설정!$E$13:$E$27="공통")+(회차설정!$E$13:$E$27="화법과 작문"))*(회차설정!$C$13:$C$27&lt;=$A6)*(회차설정!$D$13:$D$27&gt;=$A6))</f>
        <v/>
      </c>
      <c r="G6" s="33">
        <f>SUMPRODUCT(((회차설정!$E$13:$E$27="공통")+(회차설정!$E$13:$E$27="언어와 매체"))*(회차설정!$C$13:$C$27&lt;=$A6)*(회차설정!$D$13:$D$27&gt;=$A6))</f>
        <v/>
      </c>
    </row>
    <row r="7">
      <c r="A7" s="33" t="n">
        <v>4</v>
      </c>
      <c r="B7" s="33">
        <f>회차설정!$B$35</f>
        <v/>
      </c>
      <c r="C7" s="33">
        <f>회차설정!$C$35</f>
        <v/>
      </c>
      <c r="D7" s="33">
        <f>회차설정!$B$35</f>
        <v/>
      </c>
      <c r="E7" s="33">
        <f>회차설정!$C$35</f>
        <v/>
      </c>
      <c r="F7" s="33">
        <f>SUMPRODUCT(((회차설정!$E$13:$E$27="공통")+(회차설정!$E$13:$E$27="화법과 작문"))*(회차설정!$C$13:$C$27&lt;=$A7)*(회차설정!$D$13:$D$27&gt;=$A7))</f>
        <v/>
      </c>
      <c r="G7" s="33">
        <f>SUMPRODUCT(((회차설정!$E$13:$E$27="공통")+(회차설정!$E$13:$E$27="언어와 매체"))*(회차설정!$C$13:$C$27&lt;=$A7)*(회차설정!$D$13:$D$27&gt;=$A7))</f>
        <v/>
      </c>
    </row>
    <row r="8">
      <c r="A8" s="33" t="n">
        <v>5</v>
      </c>
      <c r="B8" s="33">
        <f>회차설정!$B$36</f>
        <v/>
      </c>
      <c r="C8" s="33">
        <f>회차설정!$C$36</f>
        <v/>
      </c>
      <c r="D8" s="33">
        <f>회차설정!$B$36</f>
        <v/>
      </c>
      <c r="E8" s="33">
        <f>회차설정!$C$36</f>
        <v/>
      </c>
      <c r="F8" s="33">
        <f>SUMPRODUCT(((회차설정!$E$13:$E$27="공통")+(회차설정!$E$13:$E$27="화법과 작문"))*(회차설정!$C$13:$C$27&lt;=$A8)*(회차설정!$D$13:$D$27&gt;=$A8))</f>
        <v/>
      </c>
      <c r="G8" s="33">
        <f>SUMPRODUCT(((회차설정!$E$13:$E$27="공통")+(회차설정!$E$13:$E$27="언어와 매체"))*(회차설정!$C$13:$C$27&lt;=$A8)*(회차설정!$D$13:$D$27&gt;=$A8))</f>
        <v/>
      </c>
    </row>
    <row r="9">
      <c r="A9" s="33" t="n">
        <v>6</v>
      </c>
      <c r="B9" s="33">
        <f>회차설정!$B$37</f>
        <v/>
      </c>
      <c r="C9" s="33">
        <f>회차설정!$C$37</f>
        <v/>
      </c>
      <c r="D9" s="33">
        <f>회차설정!$B$37</f>
        <v/>
      </c>
      <c r="E9" s="33">
        <f>회차설정!$C$37</f>
        <v/>
      </c>
      <c r="F9" s="33">
        <f>SUMPRODUCT(((회차설정!$E$13:$E$27="공통")+(회차설정!$E$13:$E$27="화법과 작문"))*(회차설정!$C$13:$C$27&lt;=$A9)*(회차설정!$D$13:$D$27&gt;=$A9))</f>
        <v/>
      </c>
      <c r="G9" s="33">
        <f>SUMPRODUCT(((회차설정!$E$13:$E$27="공통")+(회차설정!$E$13:$E$27="언어와 매체"))*(회차설정!$C$13:$C$27&lt;=$A9)*(회차설정!$D$13:$D$27&gt;=$A9))</f>
        <v/>
      </c>
    </row>
    <row r="10">
      <c r="A10" s="33" t="n">
        <v>7</v>
      </c>
      <c r="B10" s="33">
        <f>회차설정!$B$38</f>
        <v/>
      </c>
      <c r="C10" s="33">
        <f>회차설정!$C$38</f>
        <v/>
      </c>
      <c r="D10" s="33">
        <f>회차설정!$B$38</f>
        <v/>
      </c>
      <c r="E10" s="33">
        <f>회차설정!$C$38</f>
        <v/>
      </c>
      <c r="F10" s="33">
        <f>SUMPRODUCT(((회차설정!$E$13:$E$27="공통")+(회차설정!$E$13:$E$27="화법과 작문"))*(회차설정!$C$13:$C$27&lt;=$A10)*(회차설정!$D$13:$D$27&gt;=$A10))</f>
        <v/>
      </c>
      <c r="G10" s="33">
        <f>SUMPRODUCT(((회차설정!$E$13:$E$27="공통")+(회차설정!$E$13:$E$27="언어와 매체"))*(회차설정!$C$13:$C$27&lt;=$A10)*(회차설정!$D$13:$D$27&gt;=$A10))</f>
        <v/>
      </c>
    </row>
    <row r="11">
      <c r="A11" s="33" t="n">
        <v>8</v>
      </c>
      <c r="B11" s="33">
        <f>회차설정!$B$39</f>
        <v/>
      </c>
      <c r="C11" s="33">
        <f>회차설정!$C$39</f>
        <v/>
      </c>
      <c r="D11" s="33">
        <f>회차설정!$B$39</f>
        <v/>
      </c>
      <c r="E11" s="33">
        <f>회차설정!$C$39</f>
        <v/>
      </c>
      <c r="F11" s="33">
        <f>SUMPRODUCT(((회차설정!$E$13:$E$27="공통")+(회차설정!$E$13:$E$27="화법과 작문"))*(회차설정!$C$13:$C$27&lt;=$A11)*(회차설정!$D$13:$D$27&gt;=$A11))</f>
        <v/>
      </c>
      <c r="G11" s="33">
        <f>SUMPRODUCT(((회차설정!$E$13:$E$27="공통")+(회차설정!$E$13:$E$27="언어와 매체"))*(회차설정!$C$13:$C$27&lt;=$A11)*(회차설정!$D$13:$D$27&gt;=$A11))</f>
        <v/>
      </c>
    </row>
    <row r="12">
      <c r="A12" s="33" t="n">
        <v>9</v>
      </c>
      <c r="B12" s="33">
        <f>회차설정!$B$40</f>
        <v/>
      </c>
      <c r="C12" s="33">
        <f>회차설정!$C$40</f>
        <v/>
      </c>
      <c r="D12" s="33">
        <f>회차설정!$B$40</f>
        <v/>
      </c>
      <c r="E12" s="33">
        <f>회차설정!$C$40</f>
        <v/>
      </c>
      <c r="F12" s="33">
        <f>SUMPRODUCT(((회차설정!$E$13:$E$27="공통")+(회차설정!$E$13:$E$27="화법과 작문"))*(회차설정!$C$13:$C$27&lt;=$A12)*(회차설정!$D$13:$D$27&gt;=$A12))</f>
        <v/>
      </c>
      <c r="G12" s="33">
        <f>SUMPRODUCT(((회차설정!$E$13:$E$27="공통")+(회차설정!$E$13:$E$27="언어와 매체"))*(회차설정!$C$13:$C$27&lt;=$A12)*(회차설정!$D$13:$D$27&gt;=$A12))</f>
        <v/>
      </c>
    </row>
    <row r="13">
      <c r="A13" s="33" t="n">
        <v>10</v>
      </c>
      <c r="B13" s="33">
        <f>회차설정!$B$41</f>
        <v/>
      </c>
      <c r="C13" s="33">
        <f>회차설정!$C$41</f>
        <v/>
      </c>
      <c r="D13" s="33">
        <f>회차설정!$B$41</f>
        <v/>
      </c>
      <c r="E13" s="33">
        <f>회차설정!$C$41</f>
        <v/>
      </c>
      <c r="F13" s="33">
        <f>SUMPRODUCT(((회차설정!$E$13:$E$27="공통")+(회차설정!$E$13:$E$27="화법과 작문"))*(회차설정!$C$13:$C$27&lt;=$A13)*(회차설정!$D$13:$D$27&gt;=$A13))</f>
        <v/>
      </c>
      <c r="G13" s="33">
        <f>SUMPRODUCT(((회차설정!$E$13:$E$27="공통")+(회차설정!$E$13:$E$27="언어와 매체"))*(회차설정!$C$13:$C$27&lt;=$A13)*(회차설정!$D$13:$D$27&gt;=$A13))</f>
        <v/>
      </c>
    </row>
    <row r="14">
      <c r="A14" s="33" t="n">
        <v>11</v>
      </c>
      <c r="B14" s="33">
        <f>회차설정!$B$42</f>
        <v/>
      </c>
      <c r="C14" s="33">
        <f>회차설정!$C$42</f>
        <v/>
      </c>
      <c r="D14" s="33">
        <f>회차설정!$B$42</f>
        <v/>
      </c>
      <c r="E14" s="33">
        <f>회차설정!$C$42</f>
        <v/>
      </c>
      <c r="F14" s="33">
        <f>SUMPRODUCT(((회차설정!$E$13:$E$27="공통")+(회차설정!$E$13:$E$27="화법과 작문"))*(회차설정!$C$13:$C$27&lt;=$A14)*(회차설정!$D$13:$D$27&gt;=$A14))</f>
        <v/>
      </c>
      <c r="G14" s="33">
        <f>SUMPRODUCT(((회차설정!$E$13:$E$27="공통")+(회차설정!$E$13:$E$27="언어와 매체"))*(회차설정!$C$13:$C$27&lt;=$A14)*(회차설정!$D$13:$D$27&gt;=$A14))</f>
        <v/>
      </c>
    </row>
    <row r="15">
      <c r="A15" s="33" t="n">
        <v>12</v>
      </c>
      <c r="B15" s="33">
        <f>회차설정!$B$43</f>
        <v/>
      </c>
      <c r="C15" s="33">
        <f>회차설정!$C$43</f>
        <v/>
      </c>
      <c r="D15" s="33">
        <f>회차설정!$B$43</f>
        <v/>
      </c>
      <c r="E15" s="33">
        <f>회차설정!$C$43</f>
        <v/>
      </c>
      <c r="F15" s="33">
        <f>SUMPRODUCT(((회차설정!$E$13:$E$27="공통")+(회차설정!$E$13:$E$27="화법과 작문"))*(회차설정!$C$13:$C$27&lt;=$A15)*(회차설정!$D$13:$D$27&gt;=$A15))</f>
        <v/>
      </c>
      <c r="G15" s="33">
        <f>SUMPRODUCT(((회차설정!$E$13:$E$27="공통")+(회차설정!$E$13:$E$27="언어와 매체"))*(회차설정!$C$13:$C$27&lt;=$A15)*(회차설정!$D$13:$D$27&gt;=$A15))</f>
        <v/>
      </c>
    </row>
    <row r="16">
      <c r="A16" s="33" t="n">
        <v>13</v>
      </c>
      <c r="B16" s="33">
        <f>회차설정!$B$44</f>
        <v/>
      </c>
      <c r="C16" s="33">
        <f>회차설정!$C$44</f>
        <v/>
      </c>
      <c r="D16" s="33">
        <f>회차설정!$B$44</f>
        <v/>
      </c>
      <c r="E16" s="33">
        <f>회차설정!$C$44</f>
        <v/>
      </c>
      <c r="F16" s="33">
        <f>SUMPRODUCT(((회차설정!$E$13:$E$27="공통")+(회차설정!$E$13:$E$27="화법과 작문"))*(회차설정!$C$13:$C$27&lt;=$A16)*(회차설정!$D$13:$D$27&gt;=$A16))</f>
        <v/>
      </c>
      <c r="G16" s="33">
        <f>SUMPRODUCT(((회차설정!$E$13:$E$27="공통")+(회차설정!$E$13:$E$27="언어와 매체"))*(회차설정!$C$13:$C$27&lt;=$A16)*(회차설정!$D$13:$D$27&gt;=$A16))</f>
        <v/>
      </c>
    </row>
    <row r="17">
      <c r="A17" s="33" t="n">
        <v>14</v>
      </c>
      <c r="B17" s="33">
        <f>회차설정!$B$45</f>
        <v/>
      </c>
      <c r="C17" s="33">
        <f>회차설정!$C$45</f>
        <v/>
      </c>
      <c r="D17" s="33">
        <f>회차설정!$B$45</f>
        <v/>
      </c>
      <c r="E17" s="33">
        <f>회차설정!$C$45</f>
        <v/>
      </c>
      <c r="F17" s="33">
        <f>SUMPRODUCT(((회차설정!$E$13:$E$27="공통")+(회차설정!$E$13:$E$27="화법과 작문"))*(회차설정!$C$13:$C$27&lt;=$A17)*(회차설정!$D$13:$D$27&gt;=$A17))</f>
        <v/>
      </c>
      <c r="G17" s="33">
        <f>SUMPRODUCT(((회차설정!$E$13:$E$27="공통")+(회차설정!$E$13:$E$27="언어와 매체"))*(회차설정!$C$13:$C$27&lt;=$A17)*(회차설정!$D$13:$D$27&gt;=$A17))</f>
        <v/>
      </c>
    </row>
    <row r="18">
      <c r="A18" s="33" t="n">
        <v>15</v>
      </c>
      <c r="B18" s="33">
        <f>회차설정!$B$46</f>
        <v/>
      </c>
      <c r="C18" s="33">
        <f>회차설정!$C$46</f>
        <v/>
      </c>
      <c r="D18" s="33">
        <f>회차설정!$B$46</f>
        <v/>
      </c>
      <c r="E18" s="33">
        <f>회차설정!$C$46</f>
        <v/>
      </c>
      <c r="F18" s="33">
        <f>SUMPRODUCT(((회차설정!$E$13:$E$27="공통")+(회차설정!$E$13:$E$27="화법과 작문"))*(회차설정!$C$13:$C$27&lt;=$A18)*(회차설정!$D$13:$D$27&gt;=$A18))</f>
        <v/>
      </c>
      <c r="G18" s="33">
        <f>SUMPRODUCT(((회차설정!$E$13:$E$27="공통")+(회차설정!$E$13:$E$27="언어와 매체"))*(회차설정!$C$13:$C$27&lt;=$A18)*(회차설정!$D$13:$D$27&gt;=$A18))</f>
        <v/>
      </c>
    </row>
    <row r="19">
      <c r="A19" s="33" t="n">
        <v>16</v>
      </c>
      <c r="B19" s="33">
        <f>회차설정!$B$47</f>
        <v/>
      </c>
      <c r="C19" s="33">
        <f>회차설정!$C$47</f>
        <v/>
      </c>
      <c r="D19" s="33">
        <f>회차설정!$B$47</f>
        <v/>
      </c>
      <c r="E19" s="33">
        <f>회차설정!$C$47</f>
        <v/>
      </c>
      <c r="F19" s="33">
        <f>SUMPRODUCT(((회차설정!$E$13:$E$27="공통")+(회차설정!$E$13:$E$27="화법과 작문"))*(회차설정!$C$13:$C$27&lt;=$A19)*(회차설정!$D$13:$D$27&gt;=$A19))</f>
        <v/>
      </c>
      <c r="G19" s="33">
        <f>SUMPRODUCT(((회차설정!$E$13:$E$27="공통")+(회차설정!$E$13:$E$27="언어와 매체"))*(회차설정!$C$13:$C$27&lt;=$A19)*(회차설정!$D$13:$D$27&gt;=$A19))</f>
        <v/>
      </c>
    </row>
    <row r="20">
      <c r="A20" s="33" t="n">
        <v>17</v>
      </c>
      <c r="B20" s="33">
        <f>회차설정!$B$48</f>
        <v/>
      </c>
      <c r="C20" s="33">
        <f>회차설정!$C$48</f>
        <v/>
      </c>
      <c r="D20" s="33">
        <f>회차설정!$B$48</f>
        <v/>
      </c>
      <c r="E20" s="33">
        <f>회차설정!$C$48</f>
        <v/>
      </c>
      <c r="F20" s="33">
        <f>SUMPRODUCT(((회차설정!$E$13:$E$27="공통")+(회차설정!$E$13:$E$27="화법과 작문"))*(회차설정!$C$13:$C$27&lt;=$A20)*(회차설정!$D$13:$D$27&gt;=$A20))</f>
        <v/>
      </c>
      <c r="G20" s="33">
        <f>SUMPRODUCT(((회차설정!$E$13:$E$27="공통")+(회차설정!$E$13:$E$27="언어와 매체"))*(회차설정!$C$13:$C$27&lt;=$A20)*(회차설정!$D$13:$D$27&gt;=$A20))</f>
        <v/>
      </c>
    </row>
    <row r="21">
      <c r="A21" s="33" t="n">
        <v>18</v>
      </c>
      <c r="B21" s="33">
        <f>회차설정!$B$49</f>
        <v/>
      </c>
      <c r="C21" s="33">
        <f>회차설정!$C$49</f>
        <v/>
      </c>
      <c r="D21" s="33">
        <f>회차설정!$B$49</f>
        <v/>
      </c>
      <c r="E21" s="33">
        <f>회차설정!$C$49</f>
        <v/>
      </c>
      <c r="F21" s="33">
        <f>SUMPRODUCT(((회차설정!$E$13:$E$27="공통")+(회차설정!$E$13:$E$27="화법과 작문"))*(회차설정!$C$13:$C$27&lt;=$A21)*(회차설정!$D$13:$D$27&gt;=$A21))</f>
        <v/>
      </c>
      <c r="G21" s="33">
        <f>SUMPRODUCT(((회차설정!$E$13:$E$27="공통")+(회차설정!$E$13:$E$27="언어와 매체"))*(회차설정!$C$13:$C$27&lt;=$A21)*(회차설정!$D$13:$D$27&gt;=$A21))</f>
        <v/>
      </c>
    </row>
    <row r="22">
      <c r="A22" s="33" t="n">
        <v>19</v>
      </c>
      <c r="B22" s="33">
        <f>회차설정!$B$50</f>
        <v/>
      </c>
      <c r="C22" s="33">
        <f>회차설정!$C$50</f>
        <v/>
      </c>
      <c r="D22" s="33">
        <f>회차설정!$B$50</f>
        <v/>
      </c>
      <c r="E22" s="33">
        <f>회차설정!$C$50</f>
        <v/>
      </c>
      <c r="F22" s="33">
        <f>SUMPRODUCT(((회차설정!$E$13:$E$27="공통")+(회차설정!$E$13:$E$27="화법과 작문"))*(회차설정!$C$13:$C$27&lt;=$A22)*(회차설정!$D$13:$D$27&gt;=$A22))</f>
        <v/>
      </c>
      <c r="G22" s="33">
        <f>SUMPRODUCT(((회차설정!$E$13:$E$27="공통")+(회차설정!$E$13:$E$27="언어와 매체"))*(회차설정!$C$13:$C$27&lt;=$A22)*(회차설정!$D$13:$D$27&gt;=$A22))</f>
        <v/>
      </c>
    </row>
    <row r="23">
      <c r="A23" s="33" t="n">
        <v>20</v>
      </c>
      <c r="B23" s="33">
        <f>회차설정!$B$51</f>
        <v/>
      </c>
      <c r="C23" s="33">
        <f>회차설정!$C$51</f>
        <v/>
      </c>
      <c r="D23" s="33">
        <f>회차설정!$B$51</f>
        <v/>
      </c>
      <c r="E23" s="33">
        <f>회차설정!$C$51</f>
        <v/>
      </c>
      <c r="F23" s="33">
        <f>SUMPRODUCT(((회차설정!$E$13:$E$27="공통")+(회차설정!$E$13:$E$27="화법과 작문"))*(회차설정!$C$13:$C$27&lt;=$A23)*(회차설정!$D$13:$D$27&gt;=$A23))</f>
        <v/>
      </c>
      <c r="G23" s="33">
        <f>SUMPRODUCT(((회차설정!$E$13:$E$27="공통")+(회차설정!$E$13:$E$27="언어와 매체"))*(회차설정!$C$13:$C$27&lt;=$A23)*(회차설정!$D$13:$D$27&gt;=$A23))</f>
        <v/>
      </c>
    </row>
    <row r="24">
      <c r="A24" s="33" t="n">
        <v>21</v>
      </c>
      <c r="B24" s="33">
        <f>회차설정!$B$52</f>
        <v/>
      </c>
      <c r="C24" s="33">
        <f>회차설정!$C$52</f>
        <v/>
      </c>
      <c r="D24" s="33">
        <f>회차설정!$B$52</f>
        <v/>
      </c>
      <c r="E24" s="33">
        <f>회차설정!$C$52</f>
        <v/>
      </c>
      <c r="F24" s="33">
        <f>SUMPRODUCT(((회차설정!$E$13:$E$27="공통")+(회차설정!$E$13:$E$27="화법과 작문"))*(회차설정!$C$13:$C$27&lt;=$A24)*(회차설정!$D$13:$D$27&gt;=$A24))</f>
        <v/>
      </c>
      <c r="G24" s="33">
        <f>SUMPRODUCT(((회차설정!$E$13:$E$27="공통")+(회차설정!$E$13:$E$27="언어와 매체"))*(회차설정!$C$13:$C$27&lt;=$A24)*(회차설정!$D$13:$D$27&gt;=$A24))</f>
        <v/>
      </c>
    </row>
    <row r="25">
      <c r="A25" s="33" t="n">
        <v>22</v>
      </c>
      <c r="B25" s="33">
        <f>회차설정!$B$53</f>
        <v/>
      </c>
      <c r="C25" s="33">
        <f>회차설정!$C$53</f>
        <v/>
      </c>
      <c r="D25" s="33">
        <f>회차설정!$B$53</f>
        <v/>
      </c>
      <c r="E25" s="33">
        <f>회차설정!$C$53</f>
        <v/>
      </c>
      <c r="F25" s="33">
        <f>SUMPRODUCT(((회차설정!$E$13:$E$27="공통")+(회차설정!$E$13:$E$27="화법과 작문"))*(회차설정!$C$13:$C$27&lt;=$A25)*(회차설정!$D$13:$D$27&gt;=$A25))</f>
        <v/>
      </c>
      <c r="G25" s="33">
        <f>SUMPRODUCT(((회차설정!$E$13:$E$27="공통")+(회차설정!$E$13:$E$27="언어와 매체"))*(회차설정!$C$13:$C$27&lt;=$A25)*(회차설정!$D$13:$D$27&gt;=$A25))</f>
        <v/>
      </c>
    </row>
    <row r="26">
      <c r="A26" s="33" t="n">
        <v>23</v>
      </c>
      <c r="B26" s="33">
        <f>회차설정!$B$54</f>
        <v/>
      </c>
      <c r="C26" s="33">
        <f>회차설정!$C$54</f>
        <v/>
      </c>
      <c r="D26" s="33">
        <f>회차설정!$B$54</f>
        <v/>
      </c>
      <c r="E26" s="33">
        <f>회차설정!$C$54</f>
        <v/>
      </c>
      <c r="F26" s="33">
        <f>SUMPRODUCT(((회차설정!$E$13:$E$27="공통")+(회차설정!$E$13:$E$27="화법과 작문"))*(회차설정!$C$13:$C$27&lt;=$A26)*(회차설정!$D$13:$D$27&gt;=$A26))</f>
        <v/>
      </c>
      <c r="G26" s="33">
        <f>SUMPRODUCT(((회차설정!$E$13:$E$27="공통")+(회차설정!$E$13:$E$27="언어와 매체"))*(회차설정!$C$13:$C$27&lt;=$A26)*(회차설정!$D$13:$D$27&gt;=$A26))</f>
        <v/>
      </c>
    </row>
    <row r="27">
      <c r="A27" s="33" t="n">
        <v>24</v>
      </c>
      <c r="B27" s="33">
        <f>회차설정!$B$55</f>
        <v/>
      </c>
      <c r="C27" s="33">
        <f>회차설정!$C$55</f>
        <v/>
      </c>
      <c r="D27" s="33">
        <f>회차설정!$B$55</f>
        <v/>
      </c>
      <c r="E27" s="33">
        <f>회차설정!$C$55</f>
        <v/>
      </c>
      <c r="F27" s="33">
        <f>SUMPRODUCT(((회차설정!$E$13:$E$27="공통")+(회차설정!$E$13:$E$27="화법과 작문"))*(회차설정!$C$13:$C$27&lt;=$A27)*(회차설정!$D$13:$D$27&gt;=$A27))</f>
        <v/>
      </c>
      <c r="G27" s="33">
        <f>SUMPRODUCT(((회차설정!$E$13:$E$27="공통")+(회차설정!$E$13:$E$27="언어와 매체"))*(회차설정!$C$13:$C$27&lt;=$A27)*(회차설정!$D$13:$D$27&gt;=$A27))</f>
        <v/>
      </c>
    </row>
    <row r="28">
      <c r="A28" s="33" t="n">
        <v>25</v>
      </c>
      <c r="B28" s="33">
        <f>회차설정!$B$56</f>
        <v/>
      </c>
      <c r="C28" s="33">
        <f>회차설정!$C$56</f>
        <v/>
      </c>
      <c r="D28" s="33">
        <f>회차설정!$B$56</f>
        <v/>
      </c>
      <c r="E28" s="33">
        <f>회차설정!$C$56</f>
        <v/>
      </c>
      <c r="F28" s="33">
        <f>SUMPRODUCT(((회차설정!$E$13:$E$27="공통")+(회차설정!$E$13:$E$27="화법과 작문"))*(회차설정!$C$13:$C$27&lt;=$A28)*(회차설정!$D$13:$D$27&gt;=$A28))</f>
        <v/>
      </c>
      <c r="G28" s="33">
        <f>SUMPRODUCT(((회차설정!$E$13:$E$27="공통")+(회차설정!$E$13:$E$27="언어와 매체"))*(회차설정!$C$13:$C$27&lt;=$A28)*(회차설정!$D$13:$D$27&gt;=$A28))</f>
        <v/>
      </c>
    </row>
    <row r="29">
      <c r="A29" s="33" t="n">
        <v>26</v>
      </c>
      <c r="B29" s="33">
        <f>회차설정!$B$57</f>
        <v/>
      </c>
      <c r="C29" s="33">
        <f>회차설정!$C$57</f>
        <v/>
      </c>
      <c r="D29" s="33">
        <f>회차설정!$B$57</f>
        <v/>
      </c>
      <c r="E29" s="33">
        <f>회차설정!$C$57</f>
        <v/>
      </c>
      <c r="F29" s="33">
        <f>SUMPRODUCT(((회차설정!$E$13:$E$27="공통")+(회차설정!$E$13:$E$27="화법과 작문"))*(회차설정!$C$13:$C$27&lt;=$A29)*(회차설정!$D$13:$D$27&gt;=$A29))</f>
        <v/>
      </c>
      <c r="G29" s="33">
        <f>SUMPRODUCT(((회차설정!$E$13:$E$27="공통")+(회차설정!$E$13:$E$27="언어와 매체"))*(회차설정!$C$13:$C$27&lt;=$A29)*(회차설정!$D$13:$D$27&gt;=$A29))</f>
        <v/>
      </c>
    </row>
    <row r="30">
      <c r="A30" s="33" t="n">
        <v>27</v>
      </c>
      <c r="B30" s="33">
        <f>회차설정!$B$58</f>
        <v/>
      </c>
      <c r="C30" s="33">
        <f>회차설정!$C$58</f>
        <v/>
      </c>
      <c r="D30" s="33">
        <f>회차설정!$B$58</f>
        <v/>
      </c>
      <c r="E30" s="33">
        <f>회차설정!$C$58</f>
        <v/>
      </c>
      <c r="F30" s="33">
        <f>SUMPRODUCT(((회차설정!$E$13:$E$27="공통")+(회차설정!$E$13:$E$27="화법과 작문"))*(회차설정!$C$13:$C$27&lt;=$A30)*(회차설정!$D$13:$D$27&gt;=$A30))</f>
        <v/>
      </c>
      <c r="G30" s="33">
        <f>SUMPRODUCT(((회차설정!$E$13:$E$27="공통")+(회차설정!$E$13:$E$27="언어와 매체"))*(회차설정!$C$13:$C$27&lt;=$A30)*(회차설정!$D$13:$D$27&gt;=$A30))</f>
        <v/>
      </c>
    </row>
    <row r="31">
      <c r="A31" s="33" t="n">
        <v>28</v>
      </c>
      <c r="B31" s="33">
        <f>회차설정!$B$59</f>
        <v/>
      </c>
      <c r="C31" s="33">
        <f>회차설정!$C$59</f>
        <v/>
      </c>
      <c r="D31" s="33">
        <f>회차설정!$B$59</f>
        <v/>
      </c>
      <c r="E31" s="33">
        <f>회차설정!$C$59</f>
        <v/>
      </c>
      <c r="F31" s="33">
        <f>SUMPRODUCT(((회차설정!$E$13:$E$27="공통")+(회차설정!$E$13:$E$27="화법과 작문"))*(회차설정!$C$13:$C$27&lt;=$A31)*(회차설정!$D$13:$D$27&gt;=$A31))</f>
        <v/>
      </c>
      <c r="G31" s="33">
        <f>SUMPRODUCT(((회차설정!$E$13:$E$27="공통")+(회차설정!$E$13:$E$27="언어와 매체"))*(회차설정!$C$13:$C$27&lt;=$A31)*(회차설정!$D$13:$D$27&gt;=$A31))</f>
        <v/>
      </c>
    </row>
    <row r="32">
      <c r="A32" s="33" t="n">
        <v>29</v>
      </c>
      <c r="B32" s="33">
        <f>회차설정!$B$60</f>
        <v/>
      </c>
      <c r="C32" s="33">
        <f>회차설정!$C$60</f>
        <v/>
      </c>
      <c r="D32" s="33">
        <f>회차설정!$B$60</f>
        <v/>
      </c>
      <c r="E32" s="33">
        <f>회차설정!$C$60</f>
        <v/>
      </c>
      <c r="F32" s="33">
        <f>SUMPRODUCT(((회차설정!$E$13:$E$27="공통")+(회차설정!$E$13:$E$27="화법과 작문"))*(회차설정!$C$13:$C$27&lt;=$A32)*(회차설정!$D$13:$D$27&gt;=$A32))</f>
        <v/>
      </c>
      <c r="G32" s="33">
        <f>SUMPRODUCT(((회차설정!$E$13:$E$27="공통")+(회차설정!$E$13:$E$27="언어와 매체"))*(회차설정!$C$13:$C$27&lt;=$A32)*(회차설정!$D$13:$D$27&gt;=$A32))</f>
        <v/>
      </c>
    </row>
    <row r="33">
      <c r="A33" s="33" t="n">
        <v>30</v>
      </c>
      <c r="B33" s="33">
        <f>회차설정!$B$61</f>
        <v/>
      </c>
      <c r="C33" s="33">
        <f>회차설정!$C$61</f>
        <v/>
      </c>
      <c r="D33" s="33">
        <f>회차설정!$B$61</f>
        <v/>
      </c>
      <c r="E33" s="33">
        <f>회차설정!$C$61</f>
        <v/>
      </c>
      <c r="F33" s="33">
        <f>SUMPRODUCT(((회차설정!$E$13:$E$27="공통")+(회차설정!$E$13:$E$27="화법과 작문"))*(회차설정!$C$13:$C$27&lt;=$A33)*(회차설정!$D$13:$D$27&gt;=$A33))</f>
        <v/>
      </c>
      <c r="G33" s="33">
        <f>SUMPRODUCT(((회차설정!$E$13:$E$27="공통")+(회차설정!$E$13:$E$27="언어와 매체"))*(회차설정!$C$13:$C$27&lt;=$A33)*(회차설정!$D$13:$D$27&gt;=$A33))</f>
        <v/>
      </c>
    </row>
    <row r="34">
      <c r="A34" s="33" t="n">
        <v>31</v>
      </c>
      <c r="B34" s="33">
        <f>회차설정!$B$62</f>
        <v/>
      </c>
      <c r="C34" s="33">
        <f>회차설정!$C$62</f>
        <v/>
      </c>
      <c r="D34" s="33">
        <f>회차설정!$B$62</f>
        <v/>
      </c>
      <c r="E34" s="33">
        <f>회차설정!$C$62</f>
        <v/>
      </c>
      <c r="F34" s="33">
        <f>SUMPRODUCT(((회차설정!$E$13:$E$27="공통")+(회차설정!$E$13:$E$27="화법과 작문"))*(회차설정!$C$13:$C$27&lt;=$A34)*(회차설정!$D$13:$D$27&gt;=$A34))</f>
        <v/>
      </c>
      <c r="G34" s="33">
        <f>SUMPRODUCT(((회차설정!$E$13:$E$27="공통")+(회차설정!$E$13:$E$27="언어와 매체"))*(회차설정!$C$13:$C$27&lt;=$A34)*(회차설정!$D$13:$D$27&gt;=$A34))</f>
        <v/>
      </c>
    </row>
    <row r="35">
      <c r="A35" s="33" t="n">
        <v>32</v>
      </c>
      <c r="B35" s="33">
        <f>회차설정!$B$63</f>
        <v/>
      </c>
      <c r="C35" s="33">
        <f>회차설정!$C$63</f>
        <v/>
      </c>
      <c r="D35" s="33">
        <f>회차설정!$B$63</f>
        <v/>
      </c>
      <c r="E35" s="33">
        <f>회차설정!$C$63</f>
        <v/>
      </c>
      <c r="F35" s="33">
        <f>SUMPRODUCT(((회차설정!$E$13:$E$27="공통")+(회차설정!$E$13:$E$27="화법과 작문"))*(회차설정!$C$13:$C$27&lt;=$A35)*(회차설정!$D$13:$D$27&gt;=$A35))</f>
        <v/>
      </c>
      <c r="G35" s="33">
        <f>SUMPRODUCT(((회차설정!$E$13:$E$27="공통")+(회차설정!$E$13:$E$27="언어와 매체"))*(회차설정!$C$13:$C$27&lt;=$A35)*(회차설정!$D$13:$D$27&gt;=$A35))</f>
        <v/>
      </c>
    </row>
    <row r="36">
      <c r="A36" s="33" t="n">
        <v>33</v>
      </c>
      <c r="B36" s="33">
        <f>회차설정!$B$64</f>
        <v/>
      </c>
      <c r="C36" s="33">
        <f>회차설정!$C$64</f>
        <v/>
      </c>
      <c r="D36" s="33">
        <f>회차설정!$B$64</f>
        <v/>
      </c>
      <c r="E36" s="33">
        <f>회차설정!$C$64</f>
        <v/>
      </c>
      <c r="F36" s="33">
        <f>SUMPRODUCT(((회차설정!$E$13:$E$27="공통")+(회차설정!$E$13:$E$27="화법과 작문"))*(회차설정!$C$13:$C$27&lt;=$A36)*(회차설정!$D$13:$D$27&gt;=$A36))</f>
        <v/>
      </c>
      <c r="G36" s="33">
        <f>SUMPRODUCT(((회차설정!$E$13:$E$27="공통")+(회차설정!$E$13:$E$27="언어와 매체"))*(회차설정!$C$13:$C$27&lt;=$A36)*(회차설정!$D$13:$D$27&gt;=$A36))</f>
        <v/>
      </c>
    </row>
    <row r="37">
      <c r="A37" s="33" t="n">
        <v>34</v>
      </c>
      <c r="B37" s="33">
        <f>회차설정!$B$65</f>
        <v/>
      </c>
      <c r="C37" s="33">
        <f>회차설정!$C$65</f>
        <v/>
      </c>
      <c r="D37" s="33">
        <f>회차설정!$B$65</f>
        <v/>
      </c>
      <c r="E37" s="33">
        <f>회차설정!$C$65</f>
        <v/>
      </c>
      <c r="F37" s="33">
        <f>SUMPRODUCT(((회차설정!$E$13:$E$27="공통")+(회차설정!$E$13:$E$27="화법과 작문"))*(회차설정!$C$13:$C$27&lt;=$A37)*(회차설정!$D$13:$D$27&gt;=$A37))</f>
        <v/>
      </c>
      <c r="G37" s="33">
        <f>SUMPRODUCT(((회차설정!$E$13:$E$27="공통")+(회차설정!$E$13:$E$27="언어와 매체"))*(회차설정!$C$13:$C$27&lt;=$A37)*(회차설정!$D$13:$D$27&gt;=$A37))</f>
        <v/>
      </c>
    </row>
    <row r="38">
      <c r="A38" s="33" t="n">
        <v>35</v>
      </c>
      <c r="B38" s="33">
        <f>회차설정!$F$32</f>
        <v/>
      </c>
      <c r="C38" s="33">
        <f>회차설정!$G$32</f>
        <v/>
      </c>
      <c r="D38" s="33">
        <f>회차설정!$J$32</f>
        <v/>
      </c>
      <c r="E38" s="33">
        <f>회차설정!$K$32</f>
        <v/>
      </c>
      <c r="F38" s="33">
        <f>SUMPRODUCT(((회차설정!$E$13:$E$27="공통")+(회차설정!$E$13:$E$27="화법과 작문"))*(회차설정!$C$13:$C$27&lt;=$A38)*(회차설정!$D$13:$D$27&gt;=$A38))</f>
        <v/>
      </c>
      <c r="G38" s="33">
        <f>SUMPRODUCT(((회차설정!$E$13:$E$27="공통")+(회차설정!$E$13:$E$27="언어와 매체"))*(회차설정!$C$13:$C$27&lt;=$A38)*(회차설정!$D$13:$D$27&gt;=$A38))</f>
        <v/>
      </c>
    </row>
    <row r="39">
      <c r="A39" s="33" t="n">
        <v>36</v>
      </c>
      <c r="B39" s="33">
        <f>회차설정!$F$33</f>
        <v/>
      </c>
      <c r="C39" s="33">
        <f>회차설정!$G$33</f>
        <v/>
      </c>
      <c r="D39" s="33">
        <f>회차설정!$J$33</f>
        <v/>
      </c>
      <c r="E39" s="33">
        <f>회차설정!$K$33</f>
        <v/>
      </c>
      <c r="F39" s="33">
        <f>SUMPRODUCT(((회차설정!$E$13:$E$27="공통")+(회차설정!$E$13:$E$27="화법과 작문"))*(회차설정!$C$13:$C$27&lt;=$A39)*(회차설정!$D$13:$D$27&gt;=$A39))</f>
        <v/>
      </c>
      <c r="G39" s="33">
        <f>SUMPRODUCT(((회차설정!$E$13:$E$27="공통")+(회차설정!$E$13:$E$27="언어와 매체"))*(회차설정!$C$13:$C$27&lt;=$A39)*(회차설정!$D$13:$D$27&gt;=$A39))</f>
        <v/>
      </c>
    </row>
    <row r="40">
      <c r="A40" s="33" t="n">
        <v>37</v>
      </c>
      <c r="B40" s="33">
        <f>회차설정!$F$34</f>
        <v/>
      </c>
      <c r="C40" s="33">
        <f>회차설정!$G$34</f>
        <v/>
      </c>
      <c r="D40" s="33">
        <f>회차설정!$J$34</f>
        <v/>
      </c>
      <c r="E40" s="33">
        <f>회차설정!$K$34</f>
        <v/>
      </c>
      <c r="F40" s="33">
        <f>SUMPRODUCT(((회차설정!$E$13:$E$27="공통")+(회차설정!$E$13:$E$27="화법과 작문"))*(회차설정!$C$13:$C$27&lt;=$A40)*(회차설정!$D$13:$D$27&gt;=$A40))</f>
        <v/>
      </c>
      <c r="G40" s="33">
        <f>SUMPRODUCT(((회차설정!$E$13:$E$27="공통")+(회차설정!$E$13:$E$27="언어와 매체"))*(회차설정!$C$13:$C$27&lt;=$A40)*(회차설정!$D$13:$D$27&gt;=$A40))</f>
        <v/>
      </c>
    </row>
    <row r="41">
      <c r="A41" s="33" t="n">
        <v>38</v>
      </c>
      <c r="B41" s="33">
        <f>회차설정!$F$35</f>
        <v/>
      </c>
      <c r="C41" s="33">
        <f>회차설정!$G$35</f>
        <v/>
      </c>
      <c r="D41" s="33">
        <f>회차설정!$J$35</f>
        <v/>
      </c>
      <c r="E41" s="33">
        <f>회차설정!$K$35</f>
        <v/>
      </c>
      <c r="F41" s="33">
        <f>SUMPRODUCT(((회차설정!$E$13:$E$27="공통")+(회차설정!$E$13:$E$27="화법과 작문"))*(회차설정!$C$13:$C$27&lt;=$A41)*(회차설정!$D$13:$D$27&gt;=$A41))</f>
        <v/>
      </c>
      <c r="G41" s="33">
        <f>SUMPRODUCT(((회차설정!$E$13:$E$27="공통")+(회차설정!$E$13:$E$27="언어와 매체"))*(회차설정!$C$13:$C$27&lt;=$A41)*(회차설정!$D$13:$D$27&gt;=$A41))</f>
        <v/>
      </c>
    </row>
    <row r="42">
      <c r="A42" s="33" t="n">
        <v>39</v>
      </c>
      <c r="B42" s="33">
        <f>회차설정!$F$36</f>
        <v/>
      </c>
      <c r="C42" s="33">
        <f>회차설정!$G$36</f>
        <v/>
      </c>
      <c r="D42" s="33">
        <f>회차설정!$J$36</f>
        <v/>
      </c>
      <c r="E42" s="33">
        <f>회차설정!$K$36</f>
        <v/>
      </c>
      <c r="F42" s="33">
        <f>SUMPRODUCT(((회차설정!$E$13:$E$27="공통")+(회차설정!$E$13:$E$27="화법과 작문"))*(회차설정!$C$13:$C$27&lt;=$A42)*(회차설정!$D$13:$D$27&gt;=$A42))</f>
        <v/>
      </c>
      <c r="G42" s="33">
        <f>SUMPRODUCT(((회차설정!$E$13:$E$27="공통")+(회차설정!$E$13:$E$27="언어와 매체"))*(회차설정!$C$13:$C$27&lt;=$A42)*(회차설정!$D$13:$D$27&gt;=$A42))</f>
        <v/>
      </c>
    </row>
    <row r="43">
      <c r="A43" s="33" t="n">
        <v>40</v>
      </c>
      <c r="B43" s="33">
        <f>회차설정!$F$37</f>
        <v/>
      </c>
      <c r="C43" s="33">
        <f>회차설정!$G$37</f>
        <v/>
      </c>
      <c r="D43" s="33">
        <f>회차설정!$J$37</f>
        <v/>
      </c>
      <c r="E43" s="33">
        <f>회차설정!$K$37</f>
        <v/>
      </c>
      <c r="F43" s="33">
        <f>SUMPRODUCT(((회차설정!$E$13:$E$27="공통")+(회차설정!$E$13:$E$27="화법과 작문"))*(회차설정!$C$13:$C$27&lt;=$A43)*(회차설정!$D$13:$D$27&gt;=$A43))</f>
        <v/>
      </c>
      <c r="G43" s="33">
        <f>SUMPRODUCT(((회차설정!$E$13:$E$27="공통")+(회차설정!$E$13:$E$27="언어와 매체"))*(회차설정!$C$13:$C$27&lt;=$A43)*(회차설정!$D$13:$D$27&gt;=$A43))</f>
        <v/>
      </c>
    </row>
    <row r="44">
      <c r="A44" s="33" t="n">
        <v>41</v>
      </c>
      <c r="B44" s="33">
        <f>회차설정!$F$38</f>
        <v/>
      </c>
      <c r="C44" s="33">
        <f>회차설정!$G$38</f>
        <v/>
      </c>
      <c r="D44" s="33">
        <f>회차설정!$J$38</f>
        <v/>
      </c>
      <c r="E44" s="33">
        <f>회차설정!$K$38</f>
        <v/>
      </c>
      <c r="F44" s="33">
        <f>SUMPRODUCT(((회차설정!$E$13:$E$27="공통")+(회차설정!$E$13:$E$27="화법과 작문"))*(회차설정!$C$13:$C$27&lt;=$A44)*(회차설정!$D$13:$D$27&gt;=$A44))</f>
        <v/>
      </c>
      <c r="G44" s="33">
        <f>SUMPRODUCT(((회차설정!$E$13:$E$27="공통")+(회차설정!$E$13:$E$27="언어와 매체"))*(회차설정!$C$13:$C$27&lt;=$A44)*(회차설정!$D$13:$D$27&gt;=$A44))</f>
        <v/>
      </c>
    </row>
    <row r="45">
      <c r="A45" s="33" t="n">
        <v>42</v>
      </c>
      <c r="B45" s="33">
        <f>회차설정!$F$39</f>
        <v/>
      </c>
      <c r="C45" s="33">
        <f>회차설정!$G$39</f>
        <v/>
      </c>
      <c r="D45" s="33">
        <f>회차설정!$J$39</f>
        <v/>
      </c>
      <c r="E45" s="33">
        <f>회차설정!$K$39</f>
        <v/>
      </c>
      <c r="F45" s="33">
        <f>SUMPRODUCT(((회차설정!$E$13:$E$27="공통")+(회차설정!$E$13:$E$27="화법과 작문"))*(회차설정!$C$13:$C$27&lt;=$A45)*(회차설정!$D$13:$D$27&gt;=$A45))</f>
        <v/>
      </c>
      <c r="G45" s="33">
        <f>SUMPRODUCT(((회차설정!$E$13:$E$27="공통")+(회차설정!$E$13:$E$27="언어와 매체"))*(회차설정!$C$13:$C$27&lt;=$A45)*(회차설정!$D$13:$D$27&gt;=$A45))</f>
        <v/>
      </c>
    </row>
    <row r="46">
      <c r="A46" s="33" t="n">
        <v>43</v>
      </c>
      <c r="B46" s="33">
        <f>회차설정!$F$40</f>
        <v/>
      </c>
      <c r="C46" s="33">
        <f>회차설정!$G$40</f>
        <v/>
      </c>
      <c r="D46" s="33">
        <f>회차설정!$J$40</f>
        <v/>
      </c>
      <c r="E46" s="33">
        <f>회차설정!$K$40</f>
        <v/>
      </c>
      <c r="F46" s="33">
        <f>SUMPRODUCT(((회차설정!$E$13:$E$27="공통")+(회차설정!$E$13:$E$27="화법과 작문"))*(회차설정!$C$13:$C$27&lt;=$A46)*(회차설정!$D$13:$D$27&gt;=$A46))</f>
        <v/>
      </c>
      <c r="G46" s="33">
        <f>SUMPRODUCT(((회차설정!$E$13:$E$27="공통")+(회차설정!$E$13:$E$27="언어와 매체"))*(회차설정!$C$13:$C$27&lt;=$A46)*(회차설정!$D$13:$D$27&gt;=$A46))</f>
        <v/>
      </c>
    </row>
    <row r="47">
      <c r="A47" s="33" t="n">
        <v>44</v>
      </c>
      <c r="B47" s="33">
        <f>회차설정!$F$41</f>
        <v/>
      </c>
      <c r="C47" s="33">
        <f>회차설정!$G$41</f>
        <v/>
      </c>
      <c r="D47" s="33">
        <f>회차설정!$J$41</f>
        <v/>
      </c>
      <c r="E47" s="33">
        <f>회차설정!$K$41</f>
        <v/>
      </c>
      <c r="F47" s="33">
        <f>SUMPRODUCT(((회차설정!$E$13:$E$27="공통")+(회차설정!$E$13:$E$27="화법과 작문"))*(회차설정!$C$13:$C$27&lt;=$A47)*(회차설정!$D$13:$D$27&gt;=$A47))</f>
        <v/>
      </c>
      <c r="G47" s="33">
        <f>SUMPRODUCT(((회차설정!$E$13:$E$27="공통")+(회차설정!$E$13:$E$27="언어와 매체"))*(회차설정!$C$13:$C$27&lt;=$A47)*(회차설정!$D$13:$D$27&gt;=$A47))</f>
        <v/>
      </c>
    </row>
    <row r="48">
      <c r="A48" s="33" t="n">
        <v>45</v>
      </c>
      <c r="B48" s="33">
        <f>회차설정!$F$42</f>
        <v/>
      </c>
      <c r="C48" s="33">
        <f>회차설정!$G$42</f>
        <v/>
      </c>
      <c r="D48" s="33">
        <f>회차설정!$J$42</f>
        <v/>
      </c>
      <c r="E48" s="33">
        <f>회차설정!$K$42</f>
        <v/>
      </c>
      <c r="F48" s="33">
        <f>SUMPRODUCT(((회차설정!$E$13:$E$27="공통")+(회차설정!$E$13:$E$27="화법과 작문"))*(회차설정!$C$13:$C$27&lt;=$A48)*(회차설정!$D$13:$D$27&gt;=$A48))</f>
        <v/>
      </c>
      <c r="G48" s="33">
        <f>SUMPRODUCT(((회차설정!$E$13:$E$27="공통")+(회차설정!$E$13:$E$27="언어와 매체"))*(회차설정!$C$13:$C$27&lt;=$A48)*(회차설정!$D$13:$D$27&gt;=$A48))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6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6" t="inlineStr">
        <is>
          <t>자동 계산용 시트입니다. 고치지 마세요.</t>
        </is>
      </c>
    </row>
    <row r="2">
      <c r="A2" s="17" t="inlineStr">
        <is>
          <t>이름</t>
        </is>
      </c>
      <c r="B2" s="17" t="inlineStr">
        <is>
          <t>선택과목</t>
        </is>
      </c>
      <c r="C2" s="17" t="inlineStr">
        <is>
          <t>점수</t>
        </is>
      </c>
      <c r="D2" s="17" t="inlineStr">
        <is>
          <t>등급</t>
        </is>
      </c>
      <c r="E2" s="68" t="inlineStr">
        <is>
          <t>답1</t>
        </is>
      </c>
      <c r="F2" s="68" t="inlineStr">
        <is>
          <t>답2</t>
        </is>
      </c>
      <c r="G2" s="68" t="inlineStr">
        <is>
          <t>답3</t>
        </is>
      </c>
      <c r="H2" s="68" t="inlineStr">
        <is>
          <t>답4</t>
        </is>
      </c>
      <c r="I2" s="68" t="inlineStr">
        <is>
          <t>답5</t>
        </is>
      </c>
      <c r="J2" s="68" t="inlineStr">
        <is>
          <t>답6</t>
        </is>
      </c>
      <c r="K2" s="68" t="inlineStr">
        <is>
          <t>답7</t>
        </is>
      </c>
      <c r="L2" s="68" t="inlineStr">
        <is>
          <t>답8</t>
        </is>
      </c>
      <c r="M2" s="68" t="inlineStr">
        <is>
          <t>답9</t>
        </is>
      </c>
      <c r="N2" s="68" t="inlineStr">
        <is>
          <t>답10</t>
        </is>
      </c>
      <c r="O2" s="68" t="inlineStr">
        <is>
          <t>답11</t>
        </is>
      </c>
      <c r="P2" s="68" t="inlineStr">
        <is>
          <t>답12</t>
        </is>
      </c>
      <c r="Q2" s="68" t="inlineStr">
        <is>
          <t>답13</t>
        </is>
      </c>
      <c r="R2" s="68" t="inlineStr">
        <is>
          <t>답14</t>
        </is>
      </c>
      <c r="S2" s="68" t="inlineStr">
        <is>
          <t>답15</t>
        </is>
      </c>
      <c r="T2" s="68" t="inlineStr">
        <is>
          <t>답16</t>
        </is>
      </c>
      <c r="U2" s="68" t="inlineStr">
        <is>
          <t>답17</t>
        </is>
      </c>
      <c r="V2" s="68" t="inlineStr">
        <is>
          <t>답18</t>
        </is>
      </c>
      <c r="W2" s="68" t="inlineStr">
        <is>
          <t>답19</t>
        </is>
      </c>
      <c r="X2" s="68" t="inlineStr">
        <is>
          <t>답20</t>
        </is>
      </c>
      <c r="Y2" s="68" t="inlineStr">
        <is>
          <t>답21</t>
        </is>
      </c>
      <c r="Z2" s="68" t="inlineStr">
        <is>
          <t>답22</t>
        </is>
      </c>
      <c r="AA2" s="68" t="inlineStr">
        <is>
          <t>답23</t>
        </is>
      </c>
      <c r="AB2" s="68" t="inlineStr">
        <is>
          <t>답24</t>
        </is>
      </c>
      <c r="AC2" s="68" t="inlineStr">
        <is>
          <t>답25</t>
        </is>
      </c>
      <c r="AD2" s="68" t="inlineStr">
        <is>
          <t>답26</t>
        </is>
      </c>
      <c r="AE2" s="68" t="inlineStr">
        <is>
          <t>답27</t>
        </is>
      </c>
      <c r="AF2" s="68" t="inlineStr">
        <is>
          <t>답28</t>
        </is>
      </c>
      <c r="AG2" s="68" t="inlineStr">
        <is>
          <t>답29</t>
        </is>
      </c>
      <c r="AH2" s="68" t="inlineStr">
        <is>
          <t>답30</t>
        </is>
      </c>
      <c r="AI2" s="68" t="inlineStr">
        <is>
          <t>답31</t>
        </is>
      </c>
      <c r="AJ2" s="68" t="inlineStr">
        <is>
          <t>답32</t>
        </is>
      </c>
      <c r="AK2" s="68" t="inlineStr">
        <is>
          <t>답33</t>
        </is>
      </c>
      <c r="AL2" s="68" t="inlineStr">
        <is>
          <t>답34</t>
        </is>
      </c>
      <c r="AM2" s="68" t="inlineStr">
        <is>
          <t>답35</t>
        </is>
      </c>
      <c r="AN2" s="68" t="inlineStr">
        <is>
          <t>답36</t>
        </is>
      </c>
      <c r="AO2" s="68" t="inlineStr">
        <is>
          <t>답37</t>
        </is>
      </c>
      <c r="AP2" s="68" t="inlineStr">
        <is>
          <t>답38</t>
        </is>
      </c>
      <c r="AQ2" s="68" t="inlineStr">
        <is>
          <t>답39</t>
        </is>
      </c>
      <c r="AR2" s="68" t="inlineStr">
        <is>
          <t>답40</t>
        </is>
      </c>
      <c r="AS2" s="68" t="inlineStr">
        <is>
          <t>답41</t>
        </is>
      </c>
      <c r="AT2" s="68" t="inlineStr">
        <is>
          <t>답42</t>
        </is>
      </c>
      <c r="AU2" s="68" t="inlineStr">
        <is>
          <t>답43</t>
        </is>
      </c>
      <c r="AV2" s="68" t="inlineStr">
        <is>
          <t>답44</t>
        </is>
      </c>
      <c r="AW2" s="68" t="inlineStr">
        <is>
          <t>답45</t>
        </is>
      </c>
      <c r="AX2" s="69" t="inlineStr">
        <is>
          <t>점1</t>
        </is>
      </c>
      <c r="AY2" s="69" t="inlineStr">
        <is>
          <t>점2</t>
        </is>
      </c>
      <c r="AZ2" s="69" t="inlineStr">
        <is>
          <t>점3</t>
        </is>
      </c>
      <c r="BA2" s="69" t="inlineStr">
        <is>
          <t>점4</t>
        </is>
      </c>
      <c r="BB2" s="69" t="inlineStr">
        <is>
          <t>점5</t>
        </is>
      </c>
      <c r="BC2" s="69" t="inlineStr">
        <is>
          <t>점6</t>
        </is>
      </c>
      <c r="BD2" s="69" t="inlineStr">
        <is>
          <t>점7</t>
        </is>
      </c>
      <c r="BE2" s="69" t="inlineStr">
        <is>
          <t>점8</t>
        </is>
      </c>
      <c r="BF2" s="69" t="inlineStr">
        <is>
          <t>점9</t>
        </is>
      </c>
      <c r="BG2" s="69" t="inlineStr">
        <is>
          <t>점10</t>
        </is>
      </c>
      <c r="BH2" s="69" t="inlineStr">
        <is>
          <t>점11</t>
        </is>
      </c>
      <c r="BI2" s="69" t="inlineStr">
        <is>
          <t>점12</t>
        </is>
      </c>
      <c r="BJ2" s="69" t="inlineStr">
        <is>
          <t>점13</t>
        </is>
      </c>
      <c r="BK2" s="69" t="inlineStr">
        <is>
          <t>점14</t>
        </is>
      </c>
      <c r="BL2" s="69" t="inlineStr">
        <is>
          <t>점15</t>
        </is>
      </c>
      <c r="BM2" s="69" t="inlineStr">
        <is>
          <t>점16</t>
        </is>
      </c>
      <c r="BN2" s="69" t="inlineStr">
        <is>
          <t>점17</t>
        </is>
      </c>
      <c r="BO2" s="69" t="inlineStr">
        <is>
          <t>점18</t>
        </is>
      </c>
      <c r="BP2" s="69" t="inlineStr">
        <is>
          <t>점19</t>
        </is>
      </c>
      <c r="BQ2" s="69" t="inlineStr">
        <is>
          <t>점20</t>
        </is>
      </c>
      <c r="BR2" s="69" t="inlineStr">
        <is>
          <t>점21</t>
        </is>
      </c>
      <c r="BS2" s="69" t="inlineStr">
        <is>
          <t>점22</t>
        </is>
      </c>
      <c r="BT2" s="69" t="inlineStr">
        <is>
          <t>점23</t>
        </is>
      </c>
      <c r="BU2" s="69" t="inlineStr">
        <is>
          <t>점24</t>
        </is>
      </c>
      <c r="BV2" s="69" t="inlineStr">
        <is>
          <t>점25</t>
        </is>
      </c>
      <c r="BW2" s="69" t="inlineStr">
        <is>
          <t>점26</t>
        </is>
      </c>
      <c r="BX2" s="69" t="inlineStr">
        <is>
          <t>점27</t>
        </is>
      </c>
      <c r="BY2" s="69" t="inlineStr">
        <is>
          <t>점28</t>
        </is>
      </c>
      <c r="BZ2" s="69" t="inlineStr">
        <is>
          <t>점29</t>
        </is>
      </c>
      <c r="CA2" s="69" t="inlineStr">
        <is>
          <t>점30</t>
        </is>
      </c>
      <c r="CB2" s="69" t="inlineStr">
        <is>
          <t>점31</t>
        </is>
      </c>
      <c r="CC2" s="69" t="inlineStr">
        <is>
          <t>점32</t>
        </is>
      </c>
      <c r="CD2" s="69" t="inlineStr">
        <is>
          <t>점33</t>
        </is>
      </c>
      <c r="CE2" s="69" t="inlineStr">
        <is>
          <t>점34</t>
        </is>
      </c>
      <c r="CF2" s="69" t="inlineStr">
        <is>
          <t>점35</t>
        </is>
      </c>
      <c r="CG2" s="69" t="inlineStr">
        <is>
          <t>점36</t>
        </is>
      </c>
      <c r="CH2" s="69" t="inlineStr">
        <is>
          <t>점37</t>
        </is>
      </c>
      <c r="CI2" s="69" t="inlineStr">
        <is>
          <t>점38</t>
        </is>
      </c>
      <c r="CJ2" s="69" t="inlineStr">
        <is>
          <t>점39</t>
        </is>
      </c>
      <c r="CK2" s="69" t="inlineStr">
        <is>
          <t>점40</t>
        </is>
      </c>
      <c r="CL2" s="69" t="inlineStr">
        <is>
          <t>점41</t>
        </is>
      </c>
      <c r="CM2" s="69" t="inlineStr">
        <is>
          <t>점42</t>
        </is>
      </c>
      <c r="CN2" s="69" t="inlineStr">
        <is>
          <t>점43</t>
        </is>
      </c>
      <c r="CO2" s="69" t="inlineStr">
        <is>
          <t>점44</t>
        </is>
      </c>
      <c r="CP2" s="69" t="inlineStr">
        <is>
          <t>점45</t>
        </is>
      </c>
    </row>
    <row r="3">
      <c r="A3" s="70">
        <f>IF(답안입력!A3="","",답안입력!A3)</f>
        <v/>
      </c>
      <c r="B3" s="70">
        <f>IF($A3="","",답안입력!C3)</f>
        <v/>
      </c>
      <c r="C3" s="71">
        <f>IF($A3="","",SUM(AX3:CP3))</f>
        <v/>
      </c>
      <c r="D3" s="70">
        <f>IF($A3="","",IF($C3&gt;=IF($B3="언어와 매체",회차설정!$B$9,회차설정!$B$8),"1등급",IF($C3&gt;=IF($B3="언어와 매체",회차설정!$C$9,회차설정!$C$8),"2등급",IF($C3&gt;=IF($B3="언어와 매체",회차설정!$D$9,회차설정!$D$8),"3등급",IF($C3&gt;=IF($B3="언어와 매체",회차설정!$E$9,회차설정!$E$8),"4등급","등급 외")))))</f>
        <v/>
      </c>
      <c r="E3" s="72">
        <f>IF($A3="","",IF(LEN(답안입력!$D3)&gt;=1,VALUE(MID(답안입력!$D3,1,1)),IF(답안입력!E3="","",답안입력!E3)))</f>
        <v/>
      </c>
      <c r="F3" s="72">
        <f>IF($A3="","",IF(LEN(답안입력!$D3)&gt;=2,VALUE(MID(답안입력!$D3,2,1)),IF(답안입력!F3="","",답안입력!F3)))</f>
        <v/>
      </c>
      <c r="G3" s="72">
        <f>IF($A3="","",IF(LEN(답안입력!$D3)&gt;=3,VALUE(MID(답안입력!$D3,3,1)),IF(답안입력!G3="","",답안입력!G3)))</f>
        <v/>
      </c>
      <c r="H3" s="72">
        <f>IF($A3="","",IF(LEN(답안입력!$D3)&gt;=4,VALUE(MID(답안입력!$D3,4,1)),IF(답안입력!H3="","",답안입력!H3)))</f>
        <v/>
      </c>
      <c r="I3" s="72">
        <f>IF($A3="","",IF(LEN(답안입력!$D3)&gt;=5,VALUE(MID(답안입력!$D3,5,1)),IF(답안입력!I3="","",답안입력!I3)))</f>
        <v/>
      </c>
      <c r="J3" s="72">
        <f>IF($A3="","",IF(LEN(답안입력!$D3)&gt;=6,VALUE(MID(답안입력!$D3,6,1)),IF(답안입력!J3="","",답안입력!J3)))</f>
        <v/>
      </c>
      <c r="K3" s="72">
        <f>IF($A3="","",IF(LEN(답안입력!$D3)&gt;=7,VALUE(MID(답안입력!$D3,7,1)),IF(답안입력!K3="","",답안입력!K3)))</f>
        <v/>
      </c>
      <c r="L3" s="72">
        <f>IF($A3="","",IF(LEN(답안입력!$D3)&gt;=8,VALUE(MID(답안입력!$D3,8,1)),IF(답안입력!L3="","",답안입력!L3)))</f>
        <v/>
      </c>
      <c r="M3" s="72">
        <f>IF($A3="","",IF(LEN(답안입력!$D3)&gt;=9,VALUE(MID(답안입력!$D3,9,1)),IF(답안입력!M3="","",답안입력!M3)))</f>
        <v/>
      </c>
      <c r="N3" s="72">
        <f>IF($A3="","",IF(LEN(답안입력!$D3)&gt;=10,VALUE(MID(답안입력!$D3,10,1)),IF(답안입력!N3="","",답안입력!N3)))</f>
        <v/>
      </c>
      <c r="O3" s="72">
        <f>IF($A3="","",IF(LEN(답안입력!$D3)&gt;=11,VALUE(MID(답안입력!$D3,11,1)),IF(답안입력!O3="","",답안입력!O3)))</f>
        <v/>
      </c>
      <c r="P3" s="72">
        <f>IF($A3="","",IF(LEN(답안입력!$D3)&gt;=12,VALUE(MID(답안입력!$D3,12,1)),IF(답안입력!P3="","",답안입력!P3)))</f>
        <v/>
      </c>
      <c r="Q3" s="72">
        <f>IF($A3="","",IF(LEN(답안입력!$D3)&gt;=13,VALUE(MID(답안입력!$D3,13,1)),IF(답안입력!Q3="","",답안입력!Q3)))</f>
        <v/>
      </c>
      <c r="R3" s="72">
        <f>IF($A3="","",IF(LEN(답안입력!$D3)&gt;=14,VALUE(MID(답안입력!$D3,14,1)),IF(답안입력!R3="","",답안입력!R3)))</f>
        <v/>
      </c>
      <c r="S3" s="72">
        <f>IF($A3="","",IF(LEN(답안입력!$D3)&gt;=15,VALUE(MID(답안입력!$D3,15,1)),IF(답안입력!S3="","",답안입력!S3)))</f>
        <v/>
      </c>
      <c r="T3" s="72">
        <f>IF($A3="","",IF(LEN(답안입력!$D3)&gt;=16,VALUE(MID(답안입력!$D3,16,1)),IF(답안입력!T3="","",답안입력!T3)))</f>
        <v/>
      </c>
      <c r="U3" s="72">
        <f>IF($A3="","",IF(LEN(답안입력!$D3)&gt;=17,VALUE(MID(답안입력!$D3,17,1)),IF(답안입력!U3="","",답안입력!U3)))</f>
        <v/>
      </c>
      <c r="V3" s="72">
        <f>IF($A3="","",IF(LEN(답안입력!$D3)&gt;=18,VALUE(MID(답안입력!$D3,18,1)),IF(답안입력!V3="","",답안입력!V3)))</f>
        <v/>
      </c>
      <c r="W3" s="72">
        <f>IF($A3="","",IF(LEN(답안입력!$D3)&gt;=19,VALUE(MID(답안입력!$D3,19,1)),IF(답안입력!W3="","",답안입력!W3)))</f>
        <v/>
      </c>
      <c r="X3" s="72">
        <f>IF($A3="","",IF(LEN(답안입력!$D3)&gt;=20,VALUE(MID(답안입력!$D3,20,1)),IF(답안입력!X3="","",답안입력!X3)))</f>
        <v/>
      </c>
      <c r="Y3" s="72">
        <f>IF($A3="","",IF(LEN(답안입력!$D3)&gt;=21,VALUE(MID(답안입력!$D3,21,1)),IF(답안입력!Y3="","",답안입력!Y3)))</f>
        <v/>
      </c>
      <c r="Z3" s="72">
        <f>IF($A3="","",IF(LEN(답안입력!$D3)&gt;=22,VALUE(MID(답안입력!$D3,22,1)),IF(답안입력!Z3="","",답안입력!Z3)))</f>
        <v/>
      </c>
      <c r="AA3" s="72">
        <f>IF($A3="","",IF(LEN(답안입력!$D3)&gt;=23,VALUE(MID(답안입력!$D3,23,1)),IF(답안입력!AA3="","",답안입력!AA3)))</f>
        <v/>
      </c>
      <c r="AB3" s="72">
        <f>IF($A3="","",IF(LEN(답안입력!$D3)&gt;=24,VALUE(MID(답안입력!$D3,24,1)),IF(답안입력!AB3="","",답안입력!AB3)))</f>
        <v/>
      </c>
      <c r="AC3" s="72">
        <f>IF($A3="","",IF(LEN(답안입력!$D3)&gt;=25,VALUE(MID(답안입력!$D3,25,1)),IF(답안입력!AC3="","",답안입력!AC3)))</f>
        <v/>
      </c>
      <c r="AD3" s="72">
        <f>IF($A3="","",IF(LEN(답안입력!$D3)&gt;=26,VALUE(MID(답안입력!$D3,26,1)),IF(답안입력!AD3="","",답안입력!AD3)))</f>
        <v/>
      </c>
      <c r="AE3" s="72">
        <f>IF($A3="","",IF(LEN(답안입력!$D3)&gt;=27,VALUE(MID(답안입력!$D3,27,1)),IF(답안입력!AE3="","",답안입력!AE3)))</f>
        <v/>
      </c>
      <c r="AF3" s="72">
        <f>IF($A3="","",IF(LEN(답안입력!$D3)&gt;=28,VALUE(MID(답안입력!$D3,28,1)),IF(답안입력!AF3="","",답안입력!AF3)))</f>
        <v/>
      </c>
      <c r="AG3" s="72">
        <f>IF($A3="","",IF(LEN(답안입력!$D3)&gt;=29,VALUE(MID(답안입력!$D3,29,1)),IF(답안입력!AG3="","",답안입력!AG3)))</f>
        <v/>
      </c>
      <c r="AH3" s="72">
        <f>IF($A3="","",IF(LEN(답안입력!$D3)&gt;=30,VALUE(MID(답안입력!$D3,30,1)),IF(답안입력!AH3="","",답안입력!AH3)))</f>
        <v/>
      </c>
      <c r="AI3" s="72">
        <f>IF($A3="","",IF(LEN(답안입력!$D3)&gt;=31,VALUE(MID(답안입력!$D3,31,1)),IF(답안입력!AI3="","",답안입력!AI3)))</f>
        <v/>
      </c>
      <c r="AJ3" s="72">
        <f>IF($A3="","",IF(LEN(답안입력!$D3)&gt;=32,VALUE(MID(답안입력!$D3,32,1)),IF(답안입력!AJ3="","",답안입력!AJ3)))</f>
        <v/>
      </c>
      <c r="AK3" s="72">
        <f>IF($A3="","",IF(LEN(답안입력!$D3)&gt;=33,VALUE(MID(답안입력!$D3,33,1)),IF(답안입력!AK3="","",답안입력!AK3)))</f>
        <v/>
      </c>
      <c r="AL3" s="72">
        <f>IF($A3="","",IF(LEN(답안입력!$D3)&gt;=34,VALUE(MID(답안입력!$D3,34,1)),IF(답안입력!AL3="","",답안입력!AL3)))</f>
        <v/>
      </c>
      <c r="AM3" s="72">
        <f>IF($A3="","",IF(LEN(답안입력!$D3)&gt;=35,VALUE(MID(답안입력!$D3,35,1)),IF(답안입력!AM3="","",답안입력!AM3)))</f>
        <v/>
      </c>
      <c r="AN3" s="72">
        <f>IF($A3="","",IF(LEN(답안입력!$D3)&gt;=36,VALUE(MID(답안입력!$D3,36,1)),IF(답안입력!AN3="","",답안입력!AN3)))</f>
        <v/>
      </c>
      <c r="AO3" s="72">
        <f>IF($A3="","",IF(LEN(답안입력!$D3)&gt;=37,VALUE(MID(답안입력!$D3,37,1)),IF(답안입력!AO3="","",답안입력!AO3)))</f>
        <v/>
      </c>
      <c r="AP3" s="72">
        <f>IF($A3="","",IF(LEN(답안입력!$D3)&gt;=38,VALUE(MID(답안입력!$D3,38,1)),IF(답안입력!AP3="","",답안입력!AP3)))</f>
        <v/>
      </c>
      <c r="AQ3" s="72">
        <f>IF($A3="","",IF(LEN(답안입력!$D3)&gt;=39,VALUE(MID(답안입력!$D3,39,1)),IF(답안입력!AQ3="","",답안입력!AQ3)))</f>
        <v/>
      </c>
      <c r="AR3" s="72">
        <f>IF($A3="","",IF(LEN(답안입력!$D3)&gt;=40,VALUE(MID(답안입력!$D3,40,1)),IF(답안입력!AR3="","",답안입력!AR3)))</f>
        <v/>
      </c>
      <c r="AS3" s="72">
        <f>IF($A3="","",IF(LEN(답안입력!$D3)&gt;=41,VALUE(MID(답안입력!$D3,41,1)),IF(답안입력!AS3="","",답안입력!AS3)))</f>
        <v/>
      </c>
      <c r="AT3" s="72">
        <f>IF($A3="","",IF(LEN(답안입력!$D3)&gt;=42,VALUE(MID(답안입력!$D3,42,1)),IF(답안입력!AT3="","",답안입력!AT3)))</f>
        <v/>
      </c>
      <c r="AU3" s="72">
        <f>IF($A3="","",IF(LEN(답안입력!$D3)&gt;=43,VALUE(MID(답안입력!$D3,43,1)),IF(답안입력!AU3="","",답안입력!AU3)))</f>
        <v/>
      </c>
      <c r="AV3" s="72">
        <f>IF($A3="","",IF(LEN(답안입력!$D3)&gt;=44,VALUE(MID(답안입력!$D3,44,1)),IF(답안입력!AV3="","",답안입력!AV3)))</f>
        <v/>
      </c>
      <c r="AW3" s="72">
        <f>IF($A3="","",IF(LEN(답안입력!$D3)&gt;=45,VALUE(MID(답안입력!$D3,45,1)),IF(답안입력!AW3="","",답안입력!AW3)))</f>
        <v/>
      </c>
      <c r="AX3" s="72">
        <f>IF($A3="","",IF(E3="",0,IF(E3=IF($B3="언어와 매체",자동계산!$D$4,자동계산!$B$4),IF($B3="언어와 매체",자동계산!$E$4,자동계산!$C$4),0)))</f>
        <v/>
      </c>
      <c r="AY3" s="72">
        <f>IF($A3="","",IF(F3="",0,IF(F3=IF($B3="언어와 매체",자동계산!$D$5,자동계산!$B$5),IF($B3="언어와 매체",자동계산!$E$5,자동계산!$C$5),0)))</f>
        <v/>
      </c>
      <c r="AZ3" s="72">
        <f>IF($A3="","",IF(G3="",0,IF(G3=IF($B3="언어와 매체",자동계산!$D$6,자동계산!$B$6),IF($B3="언어와 매체",자동계산!$E$6,자동계산!$C$6),0)))</f>
        <v/>
      </c>
      <c r="BA3" s="72">
        <f>IF($A3="","",IF(H3="",0,IF(H3=IF($B3="언어와 매체",자동계산!$D$7,자동계산!$B$7),IF($B3="언어와 매체",자동계산!$E$7,자동계산!$C$7),0)))</f>
        <v/>
      </c>
      <c r="BB3" s="72">
        <f>IF($A3="","",IF(I3="",0,IF(I3=IF($B3="언어와 매체",자동계산!$D$8,자동계산!$B$8),IF($B3="언어와 매체",자동계산!$E$8,자동계산!$C$8),0)))</f>
        <v/>
      </c>
      <c r="BC3" s="72">
        <f>IF($A3="","",IF(J3="",0,IF(J3=IF($B3="언어와 매체",자동계산!$D$9,자동계산!$B$9),IF($B3="언어와 매체",자동계산!$E$9,자동계산!$C$9),0)))</f>
        <v/>
      </c>
      <c r="BD3" s="72">
        <f>IF($A3="","",IF(K3="",0,IF(K3=IF($B3="언어와 매체",자동계산!$D$10,자동계산!$B$10),IF($B3="언어와 매체",자동계산!$E$10,자동계산!$C$10),0)))</f>
        <v/>
      </c>
      <c r="BE3" s="72">
        <f>IF($A3="","",IF(L3="",0,IF(L3=IF($B3="언어와 매체",자동계산!$D$11,자동계산!$B$11),IF($B3="언어와 매체",자동계산!$E$11,자동계산!$C$11),0)))</f>
        <v/>
      </c>
      <c r="BF3" s="72">
        <f>IF($A3="","",IF(M3="",0,IF(M3=IF($B3="언어와 매체",자동계산!$D$12,자동계산!$B$12),IF($B3="언어와 매체",자동계산!$E$12,자동계산!$C$12),0)))</f>
        <v/>
      </c>
      <c r="BG3" s="72">
        <f>IF($A3="","",IF(N3="",0,IF(N3=IF($B3="언어와 매체",자동계산!$D$13,자동계산!$B$13),IF($B3="언어와 매체",자동계산!$E$13,자동계산!$C$13),0)))</f>
        <v/>
      </c>
      <c r="BH3" s="72">
        <f>IF($A3="","",IF(O3="",0,IF(O3=IF($B3="언어와 매체",자동계산!$D$14,자동계산!$B$14),IF($B3="언어와 매체",자동계산!$E$14,자동계산!$C$14),0)))</f>
        <v/>
      </c>
      <c r="BI3" s="72">
        <f>IF($A3="","",IF(P3="",0,IF(P3=IF($B3="언어와 매체",자동계산!$D$15,자동계산!$B$15),IF($B3="언어와 매체",자동계산!$E$15,자동계산!$C$15),0)))</f>
        <v/>
      </c>
      <c r="BJ3" s="72">
        <f>IF($A3="","",IF(Q3="",0,IF(Q3=IF($B3="언어와 매체",자동계산!$D$16,자동계산!$B$16),IF($B3="언어와 매체",자동계산!$E$16,자동계산!$C$16),0)))</f>
        <v/>
      </c>
      <c r="BK3" s="72">
        <f>IF($A3="","",IF(R3="",0,IF(R3=IF($B3="언어와 매체",자동계산!$D$17,자동계산!$B$17),IF($B3="언어와 매체",자동계산!$E$17,자동계산!$C$17),0)))</f>
        <v/>
      </c>
      <c r="BL3" s="72">
        <f>IF($A3="","",IF(S3="",0,IF(S3=IF($B3="언어와 매체",자동계산!$D$18,자동계산!$B$18),IF($B3="언어와 매체",자동계산!$E$18,자동계산!$C$18),0)))</f>
        <v/>
      </c>
      <c r="BM3" s="72">
        <f>IF($A3="","",IF(T3="",0,IF(T3=IF($B3="언어와 매체",자동계산!$D$19,자동계산!$B$19),IF($B3="언어와 매체",자동계산!$E$19,자동계산!$C$19),0)))</f>
        <v/>
      </c>
      <c r="BN3" s="72">
        <f>IF($A3="","",IF(U3="",0,IF(U3=IF($B3="언어와 매체",자동계산!$D$20,자동계산!$B$20),IF($B3="언어와 매체",자동계산!$E$20,자동계산!$C$20),0)))</f>
        <v/>
      </c>
      <c r="BO3" s="72">
        <f>IF($A3="","",IF(V3="",0,IF(V3=IF($B3="언어와 매체",자동계산!$D$21,자동계산!$B$21),IF($B3="언어와 매체",자동계산!$E$21,자동계산!$C$21),0)))</f>
        <v/>
      </c>
      <c r="BP3" s="72">
        <f>IF($A3="","",IF(W3="",0,IF(W3=IF($B3="언어와 매체",자동계산!$D$22,자동계산!$B$22),IF($B3="언어와 매체",자동계산!$E$22,자동계산!$C$22),0)))</f>
        <v/>
      </c>
      <c r="BQ3" s="72">
        <f>IF($A3="","",IF(X3="",0,IF(X3=IF($B3="언어와 매체",자동계산!$D$23,자동계산!$B$23),IF($B3="언어와 매체",자동계산!$E$23,자동계산!$C$23),0)))</f>
        <v/>
      </c>
      <c r="BR3" s="72">
        <f>IF($A3="","",IF(Y3="",0,IF(Y3=IF($B3="언어와 매체",자동계산!$D$24,자동계산!$B$24),IF($B3="언어와 매체",자동계산!$E$24,자동계산!$C$24),0)))</f>
        <v/>
      </c>
      <c r="BS3" s="72">
        <f>IF($A3="","",IF(Z3="",0,IF(Z3=IF($B3="언어와 매체",자동계산!$D$25,자동계산!$B$25),IF($B3="언어와 매체",자동계산!$E$25,자동계산!$C$25),0)))</f>
        <v/>
      </c>
      <c r="BT3" s="72">
        <f>IF($A3="","",IF(AA3="",0,IF(AA3=IF($B3="언어와 매체",자동계산!$D$26,자동계산!$B$26),IF($B3="언어와 매체",자동계산!$E$26,자동계산!$C$26),0)))</f>
        <v/>
      </c>
      <c r="BU3" s="72">
        <f>IF($A3="","",IF(AB3="",0,IF(AB3=IF($B3="언어와 매체",자동계산!$D$27,자동계산!$B$27),IF($B3="언어와 매체",자동계산!$E$27,자동계산!$C$27),0)))</f>
        <v/>
      </c>
      <c r="BV3" s="72">
        <f>IF($A3="","",IF(AC3="",0,IF(AC3=IF($B3="언어와 매체",자동계산!$D$28,자동계산!$B$28),IF($B3="언어와 매체",자동계산!$E$28,자동계산!$C$28),0)))</f>
        <v/>
      </c>
      <c r="BW3" s="72">
        <f>IF($A3="","",IF(AD3="",0,IF(AD3=IF($B3="언어와 매체",자동계산!$D$29,자동계산!$B$29),IF($B3="언어와 매체",자동계산!$E$29,자동계산!$C$29),0)))</f>
        <v/>
      </c>
      <c r="BX3" s="72">
        <f>IF($A3="","",IF(AE3="",0,IF(AE3=IF($B3="언어와 매체",자동계산!$D$30,자동계산!$B$30),IF($B3="언어와 매체",자동계산!$E$30,자동계산!$C$30),0)))</f>
        <v/>
      </c>
      <c r="BY3" s="72">
        <f>IF($A3="","",IF(AF3="",0,IF(AF3=IF($B3="언어와 매체",자동계산!$D$31,자동계산!$B$31),IF($B3="언어와 매체",자동계산!$E$31,자동계산!$C$31),0)))</f>
        <v/>
      </c>
      <c r="BZ3" s="72">
        <f>IF($A3="","",IF(AG3="",0,IF(AG3=IF($B3="언어와 매체",자동계산!$D$32,자동계산!$B$32),IF($B3="언어와 매체",자동계산!$E$32,자동계산!$C$32),0)))</f>
        <v/>
      </c>
      <c r="CA3" s="72">
        <f>IF($A3="","",IF(AH3="",0,IF(AH3=IF($B3="언어와 매체",자동계산!$D$33,자동계산!$B$33),IF($B3="언어와 매체",자동계산!$E$33,자동계산!$C$33),0)))</f>
        <v/>
      </c>
      <c r="CB3" s="72">
        <f>IF($A3="","",IF(AI3="",0,IF(AI3=IF($B3="언어와 매체",자동계산!$D$34,자동계산!$B$34),IF($B3="언어와 매체",자동계산!$E$34,자동계산!$C$34),0)))</f>
        <v/>
      </c>
      <c r="CC3" s="72">
        <f>IF($A3="","",IF(AJ3="",0,IF(AJ3=IF($B3="언어와 매체",자동계산!$D$35,자동계산!$B$35),IF($B3="언어와 매체",자동계산!$E$35,자동계산!$C$35),0)))</f>
        <v/>
      </c>
      <c r="CD3" s="72">
        <f>IF($A3="","",IF(AK3="",0,IF(AK3=IF($B3="언어와 매체",자동계산!$D$36,자동계산!$B$36),IF($B3="언어와 매체",자동계산!$E$36,자동계산!$C$36),0)))</f>
        <v/>
      </c>
      <c r="CE3" s="72">
        <f>IF($A3="","",IF(AL3="",0,IF(AL3=IF($B3="언어와 매체",자동계산!$D$37,자동계산!$B$37),IF($B3="언어와 매체",자동계산!$E$37,자동계산!$C$37),0)))</f>
        <v/>
      </c>
      <c r="CF3" s="72">
        <f>IF($A3="","",IF(AM3="",0,IF(AM3=IF($B3="언어와 매체",자동계산!$D$38,자동계산!$B$38),IF($B3="언어와 매체",자동계산!$E$38,자동계산!$C$38),0)))</f>
        <v/>
      </c>
      <c r="CG3" s="72">
        <f>IF($A3="","",IF(AN3="",0,IF(AN3=IF($B3="언어와 매체",자동계산!$D$39,자동계산!$B$39),IF($B3="언어와 매체",자동계산!$E$39,자동계산!$C$39),0)))</f>
        <v/>
      </c>
      <c r="CH3" s="72">
        <f>IF($A3="","",IF(AO3="",0,IF(AO3=IF($B3="언어와 매체",자동계산!$D$40,자동계산!$B$40),IF($B3="언어와 매체",자동계산!$E$40,자동계산!$C$40),0)))</f>
        <v/>
      </c>
      <c r="CI3" s="72">
        <f>IF($A3="","",IF(AP3="",0,IF(AP3=IF($B3="언어와 매체",자동계산!$D$41,자동계산!$B$41),IF($B3="언어와 매체",자동계산!$E$41,자동계산!$C$41),0)))</f>
        <v/>
      </c>
      <c r="CJ3" s="72">
        <f>IF($A3="","",IF(AQ3="",0,IF(AQ3=IF($B3="언어와 매체",자동계산!$D$42,자동계산!$B$42),IF($B3="언어와 매체",자동계산!$E$42,자동계산!$C$42),0)))</f>
        <v/>
      </c>
      <c r="CK3" s="72">
        <f>IF($A3="","",IF(AR3="",0,IF(AR3=IF($B3="언어와 매체",자동계산!$D$43,자동계산!$B$43),IF($B3="언어와 매체",자동계산!$E$43,자동계산!$C$43),0)))</f>
        <v/>
      </c>
      <c r="CL3" s="72">
        <f>IF($A3="","",IF(AS3="",0,IF(AS3=IF($B3="언어와 매체",자동계산!$D$44,자동계산!$B$44),IF($B3="언어와 매체",자동계산!$E$44,자동계산!$C$44),0)))</f>
        <v/>
      </c>
      <c r="CM3" s="72">
        <f>IF($A3="","",IF(AT3="",0,IF(AT3=IF($B3="언어와 매체",자동계산!$D$45,자동계산!$B$45),IF($B3="언어와 매체",자동계산!$E$45,자동계산!$C$45),0)))</f>
        <v/>
      </c>
      <c r="CN3" s="72">
        <f>IF($A3="","",IF(AU3="",0,IF(AU3=IF($B3="언어와 매체",자동계산!$D$46,자동계산!$B$46),IF($B3="언어와 매체",자동계산!$E$46,자동계산!$C$46),0)))</f>
        <v/>
      </c>
      <c r="CO3" s="72">
        <f>IF($A3="","",IF(AV3="",0,IF(AV3=IF($B3="언어와 매체",자동계산!$D$47,자동계산!$B$47),IF($B3="언어와 매체",자동계산!$E$47,자동계산!$C$47),0)))</f>
        <v/>
      </c>
      <c r="CP3" s="72">
        <f>IF($A3="","",IF(AW3="",0,IF(AW3=IF($B3="언어와 매체",자동계산!$D$48,자동계산!$B$48),IF($B3="언어와 매체",자동계산!$E$48,자동계산!$C$48),0)))</f>
        <v/>
      </c>
    </row>
    <row r="4">
      <c r="A4" s="70">
        <f>IF(답안입력!A4="","",답안입력!A4)</f>
        <v/>
      </c>
      <c r="B4" s="70">
        <f>IF($A4="","",답안입력!C4)</f>
        <v/>
      </c>
      <c r="C4" s="71">
        <f>IF($A4="","",SUM(AX4:CP4))</f>
        <v/>
      </c>
      <c r="D4" s="70">
        <f>IF($A4="","",IF($C4&gt;=IF($B4="언어와 매체",회차설정!$B$9,회차설정!$B$8),"1등급",IF($C4&gt;=IF($B4="언어와 매체",회차설정!$C$9,회차설정!$C$8),"2등급",IF($C4&gt;=IF($B4="언어와 매체",회차설정!$D$9,회차설정!$D$8),"3등급",IF($C4&gt;=IF($B4="언어와 매체",회차설정!$E$9,회차설정!$E$8),"4등급","등급 외")))))</f>
        <v/>
      </c>
      <c r="E4" s="72">
        <f>IF($A4="","",IF(LEN(답안입력!$D4)&gt;=1,VALUE(MID(답안입력!$D4,1,1)),IF(답안입력!E4="","",답안입력!E4)))</f>
        <v/>
      </c>
      <c r="F4" s="72">
        <f>IF($A4="","",IF(LEN(답안입력!$D4)&gt;=2,VALUE(MID(답안입력!$D4,2,1)),IF(답안입력!F4="","",답안입력!F4)))</f>
        <v/>
      </c>
      <c r="G4" s="72">
        <f>IF($A4="","",IF(LEN(답안입력!$D4)&gt;=3,VALUE(MID(답안입력!$D4,3,1)),IF(답안입력!G4="","",답안입력!G4)))</f>
        <v/>
      </c>
      <c r="H4" s="72">
        <f>IF($A4="","",IF(LEN(답안입력!$D4)&gt;=4,VALUE(MID(답안입력!$D4,4,1)),IF(답안입력!H4="","",답안입력!H4)))</f>
        <v/>
      </c>
      <c r="I4" s="72">
        <f>IF($A4="","",IF(LEN(답안입력!$D4)&gt;=5,VALUE(MID(답안입력!$D4,5,1)),IF(답안입력!I4="","",답안입력!I4)))</f>
        <v/>
      </c>
      <c r="J4" s="72">
        <f>IF($A4="","",IF(LEN(답안입력!$D4)&gt;=6,VALUE(MID(답안입력!$D4,6,1)),IF(답안입력!J4="","",답안입력!J4)))</f>
        <v/>
      </c>
      <c r="K4" s="72">
        <f>IF($A4="","",IF(LEN(답안입력!$D4)&gt;=7,VALUE(MID(답안입력!$D4,7,1)),IF(답안입력!K4="","",답안입력!K4)))</f>
        <v/>
      </c>
      <c r="L4" s="72">
        <f>IF($A4="","",IF(LEN(답안입력!$D4)&gt;=8,VALUE(MID(답안입력!$D4,8,1)),IF(답안입력!L4="","",답안입력!L4)))</f>
        <v/>
      </c>
      <c r="M4" s="72">
        <f>IF($A4="","",IF(LEN(답안입력!$D4)&gt;=9,VALUE(MID(답안입력!$D4,9,1)),IF(답안입력!M4="","",답안입력!M4)))</f>
        <v/>
      </c>
      <c r="N4" s="72">
        <f>IF($A4="","",IF(LEN(답안입력!$D4)&gt;=10,VALUE(MID(답안입력!$D4,10,1)),IF(답안입력!N4="","",답안입력!N4)))</f>
        <v/>
      </c>
      <c r="O4" s="72">
        <f>IF($A4="","",IF(LEN(답안입력!$D4)&gt;=11,VALUE(MID(답안입력!$D4,11,1)),IF(답안입력!O4="","",답안입력!O4)))</f>
        <v/>
      </c>
      <c r="P4" s="72">
        <f>IF($A4="","",IF(LEN(답안입력!$D4)&gt;=12,VALUE(MID(답안입력!$D4,12,1)),IF(답안입력!P4="","",답안입력!P4)))</f>
        <v/>
      </c>
      <c r="Q4" s="72">
        <f>IF($A4="","",IF(LEN(답안입력!$D4)&gt;=13,VALUE(MID(답안입력!$D4,13,1)),IF(답안입력!Q4="","",답안입력!Q4)))</f>
        <v/>
      </c>
      <c r="R4" s="72">
        <f>IF($A4="","",IF(LEN(답안입력!$D4)&gt;=14,VALUE(MID(답안입력!$D4,14,1)),IF(답안입력!R4="","",답안입력!R4)))</f>
        <v/>
      </c>
      <c r="S4" s="72">
        <f>IF($A4="","",IF(LEN(답안입력!$D4)&gt;=15,VALUE(MID(답안입력!$D4,15,1)),IF(답안입력!S4="","",답안입력!S4)))</f>
        <v/>
      </c>
      <c r="T4" s="72">
        <f>IF($A4="","",IF(LEN(답안입력!$D4)&gt;=16,VALUE(MID(답안입력!$D4,16,1)),IF(답안입력!T4="","",답안입력!T4)))</f>
        <v/>
      </c>
      <c r="U4" s="72">
        <f>IF($A4="","",IF(LEN(답안입력!$D4)&gt;=17,VALUE(MID(답안입력!$D4,17,1)),IF(답안입력!U4="","",답안입력!U4)))</f>
        <v/>
      </c>
      <c r="V4" s="72">
        <f>IF($A4="","",IF(LEN(답안입력!$D4)&gt;=18,VALUE(MID(답안입력!$D4,18,1)),IF(답안입력!V4="","",답안입력!V4)))</f>
        <v/>
      </c>
      <c r="W4" s="72">
        <f>IF($A4="","",IF(LEN(답안입력!$D4)&gt;=19,VALUE(MID(답안입력!$D4,19,1)),IF(답안입력!W4="","",답안입력!W4)))</f>
        <v/>
      </c>
      <c r="X4" s="72">
        <f>IF($A4="","",IF(LEN(답안입력!$D4)&gt;=20,VALUE(MID(답안입력!$D4,20,1)),IF(답안입력!X4="","",답안입력!X4)))</f>
        <v/>
      </c>
      <c r="Y4" s="72">
        <f>IF($A4="","",IF(LEN(답안입력!$D4)&gt;=21,VALUE(MID(답안입력!$D4,21,1)),IF(답안입력!Y4="","",답안입력!Y4)))</f>
        <v/>
      </c>
      <c r="Z4" s="72">
        <f>IF($A4="","",IF(LEN(답안입력!$D4)&gt;=22,VALUE(MID(답안입력!$D4,22,1)),IF(답안입력!Z4="","",답안입력!Z4)))</f>
        <v/>
      </c>
      <c r="AA4" s="72">
        <f>IF($A4="","",IF(LEN(답안입력!$D4)&gt;=23,VALUE(MID(답안입력!$D4,23,1)),IF(답안입력!AA4="","",답안입력!AA4)))</f>
        <v/>
      </c>
      <c r="AB4" s="72">
        <f>IF($A4="","",IF(LEN(답안입력!$D4)&gt;=24,VALUE(MID(답안입력!$D4,24,1)),IF(답안입력!AB4="","",답안입력!AB4)))</f>
        <v/>
      </c>
      <c r="AC4" s="72">
        <f>IF($A4="","",IF(LEN(답안입력!$D4)&gt;=25,VALUE(MID(답안입력!$D4,25,1)),IF(답안입력!AC4="","",답안입력!AC4)))</f>
        <v/>
      </c>
      <c r="AD4" s="72">
        <f>IF($A4="","",IF(LEN(답안입력!$D4)&gt;=26,VALUE(MID(답안입력!$D4,26,1)),IF(답안입력!AD4="","",답안입력!AD4)))</f>
        <v/>
      </c>
      <c r="AE4" s="72">
        <f>IF($A4="","",IF(LEN(답안입력!$D4)&gt;=27,VALUE(MID(답안입력!$D4,27,1)),IF(답안입력!AE4="","",답안입력!AE4)))</f>
        <v/>
      </c>
      <c r="AF4" s="72">
        <f>IF($A4="","",IF(LEN(답안입력!$D4)&gt;=28,VALUE(MID(답안입력!$D4,28,1)),IF(답안입력!AF4="","",답안입력!AF4)))</f>
        <v/>
      </c>
      <c r="AG4" s="72">
        <f>IF($A4="","",IF(LEN(답안입력!$D4)&gt;=29,VALUE(MID(답안입력!$D4,29,1)),IF(답안입력!AG4="","",답안입력!AG4)))</f>
        <v/>
      </c>
      <c r="AH4" s="72">
        <f>IF($A4="","",IF(LEN(답안입력!$D4)&gt;=30,VALUE(MID(답안입력!$D4,30,1)),IF(답안입력!AH4="","",답안입력!AH4)))</f>
        <v/>
      </c>
      <c r="AI4" s="72">
        <f>IF($A4="","",IF(LEN(답안입력!$D4)&gt;=31,VALUE(MID(답안입력!$D4,31,1)),IF(답안입력!AI4="","",답안입력!AI4)))</f>
        <v/>
      </c>
      <c r="AJ4" s="72">
        <f>IF($A4="","",IF(LEN(답안입력!$D4)&gt;=32,VALUE(MID(답안입력!$D4,32,1)),IF(답안입력!AJ4="","",답안입력!AJ4)))</f>
        <v/>
      </c>
      <c r="AK4" s="72">
        <f>IF($A4="","",IF(LEN(답안입력!$D4)&gt;=33,VALUE(MID(답안입력!$D4,33,1)),IF(답안입력!AK4="","",답안입력!AK4)))</f>
        <v/>
      </c>
      <c r="AL4" s="72">
        <f>IF($A4="","",IF(LEN(답안입력!$D4)&gt;=34,VALUE(MID(답안입력!$D4,34,1)),IF(답안입력!AL4="","",답안입력!AL4)))</f>
        <v/>
      </c>
      <c r="AM4" s="72">
        <f>IF($A4="","",IF(LEN(답안입력!$D4)&gt;=35,VALUE(MID(답안입력!$D4,35,1)),IF(답안입력!AM4="","",답안입력!AM4)))</f>
        <v/>
      </c>
      <c r="AN4" s="72">
        <f>IF($A4="","",IF(LEN(답안입력!$D4)&gt;=36,VALUE(MID(답안입력!$D4,36,1)),IF(답안입력!AN4="","",답안입력!AN4)))</f>
        <v/>
      </c>
      <c r="AO4" s="72">
        <f>IF($A4="","",IF(LEN(답안입력!$D4)&gt;=37,VALUE(MID(답안입력!$D4,37,1)),IF(답안입력!AO4="","",답안입력!AO4)))</f>
        <v/>
      </c>
      <c r="AP4" s="72">
        <f>IF($A4="","",IF(LEN(답안입력!$D4)&gt;=38,VALUE(MID(답안입력!$D4,38,1)),IF(답안입력!AP4="","",답안입력!AP4)))</f>
        <v/>
      </c>
      <c r="AQ4" s="72">
        <f>IF($A4="","",IF(LEN(답안입력!$D4)&gt;=39,VALUE(MID(답안입력!$D4,39,1)),IF(답안입력!AQ4="","",답안입력!AQ4)))</f>
        <v/>
      </c>
      <c r="AR4" s="72">
        <f>IF($A4="","",IF(LEN(답안입력!$D4)&gt;=40,VALUE(MID(답안입력!$D4,40,1)),IF(답안입력!AR4="","",답안입력!AR4)))</f>
        <v/>
      </c>
      <c r="AS4" s="72">
        <f>IF($A4="","",IF(LEN(답안입력!$D4)&gt;=41,VALUE(MID(답안입력!$D4,41,1)),IF(답안입력!AS4="","",답안입력!AS4)))</f>
        <v/>
      </c>
      <c r="AT4" s="72">
        <f>IF($A4="","",IF(LEN(답안입력!$D4)&gt;=42,VALUE(MID(답안입력!$D4,42,1)),IF(답안입력!AT4="","",답안입력!AT4)))</f>
        <v/>
      </c>
      <c r="AU4" s="72">
        <f>IF($A4="","",IF(LEN(답안입력!$D4)&gt;=43,VALUE(MID(답안입력!$D4,43,1)),IF(답안입력!AU4="","",답안입력!AU4)))</f>
        <v/>
      </c>
      <c r="AV4" s="72">
        <f>IF($A4="","",IF(LEN(답안입력!$D4)&gt;=44,VALUE(MID(답안입력!$D4,44,1)),IF(답안입력!AV4="","",답안입력!AV4)))</f>
        <v/>
      </c>
      <c r="AW4" s="72">
        <f>IF($A4="","",IF(LEN(답안입력!$D4)&gt;=45,VALUE(MID(답안입력!$D4,45,1)),IF(답안입력!AW4="","",답안입력!AW4)))</f>
        <v/>
      </c>
      <c r="AX4" s="72">
        <f>IF($A4="","",IF(E4="",0,IF(E4=IF($B4="언어와 매체",자동계산!$D$4,자동계산!$B$4),IF($B4="언어와 매체",자동계산!$E$4,자동계산!$C$4),0)))</f>
        <v/>
      </c>
      <c r="AY4" s="72">
        <f>IF($A4="","",IF(F4="",0,IF(F4=IF($B4="언어와 매체",자동계산!$D$5,자동계산!$B$5),IF($B4="언어와 매체",자동계산!$E$5,자동계산!$C$5),0)))</f>
        <v/>
      </c>
      <c r="AZ4" s="72">
        <f>IF($A4="","",IF(G4="",0,IF(G4=IF($B4="언어와 매체",자동계산!$D$6,자동계산!$B$6),IF($B4="언어와 매체",자동계산!$E$6,자동계산!$C$6),0)))</f>
        <v/>
      </c>
      <c r="BA4" s="72">
        <f>IF($A4="","",IF(H4="",0,IF(H4=IF($B4="언어와 매체",자동계산!$D$7,자동계산!$B$7),IF($B4="언어와 매체",자동계산!$E$7,자동계산!$C$7),0)))</f>
        <v/>
      </c>
      <c r="BB4" s="72">
        <f>IF($A4="","",IF(I4="",0,IF(I4=IF($B4="언어와 매체",자동계산!$D$8,자동계산!$B$8),IF($B4="언어와 매체",자동계산!$E$8,자동계산!$C$8),0)))</f>
        <v/>
      </c>
      <c r="BC4" s="72">
        <f>IF($A4="","",IF(J4="",0,IF(J4=IF($B4="언어와 매체",자동계산!$D$9,자동계산!$B$9),IF($B4="언어와 매체",자동계산!$E$9,자동계산!$C$9),0)))</f>
        <v/>
      </c>
      <c r="BD4" s="72">
        <f>IF($A4="","",IF(K4="",0,IF(K4=IF($B4="언어와 매체",자동계산!$D$10,자동계산!$B$10),IF($B4="언어와 매체",자동계산!$E$10,자동계산!$C$10),0)))</f>
        <v/>
      </c>
      <c r="BE4" s="72">
        <f>IF($A4="","",IF(L4="",0,IF(L4=IF($B4="언어와 매체",자동계산!$D$11,자동계산!$B$11),IF($B4="언어와 매체",자동계산!$E$11,자동계산!$C$11),0)))</f>
        <v/>
      </c>
      <c r="BF4" s="72">
        <f>IF($A4="","",IF(M4="",0,IF(M4=IF($B4="언어와 매체",자동계산!$D$12,자동계산!$B$12),IF($B4="언어와 매체",자동계산!$E$12,자동계산!$C$12),0)))</f>
        <v/>
      </c>
      <c r="BG4" s="72">
        <f>IF($A4="","",IF(N4="",0,IF(N4=IF($B4="언어와 매체",자동계산!$D$13,자동계산!$B$13),IF($B4="언어와 매체",자동계산!$E$13,자동계산!$C$13),0)))</f>
        <v/>
      </c>
      <c r="BH4" s="72">
        <f>IF($A4="","",IF(O4="",0,IF(O4=IF($B4="언어와 매체",자동계산!$D$14,자동계산!$B$14),IF($B4="언어와 매체",자동계산!$E$14,자동계산!$C$14),0)))</f>
        <v/>
      </c>
      <c r="BI4" s="72">
        <f>IF($A4="","",IF(P4="",0,IF(P4=IF($B4="언어와 매체",자동계산!$D$15,자동계산!$B$15),IF($B4="언어와 매체",자동계산!$E$15,자동계산!$C$15),0)))</f>
        <v/>
      </c>
      <c r="BJ4" s="72">
        <f>IF($A4="","",IF(Q4="",0,IF(Q4=IF($B4="언어와 매체",자동계산!$D$16,자동계산!$B$16),IF($B4="언어와 매체",자동계산!$E$16,자동계산!$C$16),0)))</f>
        <v/>
      </c>
      <c r="BK4" s="72">
        <f>IF($A4="","",IF(R4="",0,IF(R4=IF($B4="언어와 매체",자동계산!$D$17,자동계산!$B$17),IF($B4="언어와 매체",자동계산!$E$17,자동계산!$C$17),0)))</f>
        <v/>
      </c>
      <c r="BL4" s="72">
        <f>IF($A4="","",IF(S4="",0,IF(S4=IF($B4="언어와 매체",자동계산!$D$18,자동계산!$B$18),IF($B4="언어와 매체",자동계산!$E$18,자동계산!$C$18),0)))</f>
        <v/>
      </c>
      <c r="BM4" s="72">
        <f>IF($A4="","",IF(T4="",0,IF(T4=IF($B4="언어와 매체",자동계산!$D$19,자동계산!$B$19),IF($B4="언어와 매체",자동계산!$E$19,자동계산!$C$19),0)))</f>
        <v/>
      </c>
      <c r="BN4" s="72">
        <f>IF($A4="","",IF(U4="",0,IF(U4=IF($B4="언어와 매체",자동계산!$D$20,자동계산!$B$20),IF($B4="언어와 매체",자동계산!$E$20,자동계산!$C$20),0)))</f>
        <v/>
      </c>
      <c r="BO4" s="72">
        <f>IF($A4="","",IF(V4="",0,IF(V4=IF($B4="언어와 매체",자동계산!$D$21,자동계산!$B$21),IF($B4="언어와 매체",자동계산!$E$21,자동계산!$C$21),0)))</f>
        <v/>
      </c>
      <c r="BP4" s="72">
        <f>IF($A4="","",IF(W4="",0,IF(W4=IF($B4="언어와 매체",자동계산!$D$22,자동계산!$B$22),IF($B4="언어와 매체",자동계산!$E$22,자동계산!$C$22),0)))</f>
        <v/>
      </c>
      <c r="BQ4" s="72">
        <f>IF($A4="","",IF(X4="",0,IF(X4=IF($B4="언어와 매체",자동계산!$D$23,자동계산!$B$23),IF($B4="언어와 매체",자동계산!$E$23,자동계산!$C$23),0)))</f>
        <v/>
      </c>
      <c r="BR4" s="72">
        <f>IF($A4="","",IF(Y4="",0,IF(Y4=IF($B4="언어와 매체",자동계산!$D$24,자동계산!$B$24),IF($B4="언어와 매체",자동계산!$E$24,자동계산!$C$24),0)))</f>
        <v/>
      </c>
      <c r="BS4" s="72">
        <f>IF($A4="","",IF(Z4="",0,IF(Z4=IF($B4="언어와 매체",자동계산!$D$25,자동계산!$B$25),IF($B4="언어와 매체",자동계산!$E$25,자동계산!$C$25),0)))</f>
        <v/>
      </c>
      <c r="BT4" s="72">
        <f>IF($A4="","",IF(AA4="",0,IF(AA4=IF($B4="언어와 매체",자동계산!$D$26,자동계산!$B$26),IF($B4="언어와 매체",자동계산!$E$26,자동계산!$C$26),0)))</f>
        <v/>
      </c>
      <c r="BU4" s="72">
        <f>IF($A4="","",IF(AB4="",0,IF(AB4=IF($B4="언어와 매체",자동계산!$D$27,자동계산!$B$27),IF($B4="언어와 매체",자동계산!$E$27,자동계산!$C$27),0)))</f>
        <v/>
      </c>
      <c r="BV4" s="72">
        <f>IF($A4="","",IF(AC4="",0,IF(AC4=IF($B4="언어와 매체",자동계산!$D$28,자동계산!$B$28),IF($B4="언어와 매체",자동계산!$E$28,자동계산!$C$28),0)))</f>
        <v/>
      </c>
      <c r="BW4" s="72">
        <f>IF($A4="","",IF(AD4="",0,IF(AD4=IF($B4="언어와 매체",자동계산!$D$29,자동계산!$B$29),IF($B4="언어와 매체",자동계산!$E$29,자동계산!$C$29),0)))</f>
        <v/>
      </c>
      <c r="BX4" s="72">
        <f>IF($A4="","",IF(AE4="",0,IF(AE4=IF($B4="언어와 매체",자동계산!$D$30,자동계산!$B$30),IF($B4="언어와 매체",자동계산!$E$30,자동계산!$C$30),0)))</f>
        <v/>
      </c>
      <c r="BY4" s="72">
        <f>IF($A4="","",IF(AF4="",0,IF(AF4=IF($B4="언어와 매체",자동계산!$D$31,자동계산!$B$31),IF($B4="언어와 매체",자동계산!$E$31,자동계산!$C$31),0)))</f>
        <v/>
      </c>
      <c r="BZ4" s="72">
        <f>IF($A4="","",IF(AG4="",0,IF(AG4=IF($B4="언어와 매체",자동계산!$D$32,자동계산!$B$32),IF($B4="언어와 매체",자동계산!$E$32,자동계산!$C$32),0)))</f>
        <v/>
      </c>
      <c r="CA4" s="72">
        <f>IF($A4="","",IF(AH4="",0,IF(AH4=IF($B4="언어와 매체",자동계산!$D$33,자동계산!$B$33),IF($B4="언어와 매체",자동계산!$E$33,자동계산!$C$33),0)))</f>
        <v/>
      </c>
      <c r="CB4" s="72">
        <f>IF($A4="","",IF(AI4="",0,IF(AI4=IF($B4="언어와 매체",자동계산!$D$34,자동계산!$B$34),IF($B4="언어와 매체",자동계산!$E$34,자동계산!$C$34),0)))</f>
        <v/>
      </c>
      <c r="CC4" s="72">
        <f>IF($A4="","",IF(AJ4="",0,IF(AJ4=IF($B4="언어와 매체",자동계산!$D$35,자동계산!$B$35),IF($B4="언어와 매체",자동계산!$E$35,자동계산!$C$35),0)))</f>
        <v/>
      </c>
      <c r="CD4" s="72">
        <f>IF($A4="","",IF(AK4="",0,IF(AK4=IF($B4="언어와 매체",자동계산!$D$36,자동계산!$B$36),IF($B4="언어와 매체",자동계산!$E$36,자동계산!$C$36),0)))</f>
        <v/>
      </c>
      <c r="CE4" s="72">
        <f>IF($A4="","",IF(AL4="",0,IF(AL4=IF($B4="언어와 매체",자동계산!$D$37,자동계산!$B$37),IF($B4="언어와 매체",자동계산!$E$37,자동계산!$C$37),0)))</f>
        <v/>
      </c>
      <c r="CF4" s="72">
        <f>IF($A4="","",IF(AM4="",0,IF(AM4=IF($B4="언어와 매체",자동계산!$D$38,자동계산!$B$38),IF($B4="언어와 매체",자동계산!$E$38,자동계산!$C$38),0)))</f>
        <v/>
      </c>
      <c r="CG4" s="72">
        <f>IF($A4="","",IF(AN4="",0,IF(AN4=IF($B4="언어와 매체",자동계산!$D$39,자동계산!$B$39),IF($B4="언어와 매체",자동계산!$E$39,자동계산!$C$39),0)))</f>
        <v/>
      </c>
      <c r="CH4" s="72">
        <f>IF($A4="","",IF(AO4="",0,IF(AO4=IF($B4="언어와 매체",자동계산!$D$40,자동계산!$B$40),IF($B4="언어와 매체",자동계산!$E$40,자동계산!$C$40),0)))</f>
        <v/>
      </c>
      <c r="CI4" s="72">
        <f>IF($A4="","",IF(AP4="",0,IF(AP4=IF($B4="언어와 매체",자동계산!$D$41,자동계산!$B$41),IF($B4="언어와 매체",자동계산!$E$41,자동계산!$C$41),0)))</f>
        <v/>
      </c>
      <c r="CJ4" s="72">
        <f>IF($A4="","",IF(AQ4="",0,IF(AQ4=IF($B4="언어와 매체",자동계산!$D$42,자동계산!$B$42),IF($B4="언어와 매체",자동계산!$E$42,자동계산!$C$42),0)))</f>
        <v/>
      </c>
      <c r="CK4" s="72">
        <f>IF($A4="","",IF(AR4="",0,IF(AR4=IF($B4="언어와 매체",자동계산!$D$43,자동계산!$B$43),IF($B4="언어와 매체",자동계산!$E$43,자동계산!$C$43),0)))</f>
        <v/>
      </c>
      <c r="CL4" s="72">
        <f>IF($A4="","",IF(AS4="",0,IF(AS4=IF($B4="언어와 매체",자동계산!$D$44,자동계산!$B$44),IF($B4="언어와 매체",자동계산!$E$44,자동계산!$C$44),0)))</f>
        <v/>
      </c>
      <c r="CM4" s="72">
        <f>IF($A4="","",IF(AT4="",0,IF(AT4=IF($B4="언어와 매체",자동계산!$D$45,자동계산!$B$45),IF($B4="언어와 매체",자동계산!$E$45,자동계산!$C$45),0)))</f>
        <v/>
      </c>
      <c r="CN4" s="72">
        <f>IF($A4="","",IF(AU4="",0,IF(AU4=IF($B4="언어와 매체",자동계산!$D$46,자동계산!$B$46),IF($B4="언어와 매체",자동계산!$E$46,자동계산!$C$46),0)))</f>
        <v/>
      </c>
      <c r="CO4" s="72">
        <f>IF($A4="","",IF(AV4="",0,IF(AV4=IF($B4="언어와 매체",자동계산!$D$47,자동계산!$B$47),IF($B4="언어와 매체",자동계산!$E$47,자동계산!$C$47),0)))</f>
        <v/>
      </c>
      <c r="CP4" s="72">
        <f>IF($A4="","",IF(AW4="",0,IF(AW4=IF($B4="언어와 매체",자동계산!$D$48,자동계산!$B$48),IF($B4="언어와 매체",자동계산!$E$48,자동계산!$C$48),0)))</f>
        <v/>
      </c>
    </row>
    <row r="5">
      <c r="A5" s="70">
        <f>IF(답안입력!A5="","",답안입력!A5)</f>
        <v/>
      </c>
      <c r="B5" s="70">
        <f>IF($A5="","",답안입력!C5)</f>
        <v/>
      </c>
      <c r="C5" s="71">
        <f>IF($A5="","",SUM(AX5:CP5))</f>
        <v/>
      </c>
      <c r="D5" s="70">
        <f>IF($A5="","",IF($C5&gt;=IF($B5="언어와 매체",회차설정!$B$9,회차설정!$B$8),"1등급",IF($C5&gt;=IF($B5="언어와 매체",회차설정!$C$9,회차설정!$C$8),"2등급",IF($C5&gt;=IF($B5="언어와 매체",회차설정!$D$9,회차설정!$D$8),"3등급",IF($C5&gt;=IF($B5="언어와 매체",회차설정!$E$9,회차설정!$E$8),"4등급","등급 외")))))</f>
        <v/>
      </c>
      <c r="E5" s="72">
        <f>IF($A5="","",IF(LEN(답안입력!$D5)&gt;=1,VALUE(MID(답안입력!$D5,1,1)),IF(답안입력!E5="","",답안입력!E5)))</f>
        <v/>
      </c>
      <c r="F5" s="72">
        <f>IF($A5="","",IF(LEN(답안입력!$D5)&gt;=2,VALUE(MID(답안입력!$D5,2,1)),IF(답안입력!F5="","",답안입력!F5)))</f>
        <v/>
      </c>
      <c r="G5" s="72">
        <f>IF($A5="","",IF(LEN(답안입력!$D5)&gt;=3,VALUE(MID(답안입력!$D5,3,1)),IF(답안입력!G5="","",답안입력!G5)))</f>
        <v/>
      </c>
      <c r="H5" s="72">
        <f>IF($A5="","",IF(LEN(답안입력!$D5)&gt;=4,VALUE(MID(답안입력!$D5,4,1)),IF(답안입력!H5="","",답안입력!H5)))</f>
        <v/>
      </c>
      <c r="I5" s="72">
        <f>IF($A5="","",IF(LEN(답안입력!$D5)&gt;=5,VALUE(MID(답안입력!$D5,5,1)),IF(답안입력!I5="","",답안입력!I5)))</f>
        <v/>
      </c>
      <c r="J5" s="72">
        <f>IF($A5="","",IF(LEN(답안입력!$D5)&gt;=6,VALUE(MID(답안입력!$D5,6,1)),IF(답안입력!J5="","",답안입력!J5)))</f>
        <v/>
      </c>
      <c r="K5" s="72">
        <f>IF($A5="","",IF(LEN(답안입력!$D5)&gt;=7,VALUE(MID(답안입력!$D5,7,1)),IF(답안입력!K5="","",답안입력!K5)))</f>
        <v/>
      </c>
      <c r="L5" s="72">
        <f>IF($A5="","",IF(LEN(답안입력!$D5)&gt;=8,VALUE(MID(답안입력!$D5,8,1)),IF(답안입력!L5="","",답안입력!L5)))</f>
        <v/>
      </c>
      <c r="M5" s="72">
        <f>IF($A5="","",IF(LEN(답안입력!$D5)&gt;=9,VALUE(MID(답안입력!$D5,9,1)),IF(답안입력!M5="","",답안입력!M5)))</f>
        <v/>
      </c>
      <c r="N5" s="72">
        <f>IF($A5="","",IF(LEN(답안입력!$D5)&gt;=10,VALUE(MID(답안입력!$D5,10,1)),IF(답안입력!N5="","",답안입력!N5)))</f>
        <v/>
      </c>
      <c r="O5" s="72">
        <f>IF($A5="","",IF(LEN(답안입력!$D5)&gt;=11,VALUE(MID(답안입력!$D5,11,1)),IF(답안입력!O5="","",답안입력!O5)))</f>
        <v/>
      </c>
      <c r="P5" s="72">
        <f>IF($A5="","",IF(LEN(답안입력!$D5)&gt;=12,VALUE(MID(답안입력!$D5,12,1)),IF(답안입력!P5="","",답안입력!P5)))</f>
        <v/>
      </c>
      <c r="Q5" s="72">
        <f>IF($A5="","",IF(LEN(답안입력!$D5)&gt;=13,VALUE(MID(답안입력!$D5,13,1)),IF(답안입력!Q5="","",답안입력!Q5)))</f>
        <v/>
      </c>
      <c r="R5" s="72">
        <f>IF($A5="","",IF(LEN(답안입력!$D5)&gt;=14,VALUE(MID(답안입력!$D5,14,1)),IF(답안입력!R5="","",답안입력!R5)))</f>
        <v/>
      </c>
      <c r="S5" s="72">
        <f>IF($A5="","",IF(LEN(답안입력!$D5)&gt;=15,VALUE(MID(답안입력!$D5,15,1)),IF(답안입력!S5="","",답안입력!S5)))</f>
        <v/>
      </c>
      <c r="T5" s="72">
        <f>IF($A5="","",IF(LEN(답안입력!$D5)&gt;=16,VALUE(MID(답안입력!$D5,16,1)),IF(답안입력!T5="","",답안입력!T5)))</f>
        <v/>
      </c>
      <c r="U5" s="72">
        <f>IF($A5="","",IF(LEN(답안입력!$D5)&gt;=17,VALUE(MID(답안입력!$D5,17,1)),IF(답안입력!U5="","",답안입력!U5)))</f>
        <v/>
      </c>
      <c r="V5" s="72">
        <f>IF($A5="","",IF(LEN(답안입력!$D5)&gt;=18,VALUE(MID(답안입력!$D5,18,1)),IF(답안입력!V5="","",답안입력!V5)))</f>
        <v/>
      </c>
      <c r="W5" s="72">
        <f>IF($A5="","",IF(LEN(답안입력!$D5)&gt;=19,VALUE(MID(답안입력!$D5,19,1)),IF(답안입력!W5="","",답안입력!W5)))</f>
        <v/>
      </c>
      <c r="X5" s="72">
        <f>IF($A5="","",IF(LEN(답안입력!$D5)&gt;=20,VALUE(MID(답안입력!$D5,20,1)),IF(답안입력!X5="","",답안입력!X5)))</f>
        <v/>
      </c>
      <c r="Y5" s="72">
        <f>IF($A5="","",IF(LEN(답안입력!$D5)&gt;=21,VALUE(MID(답안입력!$D5,21,1)),IF(답안입력!Y5="","",답안입력!Y5)))</f>
        <v/>
      </c>
      <c r="Z5" s="72">
        <f>IF($A5="","",IF(LEN(답안입력!$D5)&gt;=22,VALUE(MID(답안입력!$D5,22,1)),IF(답안입력!Z5="","",답안입력!Z5)))</f>
        <v/>
      </c>
      <c r="AA5" s="72">
        <f>IF($A5="","",IF(LEN(답안입력!$D5)&gt;=23,VALUE(MID(답안입력!$D5,23,1)),IF(답안입력!AA5="","",답안입력!AA5)))</f>
        <v/>
      </c>
      <c r="AB5" s="72">
        <f>IF($A5="","",IF(LEN(답안입력!$D5)&gt;=24,VALUE(MID(답안입력!$D5,24,1)),IF(답안입력!AB5="","",답안입력!AB5)))</f>
        <v/>
      </c>
      <c r="AC5" s="72">
        <f>IF($A5="","",IF(LEN(답안입력!$D5)&gt;=25,VALUE(MID(답안입력!$D5,25,1)),IF(답안입력!AC5="","",답안입력!AC5)))</f>
        <v/>
      </c>
      <c r="AD5" s="72">
        <f>IF($A5="","",IF(LEN(답안입력!$D5)&gt;=26,VALUE(MID(답안입력!$D5,26,1)),IF(답안입력!AD5="","",답안입력!AD5)))</f>
        <v/>
      </c>
      <c r="AE5" s="72">
        <f>IF($A5="","",IF(LEN(답안입력!$D5)&gt;=27,VALUE(MID(답안입력!$D5,27,1)),IF(답안입력!AE5="","",답안입력!AE5)))</f>
        <v/>
      </c>
      <c r="AF5" s="72">
        <f>IF($A5="","",IF(LEN(답안입력!$D5)&gt;=28,VALUE(MID(답안입력!$D5,28,1)),IF(답안입력!AF5="","",답안입력!AF5)))</f>
        <v/>
      </c>
      <c r="AG5" s="72">
        <f>IF($A5="","",IF(LEN(답안입력!$D5)&gt;=29,VALUE(MID(답안입력!$D5,29,1)),IF(답안입력!AG5="","",답안입력!AG5)))</f>
        <v/>
      </c>
      <c r="AH5" s="72">
        <f>IF($A5="","",IF(LEN(답안입력!$D5)&gt;=30,VALUE(MID(답안입력!$D5,30,1)),IF(답안입력!AH5="","",답안입력!AH5)))</f>
        <v/>
      </c>
      <c r="AI5" s="72">
        <f>IF($A5="","",IF(LEN(답안입력!$D5)&gt;=31,VALUE(MID(답안입력!$D5,31,1)),IF(답안입력!AI5="","",답안입력!AI5)))</f>
        <v/>
      </c>
      <c r="AJ5" s="72">
        <f>IF($A5="","",IF(LEN(답안입력!$D5)&gt;=32,VALUE(MID(답안입력!$D5,32,1)),IF(답안입력!AJ5="","",답안입력!AJ5)))</f>
        <v/>
      </c>
      <c r="AK5" s="72">
        <f>IF($A5="","",IF(LEN(답안입력!$D5)&gt;=33,VALUE(MID(답안입력!$D5,33,1)),IF(답안입력!AK5="","",답안입력!AK5)))</f>
        <v/>
      </c>
      <c r="AL5" s="72">
        <f>IF($A5="","",IF(LEN(답안입력!$D5)&gt;=34,VALUE(MID(답안입력!$D5,34,1)),IF(답안입력!AL5="","",답안입력!AL5)))</f>
        <v/>
      </c>
      <c r="AM5" s="72">
        <f>IF($A5="","",IF(LEN(답안입력!$D5)&gt;=35,VALUE(MID(답안입력!$D5,35,1)),IF(답안입력!AM5="","",답안입력!AM5)))</f>
        <v/>
      </c>
      <c r="AN5" s="72">
        <f>IF($A5="","",IF(LEN(답안입력!$D5)&gt;=36,VALUE(MID(답안입력!$D5,36,1)),IF(답안입력!AN5="","",답안입력!AN5)))</f>
        <v/>
      </c>
      <c r="AO5" s="72">
        <f>IF($A5="","",IF(LEN(답안입력!$D5)&gt;=37,VALUE(MID(답안입력!$D5,37,1)),IF(답안입력!AO5="","",답안입력!AO5)))</f>
        <v/>
      </c>
      <c r="AP5" s="72">
        <f>IF($A5="","",IF(LEN(답안입력!$D5)&gt;=38,VALUE(MID(답안입력!$D5,38,1)),IF(답안입력!AP5="","",답안입력!AP5)))</f>
        <v/>
      </c>
      <c r="AQ5" s="72">
        <f>IF($A5="","",IF(LEN(답안입력!$D5)&gt;=39,VALUE(MID(답안입력!$D5,39,1)),IF(답안입력!AQ5="","",답안입력!AQ5)))</f>
        <v/>
      </c>
      <c r="AR5" s="72">
        <f>IF($A5="","",IF(LEN(답안입력!$D5)&gt;=40,VALUE(MID(답안입력!$D5,40,1)),IF(답안입력!AR5="","",답안입력!AR5)))</f>
        <v/>
      </c>
      <c r="AS5" s="72">
        <f>IF($A5="","",IF(LEN(답안입력!$D5)&gt;=41,VALUE(MID(답안입력!$D5,41,1)),IF(답안입력!AS5="","",답안입력!AS5)))</f>
        <v/>
      </c>
      <c r="AT5" s="72">
        <f>IF($A5="","",IF(LEN(답안입력!$D5)&gt;=42,VALUE(MID(답안입력!$D5,42,1)),IF(답안입력!AT5="","",답안입력!AT5)))</f>
        <v/>
      </c>
      <c r="AU5" s="72">
        <f>IF($A5="","",IF(LEN(답안입력!$D5)&gt;=43,VALUE(MID(답안입력!$D5,43,1)),IF(답안입력!AU5="","",답안입력!AU5)))</f>
        <v/>
      </c>
      <c r="AV5" s="72">
        <f>IF($A5="","",IF(LEN(답안입력!$D5)&gt;=44,VALUE(MID(답안입력!$D5,44,1)),IF(답안입력!AV5="","",답안입력!AV5)))</f>
        <v/>
      </c>
      <c r="AW5" s="72">
        <f>IF($A5="","",IF(LEN(답안입력!$D5)&gt;=45,VALUE(MID(답안입력!$D5,45,1)),IF(답안입력!AW5="","",답안입력!AW5)))</f>
        <v/>
      </c>
      <c r="AX5" s="72">
        <f>IF($A5="","",IF(E5="",0,IF(E5=IF($B5="언어와 매체",자동계산!$D$4,자동계산!$B$4),IF($B5="언어와 매체",자동계산!$E$4,자동계산!$C$4),0)))</f>
        <v/>
      </c>
      <c r="AY5" s="72">
        <f>IF($A5="","",IF(F5="",0,IF(F5=IF($B5="언어와 매체",자동계산!$D$5,자동계산!$B$5),IF($B5="언어와 매체",자동계산!$E$5,자동계산!$C$5),0)))</f>
        <v/>
      </c>
      <c r="AZ5" s="72">
        <f>IF($A5="","",IF(G5="",0,IF(G5=IF($B5="언어와 매체",자동계산!$D$6,자동계산!$B$6),IF($B5="언어와 매체",자동계산!$E$6,자동계산!$C$6),0)))</f>
        <v/>
      </c>
      <c r="BA5" s="72">
        <f>IF($A5="","",IF(H5="",0,IF(H5=IF($B5="언어와 매체",자동계산!$D$7,자동계산!$B$7),IF($B5="언어와 매체",자동계산!$E$7,자동계산!$C$7),0)))</f>
        <v/>
      </c>
      <c r="BB5" s="72">
        <f>IF($A5="","",IF(I5="",0,IF(I5=IF($B5="언어와 매체",자동계산!$D$8,자동계산!$B$8),IF($B5="언어와 매체",자동계산!$E$8,자동계산!$C$8),0)))</f>
        <v/>
      </c>
      <c r="BC5" s="72">
        <f>IF($A5="","",IF(J5="",0,IF(J5=IF($B5="언어와 매체",자동계산!$D$9,자동계산!$B$9),IF($B5="언어와 매체",자동계산!$E$9,자동계산!$C$9),0)))</f>
        <v/>
      </c>
      <c r="BD5" s="72">
        <f>IF($A5="","",IF(K5="",0,IF(K5=IF($B5="언어와 매체",자동계산!$D$10,자동계산!$B$10),IF($B5="언어와 매체",자동계산!$E$10,자동계산!$C$10),0)))</f>
        <v/>
      </c>
      <c r="BE5" s="72">
        <f>IF($A5="","",IF(L5="",0,IF(L5=IF($B5="언어와 매체",자동계산!$D$11,자동계산!$B$11),IF($B5="언어와 매체",자동계산!$E$11,자동계산!$C$11),0)))</f>
        <v/>
      </c>
      <c r="BF5" s="72">
        <f>IF($A5="","",IF(M5="",0,IF(M5=IF($B5="언어와 매체",자동계산!$D$12,자동계산!$B$12),IF($B5="언어와 매체",자동계산!$E$12,자동계산!$C$12),0)))</f>
        <v/>
      </c>
      <c r="BG5" s="72">
        <f>IF($A5="","",IF(N5="",0,IF(N5=IF($B5="언어와 매체",자동계산!$D$13,자동계산!$B$13),IF($B5="언어와 매체",자동계산!$E$13,자동계산!$C$13),0)))</f>
        <v/>
      </c>
      <c r="BH5" s="72">
        <f>IF($A5="","",IF(O5="",0,IF(O5=IF($B5="언어와 매체",자동계산!$D$14,자동계산!$B$14),IF($B5="언어와 매체",자동계산!$E$14,자동계산!$C$14),0)))</f>
        <v/>
      </c>
      <c r="BI5" s="72">
        <f>IF($A5="","",IF(P5="",0,IF(P5=IF($B5="언어와 매체",자동계산!$D$15,자동계산!$B$15),IF($B5="언어와 매체",자동계산!$E$15,자동계산!$C$15),0)))</f>
        <v/>
      </c>
      <c r="BJ5" s="72">
        <f>IF($A5="","",IF(Q5="",0,IF(Q5=IF($B5="언어와 매체",자동계산!$D$16,자동계산!$B$16),IF($B5="언어와 매체",자동계산!$E$16,자동계산!$C$16),0)))</f>
        <v/>
      </c>
      <c r="BK5" s="72">
        <f>IF($A5="","",IF(R5="",0,IF(R5=IF($B5="언어와 매체",자동계산!$D$17,자동계산!$B$17),IF($B5="언어와 매체",자동계산!$E$17,자동계산!$C$17),0)))</f>
        <v/>
      </c>
      <c r="BL5" s="72">
        <f>IF($A5="","",IF(S5="",0,IF(S5=IF($B5="언어와 매체",자동계산!$D$18,자동계산!$B$18),IF($B5="언어와 매체",자동계산!$E$18,자동계산!$C$18),0)))</f>
        <v/>
      </c>
      <c r="BM5" s="72">
        <f>IF($A5="","",IF(T5="",0,IF(T5=IF($B5="언어와 매체",자동계산!$D$19,자동계산!$B$19),IF($B5="언어와 매체",자동계산!$E$19,자동계산!$C$19),0)))</f>
        <v/>
      </c>
      <c r="BN5" s="72">
        <f>IF($A5="","",IF(U5="",0,IF(U5=IF($B5="언어와 매체",자동계산!$D$20,자동계산!$B$20),IF($B5="언어와 매체",자동계산!$E$20,자동계산!$C$20),0)))</f>
        <v/>
      </c>
      <c r="BO5" s="72">
        <f>IF($A5="","",IF(V5="",0,IF(V5=IF($B5="언어와 매체",자동계산!$D$21,자동계산!$B$21),IF($B5="언어와 매체",자동계산!$E$21,자동계산!$C$21),0)))</f>
        <v/>
      </c>
      <c r="BP5" s="72">
        <f>IF($A5="","",IF(W5="",0,IF(W5=IF($B5="언어와 매체",자동계산!$D$22,자동계산!$B$22),IF($B5="언어와 매체",자동계산!$E$22,자동계산!$C$22),0)))</f>
        <v/>
      </c>
      <c r="BQ5" s="72">
        <f>IF($A5="","",IF(X5="",0,IF(X5=IF($B5="언어와 매체",자동계산!$D$23,자동계산!$B$23),IF($B5="언어와 매체",자동계산!$E$23,자동계산!$C$23),0)))</f>
        <v/>
      </c>
      <c r="BR5" s="72">
        <f>IF($A5="","",IF(Y5="",0,IF(Y5=IF($B5="언어와 매체",자동계산!$D$24,자동계산!$B$24),IF($B5="언어와 매체",자동계산!$E$24,자동계산!$C$24),0)))</f>
        <v/>
      </c>
      <c r="BS5" s="72">
        <f>IF($A5="","",IF(Z5="",0,IF(Z5=IF($B5="언어와 매체",자동계산!$D$25,자동계산!$B$25),IF($B5="언어와 매체",자동계산!$E$25,자동계산!$C$25),0)))</f>
        <v/>
      </c>
      <c r="BT5" s="72">
        <f>IF($A5="","",IF(AA5="",0,IF(AA5=IF($B5="언어와 매체",자동계산!$D$26,자동계산!$B$26),IF($B5="언어와 매체",자동계산!$E$26,자동계산!$C$26),0)))</f>
        <v/>
      </c>
      <c r="BU5" s="72">
        <f>IF($A5="","",IF(AB5="",0,IF(AB5=IF($B5="언어와 매체",자동계산!$D$27,자동계산!$B$27),IF($B5="언어와 매체",자동계산!$E$27,자동계산!$C$27),0)))</f>
        <v/>
      </c>
      <c r="BV5" s="72">
        <f>IF($A5="","",IF(AC5="",0,IF(AC5=IF($B5="언어와 매체",자동계산!$D$28,자동계산!$B$28),IF($B5="언어와 매체",자동계산!$E$28,자동계산!$C$28),0)))</f>
        <v/>
      </c>
      <c r="BW5" s="72">
        <f>IF($A5="","",IF(AD5="",0,IF(AD5=IF($B5="언어와 매체",자동계산!$D$29,자동계산!$B$29),IF($B5="언어와 매체",자동계산!$E$29,자동계산!$C$29),0)))</f>
        <v/>
      </c>
      <c r="BX5" s="72">
        <f>IF($A5="","",IF(AE5="",0,IF(AE5=IF($B5="언어와 매체",자동계산!$D$30,자동계산!$B$30),IF($B5="언어와 매체",자동계산!$E$30,자동계산!$C$30),0)))</f>
        <v/>
      </c>
      <c r="BY5" s="72">
        <f>IF($A5="","",IF(AF5="",0,IF(AF5=IF($B5="언어와 매체",자동계산!$D$31,자동계산!$B$31),IF($B5="언어와 매체",자동계산!$E$31,자동계산!$C$31),0)))</f>
        <v/>
      </c>
      <c r="BZ5" s="72">
        <f>IF($A5="","",IF(AG5="",0,IF(AG5=IF($B5="언어와 매체",자동계산!$D$32,자동계산!$B$32),IF($B5="언어와 매체",자동계산!$E$32,자동계산!$C$32),0)))</f>
        <v/>
      </c>
      <c r="CA5" s="72">
        <f>IF($A5="","",IF(AH5="",0,IF(AH5=IF($B5="언어와 매체",자동계산!$D$33,자동계산!$B$33),IF($B5="언어와 매체",자동계산!$E$33,자동계산!$C$33),0)))</f>
        <v/>
      </c>
      <c r="CB5" s="72">
        <f>IF($A5="","",IF(AI5="",0,IF(AI5=IF($B5="언어와 매체",자동계산!$D$34,자동계산!$B$34),IF($B5="언어와 매체",자동계산!$E$34,자동계산!$C$34),0)))</f>
        <v/>
      </c>
      <c r="CC5" s="72">
        <f>IF($A5="","",IF(AJ5="",0,IF(AJ5=IF($B5="언어와 매체",자동계산!$D$35,자동계산!$B$35),IF($B5="언어와 매체",자동계산!$E$35,자동계산!$C$35),0)))</f>
        <v/>
      </c>
      <c r="CD5" s="72">
        <f>IF($A5="","",IF(AK5="",0,IF(AK5=IF($B5="언어와 매체",자동계산!$D$36,자동계산!$B$36),IF($B5="언어와 매체",자동계산!$E$36,자동계산!$C$36),0)))</f>
        <v/>
      </c>
      <c r="CE5" s="72">
        <f>IF($A5="","",IF(AL5="",0,IF(AL5=IF($B5="언어와 매체",자동계산!$D$37,자동계산!$B$37),IF($B5="언어와 매체",자동계산!$E$37,자동계산!$C$37),0)))</f>
        <v/>
      </c>
      <c r="CF5" s="72">
        <f>IF($A5="","",IF(AM5="",0,IF(AM5=IF($B5="언어와 매체",자동계산!$D$38,자동계산!$B$38),IF($B5="언어와 매체",자동계산!$E$38,자동계산!$C$38),0)))</f>
        <v/>
      </c>
      <c r="CG5" s="72">
        <f>IF($A5="","",IF(AN5="",0,IF(AN5=IF($B5="언어와 매체",자동계산!$D$39,자동계산!$B$39),IF($B5="언어와 매체",자동계산!$E$39,자동계산!$C$39),0)))</f>
        <v/>
      </c>
      <c r="CH5" s="72">
        <f>IF($A5="","",IF(AO5="",0,IF(AO5=IF($B5="언어와 매체",자동계산!$D$40,자동계산!$B$40),IF($B5="언어와 매체",자동계산!$E$40,자동계산!$C$40),0)))</f>
        <v/>
      </c>
      <c r="CI5" s="72">
        <f>IF($A5="","",IF(AP5="",0,IF(AP5=IF($B5="언어와 매체",자동계산!$D$41,자동계산!$B$41),IF($B5="언어와 매체",자동계산!$E$41,자동계산!$C$41),0)))</f>
        <v/>
      </c>
      <c r="CJ5" s="72">
        <f>IF($A5="","",IF(AQ5="",0,IF(AQ5=IF($B5="언어와 매체",자동계산!$D$42,자동계산!$B$42),IF($B5="언어와 매체",자동계산!$E$42,자동계산!$C$42),0)))</f>
        <v/>
      </c>
      <c r="CK5" s="72">
        <f>IF($A5="","",IF(AR5="",0,IF(AR5=IF($B5="언어와 매체",자동계산!$D$43,자동계산!$B$43),IF($B5="언어와 매체",자동계산!$E$43,자동계산!$C$43),0)))</f>
        <v/>
      </c>
      <c r="CL5" s="72">
        <f>IF($A5="","",IF(AS5="",0,IF(AS5=IF($B5="언어와 매체",자동계산!$D$44,자동계산!$B$44),IF($B5="언어와 매체",자동계산!$E$44,자동계산!$C$44),0)))</f>
        <v/>
      </c>
      <c r="CM5" s="72">
        <f>IF($A5="","",IF(AT5="",0,IF(AT5=IF($B5="언어와 매체",자동계산!$D$45,자동계산!$B$45),IF($B5="언어와 매체",자동계산!$E$45,자동계산!$C$45),0)))</f>
        <v/>
      </c>
      <c r="CN5" s="72">
        <f>IF($A5="","",IF(AU5="",0,IF(AU5=IF($B5="언어와 매체",자동계산!$D$46,자동계산!$B$46),IF($B5="언어와 매체",자동계산!$E$46,자동계산!$C$46),0)))</f>
        <v/>
      </c>
      <c r="CO5" s="72">
        <f>IF($A5="","",IF(AV5="",0,IF(AV5=IF($B5="언어와 매체",자동계산!$D$47,자동계산!$B$47),IF($B5="언어와 매체",자동계산!$E$47,자동계산!$C$47),0)))</f>
        <v/>
      </c>
      <c r="CP5" s="72">
        <f>IF($A5="","",IF(AW5="",0,IF(AW5=IF($B5="언어와 매체",자동계산!$D$48,자동계산!$B$48),IF($B5="언어와 매체",자동계산!$E$48,자동계산!$C$48),0)))</f>
        <v/>
      </c>
    </row>
    <row r="6">
      <c r="A6" s="70">
        <f>IF(답안입력!A6="","",답안입력!A6)</f>
        <v/>
      </c>
      <c r="B6" s="70">
        <f>IF($A6="","",답안입력!C6)</f>
        <v/>
      </c>
      <c r="C6" s="71">
        <f>IF($A6="","",SUM(AX6:CP6))</f>
        <v/>
      </c>
      <c r="D6" s="70">
        <f>IF($A6="","",IF($C6&gt;=IF($B6="언어와 매체",회차설정!$B$9,회차설정!$B$8),"1등급",IF($C6&gt;=IF($B6="언어와 매체",회차설정!$C$9,회차설정!$C$8),"2등급",IF($C6&gt;=IF($B6="언어와 매체",회차설정!$D$9,회차설정!$D$8),"3등급",IF($C6&gt;=IF($B6="언어와 매체",회차설정!$E$9,회차설정!$E$8),"4등급","등급 외")))))</f>
        <v/>
      </c>
      <c r="E6" s="72">
        <f>IF($A6="","",IF(LEN(답안입력!$D6)&gt;=1,VALUE(MID(답안입력!$D6,1,1)),IF(답안입력!E6="","",답안입력!E6)))</f>
        <v/>
      </c>
      <c r="F6" s="72">
        <f>IF($A6="","",IF(LEN(답안입력!$D6)&gt;=2,VALUE(MID(답안입력!$D6,2,1)),IF(답안입력!F6="","",답안입력!F6)))</f>
        <v/>
      </c>
      <c r="G6" s="72">
        <f>IF($A6="","",IF(LEN(답안입력!$D6)&gt;=3,VALUE(MID(답안입력!$D6,3,1)),IF(답안입력!G6="","",답안입력!G6)))</f>
        <v/>
      </c>
      <c r="H6" s="72">
        <f>IF($A6="","",IF(LEN(답안입력!$D6)&gt;=4,VALUE(MID(답안입력!$D6,4,1)),IF(답안입력!H6="","",답안입력!H6)))</f>
        <v/>
      </c>
      <c r="I6" s="72">
        <f>IF($A6="","",IF(LEN(답안입력!$D6)&gt;=5,VALUE(MID(답안입력!$D6,5,1)),IF(답안입력!I6="","",답안입력!I6)))</f>
        <v/>
      </c>
      <c r="J6" s="72">
        <f>IF($A6="","",IF(LEN(답안입력!$D6)&gt;=6,VALUE(MID(답안입력!$D6,6,1)),IF(답안입력!J6="","",답안입력!J6)))</f>
        <v/>
      </c>
      <c r="K6" s="72">
        <f>IF($A6="","",IF(LEN(답안입력!$D6)&gt;=7,VALUE(MID(답안입력!$D6,7,1)),IF(답안입력!K6="","",답안입력!K6)))</f>
        <v/>
      </c>
      <c r="L6" s="72">
        <f>IF($A6="","",IF(LEN(답안입력!$D6)&gt;=8,VALUE(MID(답안입력!$D6,8,1)),IF(답안입력!L6="","",답안입력!L6)))</f>
        <v/>
      </c>
      <c r="M6" s="72">
        <f>IF($A6="","",IF(LEN(답안입력!$D6)&gt;=9,VALUE(MID(답안입력!$D6,9,1)),IF(답안입력!M6="","",답안입력!M6)))</f>
        <v/>
      </c>
      <c r="N6" s="72">
        <f>IF($A6="","",IF(LEN(답안입력!$D6)&gt;=10,VALUE(MID(답안입력!$D6,10,1)),IF(답안입력!N6="","",답안입력!N6)))</f>
        <v/>
      </c>
      <c r="O6" s="72">
        <f>IF($A6="","",IF(LEN(답안입력!$D6)&gt;=11,VALUE(MID(답안입력!$D6,11,1)),IF(답안입력!O6="","",답안입력!O6)))</f>
        <v/>
      </c>
      <c r="P6" s="72">
        <f>IF($A6="","",IF(LEN(답안입력!$D6)&gt;=12,VALUE(MID(답안입력!$D6,12,1)),IF(답안입력!P6="","",답안입력!P6)))</f>
        <v/>
      </c>
      <c r="Q6" s="72">
        <f>IF($A6="","",IF(LEN(답안입력!$D6)&gt;=13,VALUE(MID(답안입력!$D6,13,1)),IF(답안입력!Q6="","",답안입력!Q6)))</f>
        <v/>
      </c>
      <c r="R6" s="72">
        <f>IF($A6="","",IF(LEN(답안입력!$D6)&gt;=14,VALUE(MID(답안입력!$D6,14,1)),IF(답안입력!R6="","",답안입력!R6)))</f>
        <v/>
      </c>
      <c r="S6" s="72">
        <f>IF($A6="","",IF(LEN(답안입력!$D6)&gt;=15,VALUE(MID(답안입력!$D6,15,1)),IF(답안입력!S6="","",답안입력!S6)))</f>
        <v/>
      </c>
      <c r="T6" s="72">
        <f>IF($A6="","",IF(LEN(답안입력!$D6)&gt;=16,VALUE(MID(답안입력!$D6,16,1)),IF(답안입력!T6="","",답안입력!T6)))</f>
        <v/>
      </c>
      <c r="U6" s="72">
        <f>IF($A6="","",IF(LEN(답안입력!$D6)&gt;=17,VALUE(MID(답안입력!$D6,17,1)),IF(답안입력!U6="","",답안입력!U6)))</f>
        <v/>
      </c>
      <c r="V6" s="72">
        <f>IF($A6="","",IF(LEN(답안입력!$D6)&gt;=18,VALUE(MID(답안입력!$D6,18,1)),IF(답안입력!V6="","",답안입력!V6)))</f>
        <v/>
      </c>
      <c r="W6" s="72">
        <f>IF($A6="","",IF(LEN(답안입력!$D6)&gt;=19,VALUE(MID(답안입력!$D6,19,1)),IF(답안입력!W6="","",답안입력!W6)))</f>
        <v/>
      </c>
      <c r="X6" s="72">
        <f>IF($A6="","",IF(LEN(답안입력!$D6)&gt;=20,VALUE(MID(답안입력!$D6,20,1)),IF(답안입력!X6="","",답안입력!X6)))</f>
        <v/>
      </c>
      <c r="Y6" s="72">
        <f>IF($A6="","",IF(LEN(답안입력!$D6)&gt;=21,VALUE(MID(답안입력!$D6,21,1)),IF(답안입력!Y6="","",답안입력!Y6)))</f>
        <v/>
      </c>
      <c r="Z6" s="72">
        <f>IF($A6="","",IF(LEN(답안입력!$D6)&gt;=22,VALUE(MID(답안입력!$D6,22,1)),IF(답안입력!Z6="","",답안입력!Z6)))</f>
        <v/>
      </c>
      <c r="AA6" s="72">
        <f>IF($A6="","",IF(LEN(답안입력!$D6)&gt;=23,VALUE(MID(답안입력!$D6,23,1)),IF(답안입력!AA6="","",답안입력!AA6)))</f>
        <v/>
      </c>
      <c r="AB6" s="72">
        <f>IF($A6="","",IF(LEN(답안입력!$D6)&gt;=24,VALUE(MID(답안입력!$D6,24,1)),IF(답안입력!AB6="","",답안입력!AB6)))</f>
        <v/>
      </c>
      <c r="AC6" s="72">
        <f>IF($A6="","",IF(LEN(답안입력!$D6)&gt;=25,VALUE(MID(답안입력!$D6,25,1)),IF(답안입력!AC6="","",답안입력!AC6)))</f>
        <v/>
      </c>
      <c r="AD6" s="72">
        <f>IF($A6="","",IF(LEN(답안입력!$D6)&gt;=26,VALUE(MID(답안입력!$D6,26,1)),IF(답안입력!AD6="","",답안입력!AD6)))</f>
        <v/>
      </c>
      <c r="AE6" s="72">
        <f>IF($A6="","",IF(LEN(답안입력!$D6)&gt;=27,VALUE(MID(답안입력!$D6,27,1)),IF(답안입력!AE6="","",답안입력!AE6)))</f>
        <v/>
      </c>
      <c r="AF6" s="72">
        <f>IF($A6="","",IF(LEN(답안입력!$D6)&gt;=28,VALUE(MID(답안입력!$D6,28,1)),IF(답안입력!AF6="","",답안입력!AF6)))</f>
        <v/>
      </c>
      <c r="AG6" s="72">
        <f>IF($A6="","",IF(LEN(답안입력!$D6)&gt;=29,VALUE(MID(답안입력!$D6,29,1)),IF(답안입력!AG6="","",답안입력!AG6)))</f>
        <v/>
      </c>
      <c r="AH6" s="72">
        <f>IF($A6="","",IF(LEN(답안입력!$D6)&gt;=30,VALUE(MID(답안입력!$D6,30,1)),IF(답안입력!AH6="","",답안입력!AH6)))</f>
        <v/>
      </c>
      <c r="AI6" s="72">
        <f>IF($A6="","",IF(LEN(답안입력!$D6)&gt;=31,VALUE(MID(답안입력!$D6,31,1)),IF(답안입력!AI6="","",답안입력!AI6)))</f>
        <v/>
      </c>
      <c r="AJ6" s="72">
        <f>IF($A6="","",IF(LEN(답안입력!$D6)&gt;=32,VALUE(MID(답안입력!$D6,32,1)),IF(답안입력!AJ6="","",답안입력!AJ6)))</f>
        <v/>
      </c>
      <c r="AK6" s="72">
        <f>IF($A6="","",IF(LEN(답안입력!$D6)&gt;=33,VALUE(MID(답안입력!$D6,33,1)),IF(답안입력!AK6="","",답안입력!AK6)))</f>
        <v/>
      </c>
      <c r="AL6" s="72">
        <f>IF($A6="","",IF(LEN(답안입력!$D6)&gt;=34,VALUE(MID(답안입력!$D6,34,1)),IF(답안입력!AL6="","",답안입력!AL6)))</f>
        <v/>
      </c>
      <c r="AM6" s="72">
        <f>IF($A6="","",IF(LEN(답안입력!$D6)&gt;=35,VALUE(MID(답안입력!$D6,35,1)),IF(답안입력!AM6="","",답안입력!AM6)))</f>
        <v/>
      </c>
      <c r="AN6" s="72">
        <f>IF($A6="","",IF(LEN(답안입력!$D6)&gt;=36,VALUE(MID(답안입력!$D6,36,1)),IF(답안입력!AN6="","",답안입력!AN6)))</f>
        <v/>
      </c>
      <c r="AO6" s="72">
        <f>IF($A6="","",IF(LEN(답안입력!$D6)&gt;=37,VALUE(MID(답안입력!$D6,37,1)),IF(답안입력!AO6="","",답안입력!AO6)))</f>
        <v/>
      </c>
      <c r="AP6" s="72">
        <f>IF($A6="","",IF(LEN(답안입력!$D6)&gt;=38,VALUE(MID(답안입력!$D6,38,1)),IF(답안입력!AP6="","",답안입력!AP6)))</f>
        <v/>
      </c>
      <c r="AQ6" s="72">
        <f>IF($A6="","",IF(LEN(답안입력!$D6)&gt;=39,VALUE(MID(답안입력!$D6,39,1)),IF(답안입력!AQ6="","",답안입력!AQ6)))</f>
        <v/>
      </c>
      <c r="AR6" s="72">
        <f>IF($A6="","",IF(LEN(답안입력!$D6)&gt;=40,VALUE(MID(답안입력!$D6,40,1)),IF(답안입력!AR6="","",답안입력!AR6)))</f>
        <v/>
      </c>
      <c r="AS6" s="72">
        <f>IF($A6="","",IF(LEN(답안입력!$D6)&gt;=41,VALUE(MID(답안입력!$D6,41,1)),IF(답안입력!AS6="","",답안입력!AS6)))</f>
        <v/>
      </c>
      <c r="AT6" s="72">
        <f>IF($A6="","",IF(LEN(답안입력!$D6)&gt;=42,VALUE(MID(답안입력!$D6,42,1)),IF(답안입력!AT6="","",답안입력!AT6)))</f>
        <v/>
      </c>
      <c r="AU6" s="72">
        <f>IF($A6="","",IF(LEN(답안입력!$D6)&gt;=43,VALUE(MID(답안입력!$D6,43,1)),IF(답안입력!AU6="","",답안입력!AU6)))</f>
        <v/>
      </c>
      <c r="AV6" s="72">
        <f>IF($A6="","",IF(LEN(답안입력!$D6)&gt;=44,VALUE(MID(답안입력!$D6,44,1)),IF(답안입력!AV6="","",답안입력!AV6)))</f>
        <v/>
      </c>
      <c r="AW6" s="72">
        <f>IF($A6="","",IF(LEN(답안입력!$D6)&gt;=45,VALUE(MID(답안입력!$D6,45,1)),IF(답안입력!AW6="","",답안입력!AW6)))</f>
        <v/>
      </c>
      <c r="AX6" s="72">
        <f>IF($A6="","",IF(E6="",0,IF(E6=IF($B6="언어와 매체",자동계산!$D$4,자동계산!$B$4),IF($B6="언어와 매체",자동계산!$E$4,자동계산!$C$4),0)))</f>
        <v/>
      </c>
      <c r="AY6" s="72">
        <f>IF($A6="","",IF(F6="",0,IF(F6=IF($B6="언어와 매체",자동계산!$D$5,자동계산!$B$5),IF($B6="언어와 매체",자동계산!$E$5,자동계산!$C$5),0)))</f>
        <v/>
      </c>
      <c r="AZ6" s="72">
        <f>IF($A6="","",IF(G6="",0,IF(G6=IF($B6="언어와 매체",자동계산!$D$6,자동계산!$B$6),IF($B6="언어와 매체",자동계산!$E$6,자동계산!$C$6),0)))</f>
        <v/>
      </c>
      <c r="BA6" s="72">
        <f>IF($A6="","",IF(H6="",0,IF(H6=IF($B6="언어와 매체",자동계산!$D$7,자동계산!$B$7),IF($B6="언어와 매체",자동계산!$E$7,자동계산!$C$7),0)))</f>
        <v/>
      </c>
      <c r="BB6" s="72">
        <f>IF($A6="","",IF(I6="",0,IF(I6=IF($B6="언어와 매체",자동계산!$D$8,자동계산!$B$8),IF($B6="언어와 매체",자동계산!$E$8,자동계산!$C$8),0)))</f>
        <v/>
      </c>
      <c r="BC6" s="72">
        <f>IF($A6="","",IF(J6="",0,IF(J6=IF($B6="언어와 매체",자동계산!$D$9,자동계산!$B$9),IF($B6="언어와 매체",자동계산!$E$9,자동계산!$C$9),0)))</f>
        <v/>
      </c>
      <c r="BD6" s="72">
        <f>IF($A6="","",IF(K6="",0,IF(K6=IF($B6="언어와 매체",자동계산!$D$10,자동계산!$B$10),IF($B6="언어와 매체",자동계산!$E$10,자동계산!$C$10),0)))</f>
        <v/>
      </c>
      <c r="BE6" s="72">
        <f>IF($A6="","",IF(L6="",0,IF(L6=IF($B6="언어와 매체",자동계산!$D$11,자동계산!$B$11),IF($B6="언어와 매체",자동계산!$E$11,자동계산!$C$11),0)))</f>
        <v/>
      </c>
      <c r="BF6" s="72">
        <f>IF($A6="","",IF(M6="",0,IF(M6=IF($B6="언어와 매체",자동계산!$D$12,자동계산!$B$12),IF($B6="언어와 매체",자동계산!$E$12,자동계산!$C$12),0)))</f>
        <v/>
      </c>
      <c r="BG6" s="72">
        <f>IF($A6="","",IF(N6="",0,IF(N6=IF($B6="언어와 매체",자동계산!$D$13,자동계산!$B$13),IF($B6="언어와 매체",자동계산!$E$13,자동계산!$C$13),0)))</f>
        <v/>
      </c>
      <c r="BH6" s="72">
        <f>IF($A6="","",IF(O6="",0,IF(O6=IF($B6="언어와 매체",자동계산!$D$14,자동계산!$B$14),IF($B6="언어와 매체",자동계산!$E$14,자동계산!$C$14),0)))</f>
        <v/>
      </c>
      <c r="BI6" s="72">
        <f>IF($A6="","",IF(P6="",0,IF(P6=IF($B6="언어와 매체",자동계산!$D$15,자동계산!$B$15),IF($B6="언어와 매체",자동계산!$E$15,자동계산!$C$15),0)))</f>
        <v/>
      </c>
      <c r="BJ6" s="72">
        <f>IF($A6="","",IF(Q6="",0,IF(Q6=IF($B6="언어와 매체",자동계산!$D$16,자동계산!$B$16),IF($B6="언어와 매체",자동계산!$E$16,자동계산!$C$16),0)))</f>
        <v/>
      </c>
      <c r="BK6" s="72">
        <f>IF($A6="","",IF(R6="",0,IF(R6=IF($B6="언어와 매체",자동계산!$D$17,자동계산!$B$17),IF($B6="언어와 매체",자동계산!$E$17,자동계산!$C$17),0)))</f>
        <v/>
      </c>
      <c r="BL6" s="72">
        <f>IF($A6="","",IF(S6="",0,IF(S6=IF($B6="언어와 매체",자동계산!$D$18,자동계산!$B$18),IF($B6="언어와 매체",자동계산!$E$18,자동계산!$C$18),0)))</f>
        <v/>
      </c>
      <c r="BM6" s="72">
        <f>IF($A6="","",IF(T6="",0,IF(T6=IF($B6="언어와 매체",자동계산!$D$19,자동계산!$B$19),IF($B6="언어와 매체",자동계산!$E$19,자동계산!$C$19),0)))</f>
        <v/>
      </c>
      <c r="BN6" s="72">
        <f>IF($A6="","",IF(U6="",0,IF(U6=IF($B6="언어와 매체",자동계산!$D$20,자동계산!$B$20),IF($B6="언어와 매체",자동계산!$E$20,자동계산!$C$20),0)))</f>
        <v/>
      </c>
      <c r="BO6" s="72">
        <f>IF($A6="","",IF(V6="",0,IF(V6=IF($B6="언어와 매체",자동계산!$D$21,자동계산!$B$21),IF($B6="언어와 매체",자동계산!$E$21,자동계산!$C$21),0)))</f>
        <v/>
      </c>
      <c r="BP6" s="72">
        <f>IF($A6="","",IF(W6="",0,IF(W6=IF($B6="언어와 매체",자동계산!$D$22,자동계산!$B$22),IF($B6="언어와 매체",자동계산!$E$22,자동계산!$C$22),0)))</f>
        <v/>
      </c>
      <c r="BQ6" s="72">
        <f>IF($A6="","",IF(X6="",0,IF(X6=IF($B6="언어와 매체",자동계산!$D$23,자동계산!$B$23),IF($B6="언어와 매체",자동계산!$E$23,자동계산!$C$23),0)))</f>
        <v/>
      </c>
      <c r="BR6" s="72">
        <f>IF($A6="","",IF(Y6="",0,IF(Y6=IF($B6="언어와 매체",자동계산!$D$24,자동계산!$B$24),IF($B6="언어와 매체",자동계산!$E$24,자동계산!$C$24),0)))</f>
        <v/>
      </c>
      <c r="BS6" s="72">
        <f>IF($A6="","",IF(Z6="",0,IF(Z6=IF($B6="언어와 매체",자동계산!$D$25,자동계산!$B$25),IF($B6="언어와 매체",자동계산!$E$25,자동계산!$C$25),0)))</f>
        <v/>
      </c>
      <c r="BT6" s="72">
        <f>IF($A6="","",IF(AA6="",0,IF(AA6=IF($B6="언어와 매체",자동계산!$D$26,자동계산!$B$26),IF($B6="언어와 매체",자동계산!$E$26,자동계산!$C$26),0)))</f>
        <v/>
      </c>
      <c r="BU6" s="72">
        <f>IF($A6="","",IF(AB6="",0,IF(AB6=IF($B6="언어와 매체",자동계산!$D$27,자동계산!$B$27),IF($B6="언어와 매체",자동계산!$E$27,자동계산!$C$27),0)))</f>
        <v/>
      </c>
      <c r="BV6" s="72">
        <f>IF($A6="","",IF(AC6="",0,IF(AC6=IF($B6="언어와 매체",자동계산!$D$28,자동계산!$B$28),IF($B6="언어와 매체",자동계산!$E$28,자동계산!$C$28),0)))</f>
        <v/>
      </c>
      <c r="BW6" s="72">
        <f>IF($A6="","",IF(AD6="",0,IF(AD6=IF($B6="언어와 매체",자동계산!$D$29,자동계산!$B$29),IF($B6="언어와 매체",자동계산!$E$29,자동계산!$C$29),0)))</f>
        <v/>
      </c>
      <c r="BX6" s="72">
        <f>IF($A6="","",IF(AE6="",0,IF(AE6=IF($B6="언어와 매체",자동계산!$D$30,자동계산!$B$30),IF($B6="언어와 매체",자동계산!$E$30,자동계산!$C$30),0)))</f>
        <v/>
      </c>
      <c r="BY6" s="72">
        <f>IF($A6="","",IF(AF6="",0,IF(AF6=IF($B6="언어와 매체",자동계산!$D$31,자동계산!$B$31),IF($B6="언어와 매체",자동계산!$E$31,자동계산!$C$31),0)))</f>
        <v/>
      </c>
      <c r="BZ6" s="72">
        <f>IF($A6="","",IF(AG6="",0,IF(AG6=IF($B6="언어와 매체",자동계산!$D$32,자동계산!$B$32),IF($B6="언어와 매체",자동계산!$E$32,자동계산!$C$32),0)))</f>
        <v/>
      </c>
      <c r="CA6" s="72">
        <f>IF($A6="","",IF(AH6="",0,IF(AH6=IF($B6="언어와 매체",자동계산!$D$33,자동계산!$B$33),IF($B6="언어와 매체",자동계산!$E$33,자동계산!$C$33),0)))</f>
        <v/>
      </c>
      <c r="CB6" s="72">
        <f>IF($A6="","",IF(AI6="",0,IF(AI6=IF($B6="언어와 매체",자동계산!$D$34,자동계산!$B$34),IF($B6="언어와 매체",자동계산!$E$34,자동계산!$C$34),0)))</f>
        <v/>
      </c>
      <c r="CC6" s="72">
        <f>IF($A6="","",IF(AJ6="",0,IF(AJ6=IF($B6="언어와 매체",자동계산!$D$35,자동계산!$B$35),IF($B6="언어와 매체",자동계산!$E$35,자동계산!$C$35),0)))</f>
        <v/>
      </c>
      <c r="CD6" s="72">
        <f>IF($A6="","",IF(AK6="",0,IF(AK6=IF($B6="언어와 매체",자동계산!$D$36,자동계산!$B$36),IF($B6="언어와 매체",자동계산!$E$36,자동계산!$C$36),0)))</f>
        <v/>
      </c>
      <c r="CE6" s="72">
        <f>IF($A6="","",IF(AL6="",0,IF(AL6=IF($B6="언어와 매체",자동계산!$D$37,자동계산!$B$37),IF($B6="언어와 매체",자동계산!$E$37,자동계산!$C$37),0)))</f>
        <v/>
      </c>
      <c r="CF6" s="72">
        <f>IF($A6="","",IF(AM6="",0,IF(AM6=IF($B6="언어와 매체",자동계산!$D$38,자동계산!$B$38),IF($B6="언어와 매체",자동계산!$E$38,자동계산!$C$38),0)))</f>
        <v/>
      </c>
      <c r="CG6" s="72">
        <f>IF($A6="","",IF(AN6="",0,IF(AN6=IF($B6="언어와 매체",자동계산!$D$39,자동계산!$B$39),IF($B6="언어와 매체",자동계산!$E$39,자동계산!$C$39),0)))</f>
        <v/>
      </c>
      <c r="CH6" s="72">
        <f>IF($A6="","",IF(AO6="",0,IF(AO6=IF($B6="언어와 매체",자동계산!$D$40,자동계산!$B$40),IF($B6="언어와 매체",자동계산!$E$40,자동계산!$C$40),0)))</f>
        <v/>
      </c>
      <c r="CI6" s="72">
        <f>IF($A6="","",IF(AP6="",0,IF(AP6=IF($B6="언어와 매체",자동계산!$D$41,자동계산!$B$41),IF($B6="언어와 매체",자동계산!$E$41,자동계산!$C$41),0)))</f>
        <v/>
      </c>
      <c r="CJ6" s="72">
        <f>IF($A6="","",IF(AQ6="",0,IF(AQ6=IF($B6="언어와 매체",자동계산!$D$42,자동계산!$B$42),IF($B6="언어와 매체",자동계산!$E$42,자동계산!$C$42),0)))</f>
        <v/>
      </c>
      <c r="CK6" s="72">
        <f>IF($A6="","",IF(AR6="",0,IF(AR6=IF($B6="언어와 매체",자동계산!$D$43,자동계산!$B$43),IF($B6="언어와 매체",자동계산!$E$43,자동계산!$C$43),0)))</f>
        <v/>
      </c>
      <c r="CL6" s="72">
        <f>IF($A6="","",IF(AS6="",0,IF(AS6=IF($B6="언어와 매체",자동계산!$D$44,자동계산!$B$44),IF($B6="언어와 매체",자동계산!$E$44,자동계산!$C$44),0)))</f>
        <v/>
      </c>
      <c r="CM6" s="72">
        <f>IF($A6="","",IF(AT6="",0,IF(AT6=IF($B6="언어와 매체",자동계산!$D$45,자동계산!$B$45),IF($B6="언어와 매체",자동계산!$E$45,자동계산!$C$45),0)))</f>
        <v/>
      </c>
      <c r="CN6" s="72">
        <f>IF($A6="","",IF(AU6="",0,IF(AU6=IF($B6="언어와 매체",자동계산!$D$46,자동계산!$B$46),IF($B6="언어와 매체",자동계산!$E$46,자동계산!$C$46),0)))</f>
        <v/>
      </c>
      <c r="CO6" s="72">
        <f>IF($A6="","",IF(AV6="",0,IF(AV6=IF($B6="언어와 매체",자동계산!$D$47,자동계산!$B$47),IF($B6="언어와 매체",자동계산!$E$47,자동계산!$C$47),0)))</f>
        <v/>
      </c>
      <c r="CP6" s="72">
        <f>IF($A6="","",IF(AW6="",0,IF(AW6=IF($B6="언어와 매체",자동계산!$D$48,자동계산!$B$48),IF($B6="언어와 매체",자동계산!$E$48,자동계산!$C$48),0)))</f>
        <v/>
      </c>
    </row>
    <row r="7">
      <c r="A7" s="70">
        <f>IF(답안입력!A7="","",답안입력!A7)</f>
        <v/>
      </c>
      <c r="B7" s="70">
        <f>IF($A7="","",답안입력!C7)</f>
        <v/>
      </c>
      <c r="C7" s="71">
        <f>IF($A7="","",SUM(AX7:CP7))</f>
        <v/>
      </c>
      <c r="D7" s="70">
        <f>IF($A7="","",IF($C7&gt;=IF($B7="언어와 매체",회차설정!$B$9,회차설정!$B$8),"1등급",IF($C7&gt;=IF($B7="언어와 매체",회차설정!$C$9,회차설정!$C$8),"2등급",IF($C7&gt;=IF($B7="언어와 매체",회차설정!$D$9,회차설정!$D$8),"3등급",IF($C7&gt;=IF($B7="언어와 매체",회차설정!$E$9,회차설정!$E$8),"4등급","등급 외")))))</f>
        <v/>
      </c>
      <c r="E7" s="72">
        <f>IF($A7="","",IF(LEN(답안입력!$D7)&gt;=1,VALUE(MID(답안입력!$D7,1,1)),IF(답안입력!E7="","",답안입력!E7)))</f>
        <v/>
      </c>
      <c r="F7" s="72">
        <f>IF($A7="","",IF(LEN(답안입력!$D7)&gt;=2,VALUE(MID(답안입력!$D7,2,1)),IF(답안입력!F7="","",답안입력!F7)))</f>
        <v/>
      </c>
      <c r="G7" s="72">
        <f>IF($A7="","",IF(LEN(답안입력!$D7)&gt;=3,VALUE(MID(답안입력!$D7,3,1)),IF(답안입력!G7="","",답안입력!G7)))</f>
        <v/>
      </c>
      <c r="H7" s="72">
        <f>IF($A7="","",IF(LEN(답안입력!$D7)&gt;=4,VALUE(MID(답안입력!$D7,4,1)),IF(답안입력!H7="","",답안입력!H7)))</f>
        <v/>
      </c>
      <c r="I7" s="72">
        <f>IF($A7="","",IF(LEN(답안입력!$D7)&gt;=5,VALUE(MID(답안입력!$D7,5,1)),IF(답안입력!I7="","",답안입력!I7)))</f>
        <v/>
      </c>
      <c r="J7" s="72">
        <f>IF($A7="","",IF(LEN(답안입력!$D7)&gt;=6,VALUE(MID(답안입력!$D7,6,1)),IF(답안입력!J7="","",답안입력!J7)))</f>
        <v/>
      </c>
      <c r="K7" s="72">
        <f>IF($A7="","",IF(LEN(답안입력!$D7)&gt;=7,VALUE(MID(답안입력!$D7,7,1)),IF(답안입력!K7="","",답안입력!K7)))</f>
        <v/>
      </c>
      <c r="L7" s="72">
        <f>IF($A7="","",IF(LEN(답안입력!$D7)&gt;=8,VALUE(MID(답안입력!$D7,8,1)),IF(답안입력!L7="","",답안입력!L7)))</f>
        <v/>
      </c>
      <c r="M7" s="72">
        <f>IF($A7="","",IF(LEN(답안입력!$D7)&gt;=9,VALUE(MID(답안입력!$D7,9,1)),IF(답안입력!M7="","",답안입력!M7)))</f>
        <v/>
      </c>
      <c r="N7" s="72">
        <f>IF($A7="","",IF(LEN(답안입력!$D7)&gt;=10,VALUE(MID(답안입력!$D7,10,1)),IF(답안입력!N7="","",답안입력!N7)))</f>
        <v/>
      </c>
      <c r="O7" s="72">
        <f>IF($A7="","",IF(LEN(답안입력!$D7)&gt;=11,VALUE(MID(답안입력!$D7,11,1)),IF(답안입력!O7="","",답안입력!O7)))</f>
        <v/>
      </c>
      <c r="P7" s="72">
        <f>IF($A7="","",IF(LEN(답안입력!$D7)&gt;=12,VALUE(MID(답안입력!$D7,12,1)),IF(답안입력!P7="","",답안입력!P7)))</f>
        <v/>
      </c>
      <c r="Q7" s="72">
        <f>IF($A7="","",IF(LEN(답안입력!$D7)&gt;=13,VALUE(MID(답안입력!$D7,13,1)),IF(답안입력!Q7="","",답안입력!Q7)))</f>
        <v/>
      </c>
      <c r="R7" s="72">
        <f>IF($A7="","",IF(LEN(답안입력!$D7)&gt;=14,VALUE(MID(답안입력!$D7,14,1)),IF(답안입력!R7="","",답안입력!R7)))</f>
        <v/>
      </c>
      <c r="S7" s="72">
        <f>IF($A7="","",IF(LEN(답안입력!$D7)&gt;=15,VALUE(MID(답안입력!$D7,15,1)),IF(답안입력!S7="","",답안입력!S7)))</f>
        <v/>
      </c>
      <c r="T7" s="72">
        <f>IF($A7="","",IF(LEN(답안입력!$D7)&gt;=16,VALUE(MID(답안입력!$D7,16,1)),IF(답안입력!T7="","",답안입력!T7)))</f>
        <v/>
      </c>
      <c r="U7" s="72">
        <f>IF($A7="","",IF(LEN(답안입력!$D7)&gt;=17,VALUE(MID(답안입력!$D7,17,1)),IF(답안입력!U7="","",답안입력!U7)))</f>
        <v/>
      </c>
      <c r="V7" s="72">
        <f>IF($A7="","",IF(LEN(답안입력!$D7)&gt;=18,VALUE(MID(답안입력!$D7,18,1)),IF(답안입력!V7="","",답안입력!V7)))</f>
        <v/>
      </c>
      <c r="W7" s="72">
        <f>IF($A7="","",IF(LEN(답안입력!$D7)&gt;=19,VALUE(MID(답안입력!$D7,19,1)),IF(답안입력!W7="","",답안입력!W7)))</f>
        <v/>
      </c>
      <c r="X7" s="72">
        <f>IF($A7="","",IF(LEN(답안입력!$D7)&gt;=20,VALUE(MID(답안입력!$D7,20,1)),IF(답안입력!X7="","",답안입력!X7)))</f>
        <v/>
      </c>
      <c r="Y7" s="72">
        <f>IF($A7="","",IF(LEN(답안입력!$D7)&gt;=21,VALUE(MID(답안입력!$D7,21,1)),IF(답안입력!Y7="","",답안입력!Y7)))</f>
        <v/>
      </c>
      <c r="Z7" s="72">
        <f>IF($A7="","",IF(LEN(답안입력!$D7)&gt;=22,VALUE(MID(답안입력!$D7,22,1)),IF(답안입력!Z7="","",답안입력!Z7)))</f>
        <v/>
      </c>
      <c r="AA7" s="72">
        <f>IF($A7="","",IF(LEN(답안입력!$D7)&gt;=23,VALUE(MID(답안입력!$D7,23,1)),IF(답안입력!AA7="","",답안입력!AA7)))</f>
        <v/>
      </c>
      <c r="AB7" s="72">
        <f>IF($A7="","",IF(LEN(답안입력!$D7)&gt;=24,VALUE(MID(답안입력!$D7,24,1)),IF(답안입력!AB7="","",답안입력!AB7)))</f>
        <v/>
      </c>
      <c r="AC7" s="72">
        <f>IF($A7="","",IF(LEN(답안입력!$D7)&gt;=25,VALUE(MID(답안입력!$D7,25,1)),IF(답안입력!AC7="","",답안입력!AC7)))</f>
        <v/>
      </c>
      <c r="AD7" s="72">
        <f>IF($A7="","",IF(LEN(답안입력!$D7)&gt;=26,VALUE(MID(답안입력!$D7,26,1)),IF(답안입력!AD7="","",답안입력!AD7)))</f>
        <v/>
      </c>
      <c r="AE7" s="72">
        <f>IF($A7="","",IF(LEN(답안입력!$D7)&gt;=27,VALUE(MID(답안입력!$D7,27,1)),IF(답안입력!AE7="","",답안입력!AE7)))</f>
        <v/>
      </c>
      <c r="AF7" s="72">
        <f>IF($A7="","",IF(LEN(답안입력!$D7)&gt;=28,VALUE(MID(답안입력!$D7,28,1)),IF(답안입력!AF7="","",답안입력!AF7)))</f>
        <v/>
      </c>
      <c r="AG7" s="72">
        <f>IF($A7="","",IF(LEN(답안입력!$D7)&gt;=29,VALUE(MID(답안입력!$D7,29,1)),IF(답안입력!AG7="","",답안입력!AG7)))</f>
        <v/>
      </c>
      <c r="AH7" s="72">
        <f>IF($A7="","",IF(LEN(답안입력!$D7)&gt;=30,VALUE(MID(답안입력!$D7,30,1)),IF(답안입력!AH7="","",답안입력!AH7)))</f>
        <v/>
      </c>
      <c r="AI7" s="72">
        <f>IF($A7="","",IF(LEN(답안입력!$D7)&gt;=31,VALUE(MID(답안입력!$D7,31,1)),IF(답안입력!AI7="","",답안입력!AI7)))</f>
        <v/>
      </c>
      <c r="AJ7" s="72">
        <f>IF($A7="","",IF(LEN(답안입력!$D7)&gt;=32,VALUE(MID(답안입력!$D7,32,1)),IF(답안입력!AJ7="","",답안입력!AJ7)))</f>
        <v/>
      </c>
      <c r="AK7" s="72">
        <f>IF($A7="","",IF(LEN(답안입력!$D7)&gt;=33,VALUE(MID(답안입력!$D7,33,1)),IF(답안입력!AK7="","",답안입력!AK7)))</f>
        <v/>
      </c>
      <c r="AL7" s="72">
        <f>IF($A7="","",IF(LEN(답안입력!$D7)&gt;=34,VALUE(MID(답안입력!$D7,34,1)),IF(답안입력!AL7="","",답안입력!AL7)))</f>
        <v/>
      </c>
      <c r="AM7" s="72">
        <f>IF($A7="","",IF(LEN(답안입력!$D7)&gt;=35,VALUE(MID(답안입력!$D7,35,1)),IF(답안입력!AM7="","",답안입력!AM7)))</f>
        <v/>
      </c>
      <c r="AN7" s="72">
        <f>IF($A7="","",IF(LEN(답안입력!$D7)&gt;=36,VALUE(MID(답안입력!$D7,36,1)),IF(답안입력!AN7="","",답안입력!AN7)))</f>
        <v/>
      </c>
      <c r="AO7" s="72">
        <f>IF($A7="","",IF(LEN(답안입력!$D7)&gt;=37,VALUE(MID(답안입력!$D7,37,1)),IF(답안입력!AO7="","",답안입력!AO7)))</f>
        <v/>
      </c>
      <c r="AP7" s="72">
        <f>IF($A7="","",IF(LEN(답안입력!$D7)&gt;=38,VALUE(MID(답안입력!$D7,38,1)),IF(답안입력!AP7="","",답안입력!AP7)))</f>
        <v/>
      </c>
      <c r="AQ7" s="72">
        <f>IF($A7="","",IF(LEN(답안입력!$D7)&gt;=39,VALUE(MID(답안입력!$D7,39,1)),IF(답안입력!AQ7="","",답안입력!AQ7)))</f>
        <v/>
      </c>
      <c r="AR7" s="72">
        <f>IF($A7="","",IF(LEN(답안입력!$D7)&gt;=40,VALUE(MID(답안입력!$D7,40,1)),IF(답안입력!AR7="","",답안입력!AR7)))</f>
        <v/>
      </c>
      <c r="AS7" s="72">
        <f>IF($A7="","",IF(LEN(답안입력!$D7)&gt;=41,VALUE(MID(답안입력!$D7,41,1)),IF(답안입력!AS7="","",답안입력!AS7)))</f>
        <v/>
      </c>
      <c r="AT7" s="72">
        <f>IF($A7="","",IF(LEN(답안입력!$D7)&gt;=42,VALUE(MID(답안입력!$D7,42,1)),IF(답안입력!AT7="","",답안입력!AT7)))</f>
        <v/>
      </c>
      <c r="AU7" s="72">
        <f>IF($A7="","",IF(LEN(답안입력!$D7)&gt;=43,VALUE(MID(답안입력!$D7,43,1)),IF(답안입력!AU7="","",답안입력!AU7)))</f>
        <v/>
      </c>
      <c r="AV7" s="72">
        <f>IF($A7="","",IF(LEN(답안입력!$D7)&gt;=44,VALUE(MID(답안입력!$D7,44,1)),IF(답안입력!AV7="","",답안입력!AV7)))</f>
        <v/>
      </c>
      <c r="AW7" s="72">
        <f>IF($A7="","",IF(LEN(답안입력!$D7)&gt;=45,VALUE(MID(답안입력!$D7,45,1)),IF(답안입력!AW7="","",답안입력!AW7)))</f>
        <v/>
      </c>
      <c r="AX7" s="72">
        <f>IF($A7="","",IF(E7="",0,IF(E7=IF($B7="언어와 매체",자동계산!$D$4,자동계산!$B$4),IF($B7="언어와 매체",자동계산!$E$4,자동계산!$C$4),0)))</f>
        <v/>
      </c>
      <c r="AY7" s="72">
        <f>IF($A7="","",IF(F7="",0,IF(F7=IF($B7="언어와 매체",자동계산!$D$5,자동계산!$B$5),IF($B7="언어와 매체",자동계산!$E$5,자동계산!$C$5),0)))</f>
        <v/>
      </c>
      <c r="AZ7" s="72">
        <f>IF($A7="","",IF(G7="",0,IF(G7=IF($B7="언어와 매체",자동계산!$D$6,자동계산!$B$6),IF($B7="언어와 매체",자동계산!$E$6,자동계산!$C$6),0)))</f>
        <v/>
      </c>
      <c r="BA7" s="72">
        <f>IF($A7="","",IF(H7="",0,IF(H7=IF($B7="언어와 매체",자동계산!$D$7,자동계산!$B$7),IF($B7="언어와 매체",자동계산!$E$7,자동계산!$C$7),0)))</f>
        <v/>
      </c>
      <c r="BB7" s="72">
        <f>IF($A7="","",IF(I7="",0,IF(I7=IF($B7="언어와 매체",자동계산!$D$8,자동계산!$B$8),IF($B7="언어와 매체",자동계산!$E$8,자동계산!$C$8),0)))</f>
        <v/>
      </c>
      <c r="BC7" s="72">
        <f>IF($A7="","",IF(J7="",0,IF(J7=IF($B7="언어와 매체",자동계산!$D$9,자동계산!$B$9),IF($B7="언어와 매체",자동계산!$E$9,자동계산!$C$9),0)))</f>
        <v/>
      </c>
      <c r="BD7" s="72">
        <f>IF($A7="","",IF(K7="",0,IF(K7=IF($B7="언어와 매체",자동계산!$D$10,자동계산!$B$10),IF($B7="언어와 매체",자동계산!$E$10,자동계산!$C$10),0)))</f>
        <v/>
      </c>
      <c r="BE7" s="72">
        <f>IF($A7="","",IF(L7="",0,IF(L7=IF($B7="언어와 매체",자동계산!$D$11,자동계산!$B$11),IF($B7="언어와 매체",자동계산!$E$11,자동계산!$C$11),0)))</f>
        <v/>
      </c>
      <c r="BF7" s="72">
        <f>IF($A7="","",IF(M7="",0,IF(M7=IF($B7="언어와 매체",자동계산!$D$12,자동계산!$B$12),IF($B7="언어와 매체",자동계산!$E$12,자동계산!$C$12),0)))</f>
        <v/>
      </c>
      <c r="BG7" s="72">
        <f>IF($A7="","",IF(N7="",0,IF(N7=IF($B7="언어와 매체",자동계산!$D$13,자동계산!$B$13),IF($B7="언어와 매체",자동계산!$E$13,자동계산!$C$13),0)))</f>
        <v/>
      </c>
      <c r="BH7" s="72">
        <f>IF($A7="","",IF(O7="",0,IF(O7=IF($B7="언어와 매체",자동계산!$D$14,자동계산!$B$14),IF($B7="언어와 매체",자동계산!$E$14,자동계산!$C$14),0)))</f>
        <v/>
      </c>
      <c r="BI7" s="72">
        <f>IF($A7="","",IF(P7="",0,IF(P7=IF($B7="언어와 매체",자동계산!$D$15,자동계산!$B$15),IF($B7="언어와 매체",자동계산!$E$15,자동계산!$C$15),0)))</f>
        <v/>
      </c>
      <c r="BJ7" s="72">
        <f>IF($A7="","",IF(Q7="",0,IF(Q7=IF($B7="언어와 매체",자동계산!$D$16,자동계산!$B$16),IF($B7="언어와 매체",자동계산!$E$16,자동계산!$C$16),0)))</f>
        <v/>
      </c>
      <c r="BK7" s="72">
        <f>IF($A7="","",IF(R7="",0,IF(R7=IF($B7="언어와 매체",자동계산!$D$17,자동계산!$B$17),IF($B7="언어와 매체",자동계산!$E$17,자동계산!$C$17),0)))</f>
        <v/>
      </c>
      <c r="BL7" s="72">
        <f>IF($A7="","",IF(S7="",0,IF(S7=IF($B7="언어와 매체",자동계산!$D$18,자동계산!$B$18),IF($B7="언어와 매체",자동계산!$E$18,자동계산!$C$18),0)))</f>
        <v/>
      </c>
      <c r="BM7" s="72">
        <f>IF($A7="","",IF(T7="",0,IF(T7=IF($B7="언어와 매체",자동계산!$D$19,자동계산!$B$19),IF($B7="언어와 매체",자동계산!$E$19,자동계산!$C$19),0)))</f>
        <v/>
      </c>
      <c r="BN7" s="72">
        <f>IF($A7="","",IF(U7="",0,IF(U7=IF($B7="언어와 매체",자동계산!$D$20,자동계산!$B$20),IF($B7="언어와 매체",자동계산!$E$20,자동계산!$C$20),0)))</f>
        <v/>
      </c>
      <c r="BO7" s="72">
        <f>IF($A7="","",IF(V7="",0,IF(V7=IF($B7="언어와 매체",자동계산!$D$21,자동계산!$B$21),IF($B7="언어와 매체",자동계산!$E$21,자동계산!$C$21),0)))</f>
        <v/>
      </c>
      <c r="BP7" s="72">
        <f>IF($A7="","",IF(W7="",0,IF(W7=IF($B7="언어와 매체",자동계산!$D$22,자동계산!$B$22),IF($B7="언어와 매체",자동계산!$E$22,자동계산!$C$22),0)))</f>
        <v/>
      </c>
      <c r="BQ7" s="72">
        <f>IF($A7="","",IF(X7="",0,IF(X7=IF($B7="언어와 매체",자동계산!$D$23,자동계산!$B$23),IF($B7="언어와 매체",자동계산!$E$23,자동계산!$C$23),0)))</f>
        <v/>
      </c>
      <c r="BR7" s="72">
        <f>IF($A7="","",IF(Y7="",0,IF(Y7=IF($B7="언어와 매체",자동계산!$D$24,자동계산!$B$24),IF($B7="언어와 매체",자동계산!$E$24,자동계산!$C$24),0)))</f>
        <v/>
      </c>
      <c r="BS7" s="72">
        <f>IF($A7="","",IF(Z7="",0,IF(Z7=IF($B7="언어와 매체",자동계산!$D$25,자동계산!$B$25),IF($B7="언어와 매체",자동계산!$E$25,자동계산!$C$25),0)))</f>
        <v/>
      </c>
      <c r="BT7" s="72">
        <f>IF($A7="","",IF(AA7="",0,IF(AA7=IF($B7="언어와 매체",자동계산!$D$26,자동계산!$B$26),IF($B7="언어와 매체",자동계산!$E$26,자동계산!$C$26),0)))</f>
        <v/>
      </c>
      <c r="BU7" s="72">
        <f>IF($A7="","",IF(AB7="",0,IF(AB7=IF($B7="언어와 매체",자동계산!$D$27,자동계산!$B$27),IF($B7="언어와 매체",자동계산!$E$27,자동계산!$C$27),0)))</f>
        <v/>
      </c>
      <c r="BV7" s="72">
        <f>IF($A7="","",IF(AC7="",0,IF(AC7=IF($B7="언어와 매체",자동계산!$D$28,자동계산!$B$28),IF($B7="언어와 매체",자동계산!$E$28,자동계산!$C$28),0)))</f>
        <v/>
      </c>
      <c r="BW7" s="72">
        <f>IF($A7="","",IF(AD7="",0,IF(AD7=IF($B7="언어와 매체",자동계산!$D$29,자동계산!$B$29),IF($B7="언어와 매체",자동계산!$E$29,자동계산!$C$29),0)))</f>
        <v/>
      </c>
      <c r="BX7" s="72">
        <f>IF($A7="","",IF(AE7="",0,IF(AE7=IF($B7="언어와 매체",자동계산!$D$30,자동계산!$B$30),IF($B7="언어와 매체",자동계산!$E$30,자동계산!$C$30),0)))</f>
        <v/>
      </c>
      <c r="BY7" s="72">
        <f>IF($A7="","",IF(AF7="",0,IF(AF7=IF($B7="언어와 매체",자동계산!$D$31,자동계산!$B$31),IF($B7="언어와 매체",자동계산!$E$31,자동계산!$C$31),0)))</f>
        <v/>
      </c>
      <c r="BZ7" s="72">
        <f>IF($A7="","",IF(AG7="",0,IF(AG7=IF($B7="언어와 매체",자동계산!$D$32,자동계산!$B$32),IF($B7="언어와 매체",자동계산!$E$32,자동계산!$C$32),0)))</f>
        <v/>
      </c>
      <c r="CA7" s="72">
        <f>IF($A7="","",IF(AH7="",0,IF(AH7=IF($B7="언어와 매체",자동계산!$D$33,자동계산!$B$33),IF($B7="언어와 매체",자동계산!$E$33,자동계산!$C$33),0)))</f>
        <v/>
      </c>
      <c r="CB7" s="72">
        <f>IF($A7="","",IF(AI7="",0,IF(AI7=IF($B7="언어와 매체",자동계산!$D$34,자동계산!$B$34),IF($B7="언어와 매체",자동계산!$E$34,자동계산!$C$34),0)))</f>
        <v/>
      </c>
      <c r="CC7" s="72">
        <f>IF($A7="","",IF(AJ7="",0,IF(AJ7=IF($B7="언어와 매체",자동계산!$D$35,자동계산!$B$35),IF($B7="언어와 매체",자동계산!$E$35,자동계산!$C$35),0)))</f>
        <v/>
      </c>
      <c r="CD7" s="72">
        <f>IF($A7="","",IF(AK7="",0,IF(AK7=IF($B7="언어와 매체",자동계산!$D$36,자동계산!$B$36),IF($B7="언어와 매체",자동계산!$E$36,자동계산!$C$36),0)))</f>
        <v/>
      </c>
      <c r="CE7" s="72">
        <f>IF($A7="","",IF(AL7="",0,IF(AL7=IF($B7="언어와 매체",자동계산!$D$37,자동계산!$B$37),IF($B7="언어와 매체",자동계산!$E$37,자동계산!$C$37),0)))</f>
        <v/>
      </c>
      <c r="CF7" s="72">
        <f>IF($A7="","",IF(AM7="",0,IF(AM7=IF($B7="언어와 매체",자동계산!$D$38,자동계산!$B$38),IF($B7="언어와 매체",자동계산!$E$38,자동계산!$C$38),0)))</f>
        <v/>
      </c>
      <c r="CG7" s="72">
        <f>IF($A7="","",IF(AN7="",0,IF(AN7=IF($B7="언어와 매체",자동계산!$D$39,자동계산!$B$39),IF($B7="언어와 매체",자동계산!$E$39,자동계산!$C$39),0)))</f>
        <v/>
      </c>
      <c r="CH7" s="72">
        <f>IF($A7="","",IF(AO7="",0,IF(AO7=IF($B7="언어와 매체",자동계산!$D$40,자동계산!$B$40),IF($B7="언어와 매체",자동계산!$E$40,자동계산!$C$40),0)))</f>
        <v/>
      </c>
      <c r="CI7" s="72">
        <f>IF($A7="","",IF(AP7="",0,IF(AP7=IF($B7="언어와 매체",자동계산!$D$41,자동계산!$B$41),IF($B7="언어와 매체",자동계산!$E$41,자동계산!$C$41),0)))</f>
        <v/>
      </c>
      <c r="CJ7" s="72">
        <f>IF($A7="","",IF(AQ7="",0,IF(AQ7=IF($B7="언어와 매체",자동계산!$D$42,자동계산!$B$42),IF($B7="언어와 매체",자동계산!$E$42,자동계산!$C$42),0)))</f>
        <v/>
      </c>
      <c r="CK7" s="72">
        <f>IF($A7="","",IF(AR7="",0,IF(AR7=IF($B7="언어와 매체",자동계산!$D$43,자동계산!$B$43),IF($B7="언어와 매체",자동계산!$E$43,자동계산!$C$43),0)))</f>
        <v/>
      </c>
      <c r="CL7" s="72">
        <f>IF($A7="","",IF(AS7="",0,IF(AS7=IF($B7="언어와 매체",자동계산!$D$44,자동계산!$B$44),IF($B7="언어와 매체",자동계산!$E$44,자동계산!$C$44),0)))</f>
        <v/>
      </c>
      <c r="CM7" s="72">
        <f>IF($A7="","",IF(AT7="",0,IF(AT7=IF($B7="언어와 매체",자동계산!$D$45,자동계산!$B$45),IF($B7="언어와 매체",자동계산!$E$45,자동계산!$C$45),0)))</f>
        <v/>
      </c>
      <c r="CN7" s="72">
        <f>IF($A7="","",IF(AU7="",0,IF(AU7=IF($B7="언어와 매체",자동계산!$D$46,자동계산!$B$46),IF($B7="언어와 매체",자동계산!$E$46,자동계산!$C$46),0)))</f>
        <v/>
      </c>
      <c r="CO7" s="72">
        <f>IF($A7="","",IF(AV7="",0,IF(AV7=IF($B7="언어와 매체",자동계산!$D$47,자동계산!$B$47),IF($B7="언어와 매체",자동계산!$E$47,자동계산!$C$47),0)))</f>
        <v/>
      </c>
      <c r="CP7" s="72">
        <f>IF($A7="","",IF(AW7="",0,IF(AW7=IF($B7="언어와 매체",자동계산!$D$48,자동계산!$B$48),IF($B7="언어와 매체",자동계산!$E$48,자동계산!$C$48),0)))</f>
        <v/>
      </c>
    </row>
    <row r="8">
      <c r="A8" s="70">
        <f>IF(답안입력!A8="","",답안입력!A8)</f>
        <v/>
      </c>
      <c r="B8" s="70">
        <f>IF($A8="","",답안입력!C8)</f>
        <v/>
      </c>
      <c r="C8" s="71">
        <f>IF($A8="","",SUM(AX8:CP8))</f>
        <v/>
      </c>
      <c r="D8" s="70">
        <f>IF($A8="","",IF($C8&gt;=IF($B8="언어와 매체",회차설정!$B$9,회차설정!$B$8),"1등급",IF($C8&gt;=IF($B8="언어와 매체",회차설정!$C$9,회차설정!$C$8),"2등급",IF($C8&gt;=IF($B8="언어와 매체",회차설정!$D$9,회차설정!$D$8),"3등급",IF($C8&gt;=IF($B8="언어와 매체",회차설정!$E$9,회차설정!$E$8),"4등급","등급 외")))))</f>
        <v/>
      </c>
      <c r="E8" s="72">
        <f>IF($A8="","",IF(LEN(답안입력!$D8)&gt;=1,VALUE(MID(답안입력!$D8,1,1)),IF(답안입력!E8="","",답안입력!E8)))</f>
        <v/>
      </c>
      <c r="F8" s="72">
        <f>IF($A8="","",IF(LEN(답안입력!$D8)&gt;=2,VALUE(MID(답안입력!$D8,2,1)),IF(답안입력!F8="","",답안입력!F8)))</f>
        <v/>
      </c>
      <c r="G8" s="72">
        <f>IF($A8="","",IF(LEN(답안입력!$D8)&gt;=3,VALUE(MID(답안입력!$D8,3,1)),IF(답안입력!G8="","",답안입력!G8)))</f>
        <v/>
      </c>
      <c r="H8" s="72">
        <f>IF($A8="","",IF(LEN(답안입력!$D8)&gt;=4,VALUE(MID(답안입력!$D8,4,1)),IF(답안입력!H8="","",답안입력!H8)))</f>
        <v/>
      </c>
      <c r="I8" s="72">
        <f>IF($A8="","",IF(LEN(답안입력!$D8)&gt;=5,VALUE(MID(답안입력!$D8,5,1)),IF(답안입력!I8="","",답안입력!I8)))</f>
        <v/>
      </c>
      <c r="J8" s="72">
        <f>IF($A8="","",IF(LEN(답안입력!$D8)&gt;=6,VALUE(MID(답안입력!$D8,6,1)),IF(답안입력!J8="","",답안입력!J8)))</f>
        <v/>
      </c>
      <c r="K8" s="72">
        <f>IF($A8="","",IF(LEN(답안입력!$D8)&gt;=7,VALUE(MID(답안입력!$D8,7,1)),IF(답안입력!K8="","",답안입력!K8)))</f>
        <v/>
      </c>
      <c r="L8" s="72">
        <f>IF($A8="","",IF(LEN(답안입력!$D8)&gt;=8,VALUE(MID(답안입력!$D8,8,1)),IF(답안입력!L8="","",답안입력!L8)))</f>
        <v/>
      </c>
      <c r="M8" s="72">
        <f>IF($A8="","",IF(LEN(답안입력!$D8)&gt;=9,VALUE(MID(답안입력!$D8,9,1)),IF(답안입력!M8="","",답안입력!M8)))</f>
        <v/>
      </c>
      <c r="N8" s="72">
        <f>IF($A8="","",IF(LEN(답안입력!$D8)&gt;=10,VALUE(MID(답안입력!$D8,10,1)),IF(답안입력!N8="","",답안입력!N8)))</f>
        <v/>
      </c>
      <c r="O8" s="72">
        <f>IF($A8="","",IF(LEN(답안입력!$D8)&gt;=11,VALUE(MID(답안입력!$D8,11,1)),IF(답안입력!O8="","",답안입력!O8)))</f>
        <v/>
      </c>
      <c r="P8" s="72">
        <f>IF($A8="","",IF(LEN(답안입력!$D8)&gt;=12,VALUE(MID(답안입력!$D8,12,1)),IF(답안입력!P8="","",답안입력!P8)))</f>
        <v/>
      </c>
      <c r="Q8" s="72">
        <f>IF($A8="","",IF(LEN(답안입력!$D8)&gt;=13,VALUE(MID(답안입력!$D8,13,1)),IF(답안입력!Q8="","",답안입력!Q8)))</f>
        <v/>
      </c>
      <c r="R8" s="72">
        <f>IF($A8="","",IF(LEN(답안입력!$D8)&gt;=14,VALUE(MID(답안입력!$D8,14,1)),IF(답안입력!R8="","",답안입력!R8)))</f>
        <v/>
      </c>
      <c r="S8" s="72">
        <f>IF($A8="","",IF(LEN(답안입력!$D8)&gt;=15,VALUE(MID(답안입력!$D8,15,1)),IF(답안입력!S8="","",답안입력!S8)))</f>
        <v/>
      </c>
      <c r="T8" s="72">
        <f>IF($A8="","",IF(LEN(답안입력!$D8)&gt;=16,VALUE(MID(답안입력!$D8,16,1)),IF(답안입력!T8="","",답안입력!T8)))</f>
        <v/>
      </c>
      <c r="U8" s="72">
        <f>IF($A8="","",IF(LEN(답안입력!$D8)&gt;=17,VALUE(MID(답안입력!$D8,17,1)),IF(답안입력!U8="","",답안입력!U8)))</f>
        <v/>
      </c>
      <c r="V8" s="72">
        <f>IF($A8="","",IF(LEN(답안입력!$D8)&gt;=18,VALUE(MID(답안입력!$D8,18,1)),IF(답안입력!V8="","",답안입력!V8)))</f>
        <v/>
      </c>
      <c r="W8" s="72">
        <f>IF($A8="","",IF(LEN(답안입력!$D8)&gt;=19,VALUE(MID(답안입력!$D8,19,1)),IF(답안입력!W8="","",답안입력!W8)))</f>
        <v/>
      </c>
      <c r="X8" s="72">
        <f>IF($A8="","",IF(LEN(답안입력!$D8)&gt;=20,VALUE(MID(답안입력!$D8,20,1)),IF(답안입력!X8="","",답안입력!X8)))</f>
        <v/>
      </c>
      <c r="Y8" s="72">
        <f>IF($A8="","",IF(LEN(답안입력!$D8)&gt;=21,VALUE(MID(답안입력!$D8,21,1)),IF(답안입력!Y8="","",답안입력!Y8)))</f>
        <v/>
      </c>
      <c r="Z8" s="72">
        <f>IF($A8="","",IF(LEN(답안입력!$D8)&gt;=22,VALUE(MID(답안입력!$D8,22,1)),IF(답안입력!Z8="","",답안입력!Z8)))</f>
        <v/>
      </c>
      <c r="AA8" s="72">
        <f>IF($A8="","",IF(LEN(답안입력!$D8)&gt;=23,VALUE(MID(답안입력!$D8,23,1)),IF(답안입력!AA8="","",답안입력!AA8)))</f>
        <v/>
      </c>
      <c r="AB8" s="72">
        <f>IF($A8="","",IF(LEN(답안입력!$D8)&gt;=24,VALUE(MID(답안입력!$D8,24,1)),IF(답안입력!AB8="","",답안입력!AB8)))</f>
        <v/>
      </c>
      <c r="AC8" s="72">
        <f>IF($A8="","",IF(LEN(답안입력!$D8)&gt;=25,VALUE(MID(답안입력!$D8,25,1)),IF(답안입력!AC8="","",답안입력!AC8)))</f>
        <v/>
      </c>
      <c r="AD8" s="72">
        <f>IF($A8="","",IF(LEN(답안입력!$D8)&gt;=26,VALUE(MID(답안입력!$D8,26,1)),IF(답안입력!AD8="","",답안입력!AD8)))</f>
        <v/>
      </c>
      <c r="AE8" s="72">
        <f>IF($A8="","",IF(LEN(답안입력!$D8)&gt;=27,VALUE(MID(답안입력!$D8,27,1)),IF(답안입력!AE8="","",답안입력!AE8)))</f>
        <v/>
      </c>
      <c r="AF8" s="72">
        <f>IF($A8="","",IF(LEN(답안입력!$D8)&gt;=28,VALUE(MID(답안입력!$D8,28,1)),IF(답안입력!AF8="","",답안입력!AF8)))</f>
        <v/>
      </c>
      <c r="AG8" s="72">
        <f>IF($A8="","",IF(LEN(답안입력!$D8)&gt;=29,VALUE(MID(답안입력!$D8,29,1)),IF(답안입력!AG8="","",답안입력!AG8)))</f>
        <v/>
      </c>
      <c r="AH8" s="72">
        <f>IF($A8="","",IF(LEN(답안입력!$D8)&gt;=30,VALUE(MID(답안입력!$D8,30,1)),IF(답안입력!AH8="","",답안입력!AH8)))</f>
        <v/>
      </c>
      <c r="AI8" s="72">
        <f>IF($A8="","",IF(LEN(답안입력!$D8)&gt;=31,VALUE(MID(답안입력!$D8,31,1)),IF(답안입력!AI8="","",답안입력!AI8)))</f>
        <v/>
      </c>
      <c r="AJ8" s="72">
        <f>IF($A8="","",IF(LEN(답안입력!$D8)&gt;=32,VALUE(MID(답안입력!$D8,32,1)),IF(답안입력!AJ8="","",답안입력!AJ8)))</f>
        <v/>
      </c>
      <c r="AK8" s="72">
        <f>IF($A8="","",IF(LEN(답안입력!$D8)&gt;=33,VALUE(MID(답안입력!$D8,33,1)),IF(답안입력!AK8="","",답안입력!AK8)))</f>
        <v/>
      </c>
      <c r="AL8" s="72">
        <f>IF($A8="","",IF(LEN(답안입력!$D8)&gt;=34,VALUE(MID(답안입력!$D8,34,1)),IF(답안입력!AL8="","",답안입력!AL8)))</f>
        <v/>
      </c>
      <c r="AM8" s="72">
        <f>IF($A8="","",IF(LEN(답안입력!$D8)&gt;=35,VALUE(MID(답안입력!$D8,35,1)),IF(답안입력!AM8="","",답안입력!AM8)))</f>
        <v/>
      </c>
      <c r="AN8" s="72">
        <f>IF($A8="","",IF(LEN(답안입력!$D8)&gt;=36,VALUE(MID(답안입력!$D8,36,1)),IF(답안입력!AN8="","",답안입력!AN8)))</f>
        <v/>
      </c>
      <c r="AO8" s="72">
        <f>IF($A8="","",IF(LEN(답안입력!$D8)&gt;=37,VALUE(MID(답안입력!$D8,37,1)),IF(답안입력!AO8="","",답안입력!AO8)))</f>
        <v/>
      </c>
      <c r="AP8" s="72">
        <f>IF($A8="","",IF(LEN(답안입력!$D8)&gt;=38,VALUE(MID(답안입력!$D8,38,1)),IF(답안입력!AP8="","",답안입력!AP8)))</f>
        <v/>
      </c>
      <c r="AQ8" s="72">
        <f>IF($A8="","",IF(LEN(답안입력!$D8)&gt;=39,VALUE(MID(답안입력!$D8,39,1)),IF(답안입력!AQ8="","",답안입력!AQ8)))</f>
        <v/>
      </c>
      <c r="AR8" s="72">
        <f>IF($A8="","",IF(LEN(답안입력!$D8)&gt;=40,VALUE(MID(답안입력!$D8,40,1)),IF(답안입력!AR8="","",답안입력!AR8)))</f>
        <v/>
      </c>
      <c r="AS8" s="72">
        <f>IF($A8="","",IF(LEN(답안입력!$D8)&gt;=41,VALUE(MID(답안입력!$D8,41,1)),IF(답안입력!AS8="","",답안입력!AS8)))</f>
        <v/>
      </c>
      <c r="AT8" s="72">
        <f>IF($A8="","",IF(LEN(답안입력!$D8)&gt;=42,VALUE(MID(답안입력!$D8,42,1)),IF(답안입력!AT8="","",답안입력!AT8)))</f>
        <v/>
      </c>
      <c r="AU8" s="72">
        <f>IF($A8="","",IF(LEN(답안입력!$D8)&gt;=43,VALUE(MID(답안입력!$D8,43,1)),IF(답안입력!AU8="","",답안입력!AU8)))</f>
        <v/>
      </c>
      <c r="AV8" s="72">
        <f>IF($A8="","",IF(LEN(답안입력!$D8)&gt;=44,VALUE(MID(답안입력!$D8,44,1)),IF(답안입력!AV8="","",답안입력!AV8)))</f>
        <v/>
      </c>
      <c r="AW8" s="72">
        <f>IF($A8="","",IF(LEN(답안입력!$D8)&gt;=45,VALUE(MID(답안입력!$D8,45,1)),IF(답안입력!AW8="","",답안입력!AW8)))</f>
        <v/>
      </c>
      <c r="AX8" s="72">
        <f>IF($A8="","",IF(E8="",0,IF(E8=IF($B8="언어와 매체",자동계산!$D$4,자동계산!$B$4),IF($B8="언어와 매체",자동계산!$E$4,자동계산!$C$4),0)))</f>
        <v/>
      </c>
      <c r="AY8" s="72">
        <f>IF($A8="","",IF(F8="",0,IF(F8=IF($B8="언어와 매체",자동계산!$D$5,자동계산!$B$5),IF($B8="언어와 매체",자동계산!$E$5,자동계산!$C$5),0)))</f>
        <v/>
      </c>
      <c r="AZ8" s="72">
        <f>IF($A8="","",IF(G8="",0,IF(G8=IF($B8="언어와 매체",자동계산!$D$6,자동계산!$B$6),IF($B8="언어와 매체",자동계산!$E$6,자동계산!$C$6),0)))</f>
        <v/>
      </c>
      <c r="BA8" s="72">
        <f>IF($A8="","",IF(H8="",0,IF(H8=IF($B8="언어와 매체",자동계산!$D$7,자동계산!$B$7),IF($B8="언어와 매체",자동계산!$E$7,자동계산!$C$7),0)))</f>
        <v/>
      </c>
      <c r="BB8" s="72">
        <f>IF($A8="","",IF(I8="",0,IF(I8=IF($B8="언어와 매체",자동계산!$D$8,자동계산!$B$8),IF($B8="언어와 매체",자동계산!$E$8,자동계산!$C$8),0)))</f>
        <v/>
      </c>
      <c r="BC8" s="72">
        <f>IF($A8="","",IF(J8="",0,IF(J8=IF($B8="언어와 매체",자동계산!$D$9,자동계산!$B$9),IF($B8="언어와 매체",자동계산!$E$9,자동계산!$C$9),0)))</f>
        <v/>
      </c>
      <c r="BD8" s="72">
        <f>IF($A8="","",IF(K8="",0,IF(K8=IF($B8="언어와 매체",자동계산!$D$10,자동계산!$B$10),IF($B8="언어와 매체",자동계산!$E$10,자동계산!$C$10),0)))</f>
        <v/>
      </c>
      <c r="BE8" s="72">
        <f>IF($A8="","",IF(L8="",0,IF(L8=IF($B8="언어와 매체",자동계산!$D$11,자동계산!$B$11),IF($B8="언어와 매체",자동계산!$E$11,자동계산!$C$11),0)))</f>
        <v/>
      </c>
      <c r="BF8" s="72">
        <f>IF($A8="","",IF(M8="",0,IF(M8=IF($B8="언어와 매체",자동계산!$D$12,자동계산!$B$12),IF($B8="언어와 매체",자동계산!$E$12,자동계산!$C$12),0)))</f>
        <v/>
      </c>
      <c r="BG8" s="72">
        <f>IF($A8="","",IF(N8="",0,IF(N8=IF($B8="언어와 매체",자동계산!$D$13,자동계산!$B$13),IF($B8="언어와 매체",자동계산!$E$13,자동계산!$C$13),0)))</f>
        <v/>
      </c>
      <c r="BH8" s="72">
        <f>IF($A8="","",IF(O8="",0,IF(O8=IF($B8="언어와 매체",자동계산!$D$14,자동계산!$B$14),IF($B8="언어와 매체",자동계산!$E$14,자동계산!$C$14),0)))</f>
        <v/>
      </c>
      <c r="BI8" s="72">
        <f>IF($A8="","",IF(P8="",0,IF(P8=IF($B8="언어와 매체",자동계산!$D$15,자동계산!$B$15),IF($B8="언어와 매체",자동계산!$E$15,자동계산!$C$15),0)))</f>
        <v/>
      </c>
      <c r="BJ8" s="72">
        <f>IF($A8="","",IF(Q8="",0,IF(Q8=IF($B8="언어와 매체",자동계산!$D$16,자동계산!$B$16),IF($B8="언어와 매체",자동계산!$E$16,자동계산!$C$16),0)))</f>
        <v/>
      </c>
      <c r="BK8" s="72">
        <f>IF($A8="","",IF(R8="",0,IF(R8=IF($B8="언어와 매체",자동계산!$D$17,자동계산!$B$17),IF($B8="언어와 매체",자동계산!$E$17,자동계산!$C$17),0)))</f>
        <v/>
      </c>
      <c r="BL8" s="72">
        <f>IF($A8="","",IF(S8="",0,IF(S8=IF($B8="언어와 매체",자동계산!$D$18,자동계산!$B$18),IF($B8="언어와 매체",자동계산!$E$18,자동계산!$C$18),0)))</f>
        <v/>
      </c>
      <c r="BM8" s="72">
        <f>IF($A8="","",IF(T8="",0,IF(T8=IF($B8="언어와 매체",자동계산!$D$19,자동계산!$B$19),IF($B8="언어와 매체",자동계산!$E$19,자동계산!$C$19),0)))</f>
        <v/>
      </c>
      <c r="BN8" s="72">
        <f>IF($A8="","",IF(U8="",0,IF(U8=IF($B8="언어와 매체",자동계산!$D$20,자동계산!$B$20),IF($B8="언어와 매체",자동계산!$E$20,자동계산!$C$20),0)))</f>
        <v/>
      </c>
      <c r="BO8" s="72">
        <f>IF($A8="","",IF(V8="",0,IF(V8=IF($B8="언어와 매체",자동계산!$D$21,자동계산!$B$21),IF($B8="언어와 매체",자동계산!$E$21,자동계산!$C$21),0)))</f>
        <v/>
      </c>
      <c r="BP8" s="72">
        <f>IF($A8="","",IF(W8="",0,IF(W8=IF($B8="언어와 매체",자동계산!$D$22,자동계산!$B$22),IF($B8="언어와 매체",자동계산!$E$22,자동계산!$C$22),0)))</f>
        <v/>
      </c>
      <c r="BQ8" s="72">
        <f>IF($A8="","",IF(X8="",0,IF(X8=IF($B8="언어와 매체",자동계산!$D$23,자동계산!$B$23),IF($B8="언어와 매체",자동계산!$E$23,자동계산!$C$23),0)))</f>
        <v/>
      </c>
      <c r="BR8" s="72">
        <f>IF($A8="","",IF(Y8="",0,IF(Y8=IF($B8="언어와 매체",자동계산!$D$24,자동계산!$B$24),IF($B8="언어와 매체",자동계산!$E$24,자동계산!$C$24),0)))</f>
        <v/>
      </c>
      <c r="BS8" s="72">
        <f>IF($A8="","",IF(Z8="",0,IF(Z8=IF($B8="언어와 매체",자동계산!$D$25,자동계산!$B$25),IF($B8="언어와 매체",자동계산!$E$25,자동계산!$C$25),0)))</f>
        <v/>
      </c>
      <c r="BT8" s="72">
        <f>IF($A8="","",IF(AA8="",0,IF(AA8=IF($B8="언어와 매체",자동계산!$D$26,자동계산!$B$26),IF($B8="언어와 매체",자동계산!$E$26,자동계산!$C$26),0)))</f>
        <v/>
      </c>
      <c r="BU8" s="72">
        <f>IF($A8="","",IF(AB8="",0,IF(AB8=IF($B8="언어와 매체",자동계산!$D$27,자동계산!$B$27),IF($B8="언어와 매체",자동계산!$E$27,자동계산!$C$27),0)))</f>
        <v/>
      </c>
      <c r="BV8" s="72">
        <f>IF($A8="","",IF(AC8="",0,IF(AC8=IF($B8="언어와 매체",자동계산!$D$28,자동계산!$B$28),IF($B8="언어와 매체",자동계산!$E$28,자동계산!$C$28),0)))</f>
        <v/>
      </c>
      <c r="BW8" s="72">
        <f>IF($A8="","",IF(AD8="",0,IF(AD8=IF($B8="언어와 매체",자동계산!$D$29,자동계산!$B$29),IF($B8="언어와 매체",자동계산!$E$29,자동계산!$C$29),0)))</f>
        <v/>
      </c>
      <c r="BX8" s="72">
        <f>IF($A8="","",IF(AE8="",0,IF(AE8=IF($B8="언어와 매체",자동계산!$D$30,자동계산!$B$30),IF($B8="언어와 매체",자동계산!$E$30,자동계산!$C$30),0)))</f>
        <v/>
      </c>
      <c r="BY8" s="72">
        <f>IF($A8="","",IF(AF8="",0,IF(AF8=IF($B8="언어와 매체",자동계산!$D$31,자동계산!$B$31),IF($B8="언어와 매체",자동계산!$E$31,자동계산!$C$31),0)))</f>
        <v/>
      </c>
      <c r="BZ8" s="72">
        <f>IF($A8="","",IF(AG8="",0,IF(AG8=IF($B8="언어와 매체",자동계산!$D$32,자동계산!$B$32),IF($B8="언어와 매체",자동계산!$E$32,자동계산!$C$32),0)))</f>
        <v/>
      </c>
      <c r="CA8" s="72">
        <f>IF($A8="","",IF(AH8="",0,IF(AH8=IF($B8="언어와 매체",자동계산!$D$33,자동계산!$B$33),IF($B8="언어와 매체",자동계산!$E$33,자동계산!$C$33),0)))</f>
        <v/>
      </c>
      <c r="CB8" s="72">
        <f>IF($A8="","",IF(AI8="",0,IF(AI8=IF($B8="언어와 매체",자동계산!$D$34,자동계산!$B$34),IF($B8="언어와 매체",자동계산!$E$34,자동계산!$C$34),0)))</f>
        <v/>
      </c>
      <c r="CC8" s="72">
        <f>IF($A8="","",IF(AJ8="",0,IF(AJ8=IF($B8="언어와 매체",자동계산!$D$35,자동계산!$B$35),IF($B8="언어와 매체",자동계산!$E$35,자동계산!$C$35),0)))</f>
        <v/>
      </c>
      <c r="CD8" s="72">
        <f>IF($A8="","",IF(AK8="",0,IF(AK8=IF($B8="언어와 매체",자동계산!$D$36,자동계산!$B$36),IF($B8="언어와 매체",자동계산!$E$36,자동계산!$C$36),0)))</f>
        <v/>
      </c>
      <c r="CE8" s="72">
        <f>IF($A8="","",IF(AL8="",0,IF(AL8=IF($B8="언어와 매체",자동계산!$D$37,자동계산!$B$37),IF($B8="언어와 매체",자동계산!$E$37,자동계산!$C$37),0)))</f>
        <v/>
      </c>
      <c r="CF8" s="72">
        <f>IF($A8="","",IF(AM8="",0,IF(AM8=IF($B8="언어와 매체",자동계산!$D$38,자동계산!$B$38),IF($B8="언어와 매체",자동계산!$E$38,자동계산!$C$38),0)))</f>
        <v/>
      </c>
      <c r="CG8" s="72">
        <f>IF($A8="","",IF(AN8="",0,IF(AN8=IF($B8="언어와 매체",자동계산!$D$39,자동계산!$B$39),IF($B8="언어와 매체",자동계산!$E$39,자동계산!$C$39),0)))</f>
        <v/>
      </c>
      <c r="CH8" s="72">
        <f>IF($A8="","",IF(AO8="",0,IF(AO8=IF($B8="언어와 매체",자동계산!$D$40,자동계산!$B$40),IF($B8="언어와 매체",자동계산!$E$40,자동계산!$C$40),0)))</f>
        <v/>
      </c>
      <c r="CI8" s="72">
        <f>IF($A8="","",IF(AP8="",0,IF(AP8=IF($B8="언어와 매체",자동계산!$D$41,자동계산!$B$41),IF($B8="언어와 매체",자동계산!$E$41,자동계산!$C$41),0)))</f>
        <v/>
      </c>
      <c r="CJ8" s="72">
        <f>IF($A8="","",IF(AQ8="",0,IF(AQ8=IF($B8="언어와 매체",자동계산!$D$42,자동계산!$B$42),IF($B8="언어와 매체",자동계산!$E$42,자동계산!$C$42),0)))</f>
        <v/>
      </c>
      <c r="CK8" s="72">
        <f>IF($A8="","",IF(AR8="",0,IF(AR8=IF($B8="언어와 매체",자동계산!$D$43,자동계산!$B$43),IF($B8="언어와 매체",자동계산!$E$43,자동계산!$C$43),0)))</f>
        <v/>
      </c>
      <c r="CL8" s="72">
        <f>IF($A8="","",IF(AS8="",0,IF(AS8=IF($B8="언어와 매체",자동계산!$D$44,자동계산!$B$44),IF($B8="언어와 매체",자동계산!$E$44,자동계산!$C$44),0)))</f>
        <v/>
      </c>
      <c r="CM8" s="72">
        <f>IF($A8="","",IF(AT8="",0,IF(AT8=IF($B8="언어와 매체",자동계산!$D$45,자동계산!$B$45),IF($B8="언어와 매체",자동계산!$E$45,자동계산!$C$45),0)))</f>
        <v/>
      </c>
      <c r="CN8" s="72">
        <f>IF($A8="","",IF(AU8="",0,IF(AU8=IF($B8="언어와 매체",자동계산!$D$46,자동계산!$B$46),IF($B8="언어와 매체",자동계산!$E$46,자동계산!$C$46),0)))</f>
        <v/>
      </c>
      <c r="CO8" s="72">
        <f>IF($A8="","",IF(AV8="",0,IF(AV8=IF($B8="언어와 매체",자동계산!$D$47,자동계산!$B$47),IF($B8="언어와 매체",자동계산!$E$47,자동계산!$C$47),0)))</f>
        <v/>
      </c>
      <c r="CP8" s="72">
        <f>IF($A8="","",IF(AW8="",0,IF(AW8=IF($B8="언어와 매체",자동계산!$D$48,자동계산!$B$48),IF($B8="언어와 매체",자동계산!$E$48,자동계산!$C$48),0)))</f>
        <v/>
      </c>
    </row>
    <row r="9">
      <c r="A9" s="70">
        <f>IF(답안입력!A9="","",답안입력!A9)</f>
        <v/>
      </c>
      <c r="B9" s="70">
        <f>IF($A9="","",답안입력!C9)</f>
        <v/>
      </c>
      <c r="C9" s="71">
        <f>IF($A9="","",SUM(AX9:CP9))</f>
        <v/>
      </c>
      <c r="D9" s="70">
        <f>IF($A9="","",IF($C9&gt;=IF($B9="언어와 매체",회차설정!$B$9,회차설정!$B$8),"1등급",IF($C9&gt;=IF($B9="언어와 매체",회차설정!$C$9,회차설정!$C$8),"2등급",IF($C9&gt;=IF($B9="언어와 매체",회차설정!$D$9,회차설정!$D$8),"3등급",IF($C9&gt;=IF($B9="언어와 매체",회차설정!$E$9,회차설정!$E$8),"4등급","등급 외")))))</f>
        <v/>
      </c>
      <c r="E9" s="72">
        <f>IF($A9="","",IF(LEN(답안입력!$D9)&gt;=1,VALUE(MID(답안입력!$D9,1,1)),IF(답안입력!E9="","",답안입력!E9)))</f>
        <v/>
      </c>
      <c r="F9" s="72">
        <f>IF($A9="","",IF(LEN(답안입력!$D9)&gt;=2,VALUE(MID(답안입력!$D9,2,1)),IF(답안입력!F9="","",답안입력!F9)))</f>
        <v/>
      </c>
      <c r="G9" s="72">
        <f>IF($A9="","",IF(LEN(답안입력!$D9)&gt;=3,VALUE(MID(답안입력!$D9,3,1)),IF(답안입력!G9="","",답안입력!G9)))</f>
        <v/>
      </c>
      <c r="H9" s="72">
        <f>IF($A9="","",IF(LEN(답안입력!$D9)&gt;=4,VALUE(MID(답안입력!$D9,4,1)),IF(답안입력!H9="","",답안입력!H9)))</f>
        <v/>
      </c>
      <c r="I9" s="72">
        <f>IF($A9="","",IF(LEN(답안입력!$D9)&gt;=5,VALUE(MID(답안입력!$D9,5,1)),IF(답안입력!I9="","",답안입력!I9)))</f>
        <v/>
      </c>
      <c r="J9" s="72">
        <f>IF($A9="","",IF(LEN(답안입력!$D9)&gt;=6,VALUE(MID(답안입력!$D9,6,1)),IF(답안입력!J9="","",답안입력!J9)))</f>
        <v/>
      </c>
      <c r="K9" s="72">
        <f>IF($A9="","",IF(LEN(답안입력!$D9)&gt;=7,VALUE(MID(답안입력!$D9,7,1)),IF(답안입력!K9="","",답안입력!K9)))</f>
        <v/>
      </c>
      <c r="L9" s="72">
        <f>IF($A9="","",IF(LEN(답안입력!$D9)&gt;=8,VALUE(MID(답안입력!$D9,8,1)),IF(답안입력!L9="","",답안입력!L9)))</f>
        <v/>
      </c>
      <c r="M9" s="72">
        <f>IF($A9="","",IF(LEN(답안입력!$D9)&gt;=9,VALUE(MID(답안입력!$D9,9,1)),IF(답안입력!M9="","",답안입력!M9)))</f>
        <v/>
      </c>
      <c r="N9" s="72">
        <f>IF($A9="","",IF(LEN(답안입력!$D9)&gt;=10,VALUE(MID(답안입력!$D9,10,1)),IF(답안입력!N9="","",답안입력!N9)))</f>
        <v/>
      </c>
      <c r="O9" s="72">
        <f>IF($A9="","",IF(LEN(답안입력!$D9)&gt;=11,VALUE(MID(답안입력!$D9,11,1)),IF(답안입력!O9="","",답안입력!O9)))</f>
        <v/>
      </c>
      <c r="P9" s="72">
        <f>IF($A9="","",IF(LEN(답안입력!$D9)&gt;=12,VALUE(MID(답안입력!$D9,12,1)),IF(답안입력!P9="","",답안입력!P9)))</f>
        <v/>
      </c>
      <c r="Q9" s="72">
        <f>IF($A9="","",IF(LEN(답안입력!$D9)&gt;=13,VALUE(MID(답안입력!$D9,13,1)),IF(답안입력!Q9="","",답안입력!Q9)))</f>
        <v/>
      </c>
      <c r="R9" s="72">
        <f>IF($A9="","",IF(LEN(답안입력!$D9)&gt;=14,VALUE(MID(답안입력!$D9,14,1)),IF(답안입력!R9="","",답안입력!R9)))</f>
        <v/>
      </c>
      <c r="S9" s="72">
        <f>IF($A9="","",IF(LEN(답안입력!$D9)&gt;=15,VALUE(MID(답안입력!$D9,15,1)),IF(답안입력!S9="","",답안입력!S9)))</f>
        <v/>
      </c>
      <c r="T9" s="72">
        <f>IF($A9="","",IF(LEN(답안입력!$D9)&gt;=16,VALUE(MID(답안입력!$D9,16,1)),IF(답안입력!T9="","",답안입력!T9)))</f>
        <v/>
      </c>
      <c r="U9" s="72">
        <f>IF($A9="","",IF(LEN(답안입력!$D9)&gt;=17,VALUE(MID(답안입력!$D9,17,1)),IF(답안입력!U9="","",답안입력!U9)))</f>
        <v/>
      </c>
      <c r="V9" s="72">
        <f>IF($A9="","",IF(LEN(답안입력!$D9)&gt;=18,VALUE(MID(답안입력!$D9,18,1)),IF(답안입력!V9="","",답안입력!V9)))</f>
        <v/>
      </c>
      <c r="W9" s="72">
        <f>IF($A9="","",IF(LEN(답안입력!$D9)&gt;=19,VALUE(MID(답안입력!$D9,19,1)),IF(답안입력!W9="","",답안입력!W9)))</f>
        <v/>
      </c>
      <c r="X9" s="72">
        <f>IF($A9="","",IF(LEN(답안입력!$D9)&gt;=20,VALUE(MID(답안입력!$D9,20,1)),IF(답안입력!X9="","",답안입력!X9)))</f>
        <v/>
      </c>
      <c r="Y9" s="72">
        <f>IF($A9="","",IF(LEN(답안입력!$D9)&gt;=21,VALUE(MID(답안입력!$D9,21,1)),IF(답안입력!Y9="","",답안입력!Y9)))</f>
        <v/>
      </c>
      <c r="Z9" s="72">
        <f>IF($A9="","",IF(LEN(답안입력!$D9)&gt;=22,VALUE(MID(답안입력!$D9,22,1)),IF(답안입력!Z9="","",답안입력!Z9)))</f>
        <v/>
      </c>
      <c r="AA9" s="72">
        <f>IF($A9="","",IF(LEN(답안입력!$D9)&gt;=23,VALUE(MID(답안입력!$D9,23,1)),IF(답안입력!AA9="","",답안입력!AA9)))</f>
        <v/>
      </c>
      <c r="AB9" s="72">
        <f>IF($A9="","",IF(LEN(답안입력!$D9)&gt;=24,VALUE(MID(답안입력!$D9,24,1)),IF(답안입력!AB9="","",답안입력!AB9)))</f>
        <v/>
      </c>
      <c r="AC9" s="72">
        <f>IF($A9="","",IF(LEN(답안입력!$D9)&gt;=25,VALUE(MID(답안입력!$D9,25,1)),IF(답안입력!AC9="","",답안입력!AC9)))</f>
        <v/>
      </c>
      <c r="AD9" s="72">
        <f>IF($A9="","",IF(LEN(답안입력!$D9)&gt;=26,VALUE(MID(답안입력!$D9,26,1)),IF(답안입력!AD9="","",답안입력!AD9)))</f>
        <v/>
      </c>
      <c r="AE9" s="72">
        <f>IF($A9="","",IF(LEN(답안입력!$D9)&gt;=27,VALUE(MID(답안입력!$D9,27,1)),IF(답안입력!AE9="","",답안입력!AE9)))</f>
        <v/>
      </c>
      <c r="AF9" s="72">
        <f>IF($A9="","",IF(LEN(답안입력!$D9)&gt;=28,VALUE(MID(답안입력!$D9,28,1)),IF(답안입력!AF9="","",답안입력!AF9)))</f>
        <v/>
      </c>
      <c r="AG9" s="72">
        <f>IF($A9="","",IF(LEN(답안입력!$D9)&gt;=29,VALUE(MID(답안입력!$D9,29,1)),IF(답안입력!AG9="","",답안입력!AG9)))</f>
        <v/>
      </c>
      <c r="AH9" s="72">
        <f>IF($A9="","",IF(LEN(답안입력!$D9)&gt;=30,VALUE(MID(답안입력!$D9,30,1)),IF(답안입력!AH9="","",답안입력!AH9)))</f>
        <v/>
      </c>
      <c r="AI9" s="72">
        <f>IF($A9="","",IF(LEN(답안입력!$D9)&gt;=31,VALUE(MID(답안입력!$D9,31,1)),IF(답안입력!AI9="","",답안입력!AI9)))</f>
        <v/>
      </c>
      <c r="AJ9" s="72">
        <f>IF($A9="","",IF(LEN(답안입력!$D9)&gt;=32,VALUE(MID(답안입력!$D9,32,1)),IF(답안입력!AJ9="","",답안입력!AJ9)))</f>
        <v/>
      </c>
      <c r="AK9" s="72">
        <f>IF($A9="","",IF(LEN(답안입력!$D9)&gt;=33,VALUE(MID(답안입력!$D9,33,1)),IF(답안입력!AK9="","",답안입력!AK9)))</f>
        <v/>
      </c>
      <c r="AL9" s="72">
        <f>IF($A9="","",IF(LEN(답안입력!$D9)&gt;=34,VALUE(MID(답안입력!$D9,34,1)),IF(답안입력!AL9="","",답안입력!AL9)))</f>
        <v/>
      </c>
      <c r="AM9" s="72">
        <f>IF($A9="","",IF(LEN(답안입력!$D9)&gt;=35,VALUE(MID(답안입력!$D9,35,1)),IF(답안입력!AM9="","",답안입력!AM9)))</f>
        <v/>
      </c>
      <c r="AN9" s="72">
        <f>IF($A9="","",IF(LEN(답안입력!$D9)&gt;=36,VALUE(MID(답안입력!$D9,36,1)),IF(답안입력!AN9="","",답안입력!AN9)))</f>
        <v/>
      </c>
      <c r="AO9" s="72">
        <f>IF($A9="","",IF(LEN(답안입력!$D9)&gt;=37,VALUE(MID(답안입력!$D9,37,1)),IF(답안입력!AO9="","",답안입력!AO9)))</f>
        <v/>
      </c>
      <c r="AP9" s="72">
        <f>IF($A9="","",IF(LEN(답안입력!$D9)&gt;=38,VALUE(MID(답안입력!$D9,38,1)),IF(답안입력!AP9="","",답안입력!AP9)))</f>
        <v/>
      </c>
      <c r="AQ9" s="72">
        <f>IF($A9="","",IF(LEN(답안입력!$D9)&gt;=39,VALUE(MID(답안입력!$D9,39,1)),IF(답안입력!AQ9="","",답안입력!AQ9)))</f>
        <v/>
      </c>
      <c r="AR9" s="72">
        <f>IF($A9="","",IF(LEN(답안입력!$D9)&gt;=40,VALUE(MID(답안입력!$D9,40,1)),IF(답안입력!AR9="","",답안입력!AR9)))</f>
        <v/>
      </c>
      <c r="AS9" s="72">
        <f>IF($A9="","",IF(LEN(답안입력!$D9)&gt;=41,VALUE(MID(답안입력!$D9,41,1)),IF(답안입력!AS9="","",답안입력!AS9)))</f>
        <v/>
      </c>
      <c r="AT9" s="72">
        <f>IF($A9="","",IF(LEN(답안입력!$D9)&gt;=42,VALUE(MID(답안입력!$D9,42,1)),IF(답안입력!AT9="","",답안입력!AT9)))</f>
        <v/>
      </c>
      <c r="AU9" s="72">
        <f>IF($A9="","",IF(LEN(답안입력!$D9)&gt;=43,VALUE(MID(답안입력!$D9,43,1)),IF(답안입력!AU9="","",답안입력!AU9)))</f>
        <v/>
      </c>
      <c r="AV9" s="72">
        <f>IF($A9="","",IF(LEN(답안입력!$D9)&gt;=44,VALUE(MID(답안입력!$D9,44,1)),IF(답안입력!AV9="","",답안입력!AV9)))</f>
        <v/>
      </c>
      <c r="AW9" s="72">
        <f>IF($A9="","",IF(LEN(답안입력!$D9)&gt;=45,VALUE(MID(답안입력!$D9,45,1)),IF(답안입력!AW9="","",답안입력!AW9)))</f>
        <v/>
      </c>
      <c r="AX9" s="72">
        <f>IF($A9="","",IF(E9="",0,IF(E9=IF($B9="언어와 매체",자동계산!$D$4,자동계산!$B$4),IF($B9="언어와 매체",자동계산!$E$4,자동계산!$C$4),0)))</f>
        <v/>
      </c>
      <c r="AY9" s="72">
        <f>IF($A9="","",IF(F9="",0,IF(F9=IF($B9="언어와 매체",자동계산!$D$5,자동계산!$B$5),IF($B9="언어와 매체",자동계산!$E$5,자동계산!$C$5),0)))</f>
        <v/>
      </c>
      <c r="AZ9" s="72">
        <f>IF($A9="","",IF(G9="",0,IF(G9=IF($B9="언어와 매체",자동계산!$D$6,자동계산!$B$6),IF($B9="언어와 매체",자동계산!$E$6,자동계산!$C$6),0)))</f>
        <v/>
      </c>
      <c r="BA9" s="72">
        <f>IF($A9="","",IF(H9="",0,IF(H9=IF($B9="언어와 매체",자동계산!$D$7,자동계산!$B$7),IF($B9="언어와 매체",자동계산!$E$7,자동계산!$C$7),0)))</f>
        <v/>
      </c>
      <c r="BB9" s="72">
        <f>IF($A9="","",IF(I9="",0,IF(I9=IF($B9="언어와 매체",자동계산!$D$8,자동계산!$B$8),IF($B9="언어와 매체",자동계산!$E$8,자동계산!$C$8),0)))</f>
        <v/>
      </c>
      <c r="BC9" s="72">
        <f>IF($A9="","",IF(J9="",0,IF(J9=IF($B9="언어와 매체",자동계산!$D$9,자동계산!$B$9),IF($B9="언어와 매체",자동계산!$E$9,자동계산!$C$9),0)))</f>
        <v/>
      </c>
      <c r="BD9" s="72">
        <f>IF($A9="","",IF(K9="",0,IF(K9=IF($B9="언어와 매체",자동계산!$D$10,자동계산!$B$10),IF($B9="언어와 매체",자동계산!$E$10,자동계산!$C$10),0)))</f>
        <v/>
      </c>
      <c r="BE9" s="72">
        <f>IF($A9="","",IF(L9="",0,IF(L9=IF($B9="언어와 매체",자동계산!$D$11,자동계산!$B$11),IF($B9="언어와 매체",자동계산!$E$11,자동계산!$C$11),0)))</f>
        <v/>
      </c>
      <c r="BF9" s="72">
        <f>IF($A9="","",IF(M9="",0,IF(M9=IF($B9="언어와 매체",자동계산!$D$12,자동계산!$B$12),IF($B9="언어와 매체",자동계산!$E$12,자동계산!$C$12),0)))</f>
        <v/>
      </c>
      <c r="BG9" s="72">
        <f>IF($A9="","",IF(N9="",0,IF(N9=IF($B9="언어와 매체",자동계산!$D$13,자동계산!$B$13),IF($B9="언어와 매체",자동계산!$E$13,자동계산!$C$13),0)))</f>
        <v/>
      </c>
      <c r="BH9" s="72">
        <f>IF($A9="","",IF(O9="",0,IF(O9=IF($B9="언어와 매체",자동계산!$D$14,자동계산!$B$14),IF($B9="언어와 매체",자동계산!$E$14,자동계산!$C$14),0)))</f>
        <v/>
      </c>
      <c r="BI9" s="72">
        <f>IF($A9="","",IF(P9="",0,IF(P9=IF($B9="언어와 매체",자동계산!$D$15,자동계산!$B$15),IF($B9="언어와 매체",자동계산!$E$15,자동계산!$C$15),0)))</f>
        <v/>
      </c>
      <c r="BJ9" s="72">
        <f>IF($A9="","",IF(Q9="",0,IF(Q9=IF($B9="언어와 매체",자동계산!$D$16,자동계산!$B$16),IF($B9="언어와 매체",자동계산!$E$16,자동계산!$C$16),0)))</f>
        <v/>
      </c>
      <c r="BK9" s="72">
        <f>IF($A9="","",IF(R9="",0,IF(R9=IF($B9="언어와 매체",자동계산!$D$17,자동계산!$B$17),IF($B9="언어와 매체",자동계산!$E$17,자동계산!$C$17),0)))</f>
        <v/>
      </c>
      <c r="BL9" s="72">
        <f>IF($A9="","",IF(S9="",0,IF(S9=IF($B9="언어와 매체",자동계산!$D$18,자동계산!$B$18),IF($B9="언어와 매체",자동계산!$E$18,자동계산!$C$18),0)))</f>
        <v/>
      </c>
      <c r="BM9" s="72">
        <f>IF($A9="","",IF(T9="",0,IF(T9=IF($B9="언어와 매체",자동계산!$D$19,자동계산!$B$19),IF($B9="언어와 매체",자동계산!$E$19,자동계산!$C$19),0)))</f>
        <v/>
      </c>
      <c r="BN9" s="72">
        <f>IF($A9="","",IF(U9="",0,IF(U9=IF($B9="언어와 매체",자동계산!$D$20,자동계산!$B$20),IF($B9="언어와 매체",자동계산!$E$20,자동계산!$C$20),0)))</f>
        <v/>
      </c>
      <c r="BO9" s="72">
        <f>IF($A9="","",IF(V9="",0,IF(V9=IF($B9="언어와 매체",자동계산!$D$21,자동계산!$B$21),IF($B9="언어와 매체",자동계산!$E$21,자동계산!$C$21),0)))</f>
        <v/>
      </c>
      <c r="BP9" s="72">
        <f>IF($A9="","",IF(W9="",0,IF(W9=IF($B9="언어와 매체",자동계산!$D$22,자동계산!$B$22),IF($B9="언어와 매체",자동계산!$E$22,자동계산!$C$22),0)))</f>
        <v/>
      </c>
      <c r="BQ9" s="72">
        <f>IF($A9="","",IF(X9="",0,IF(X9=IF($B9="언어와 매체",자동계산!$D$23,자동계산!$B$23),IF($B9="언어와 매체",자동계산!$E$23,자동계산!$C$23),0)))</f>
        <v/>
      </c>
      <c r="BR9" s="72">
        <f>IF($A9="","",IF(Y9="",0,IF(Y9=IF($B9="언어와 매체",자동계산!$D$24,자동계산!$B$24),IF($B9="언어와 매체",자동계산!$E$24,자동계산!$C$24),0)))</f>
        <v/>
      </c>
      <c r="BS9" s="72">
        <f>IF($A9="","",IF(Z9="",0,IF(Z9=IF($B9="언어와 매체",자동계산!$D$25,자동계산!$B$25),IF($B9="언어와 매체",자동계산!$E$25,자동계산!$C$25),0)))</f>
        <v/>
      </c>
      <c r="BT9" s="72">
        <f>IF($A9="","",IF(AA9="",0,IF(AA9=IF($B9="언어와 매체",자동계산!$D$26,자동계산!$B$26),IF($B9="언어와 매체",자동계산!$E$26,자동계산!$C$26),0)))</f>
        <v/>
      </c>
      <c r="BU9" s="72">
        <f>IF($A9="","",IF(AB9="",0,IF(AB9=IF($B9="언어와 매체",자동계산!$D$27,자동계산!$B$27),IF($B9="언어와 매체",자동계산!$E$27,자동계산!$C$27),0)))</f>
        <v/>
      </c>
      <c r="BV9" s="72">
        <f>IF($A9="","",IF(AC9="",0,IF(AC9=IF($B9="언어와 매체",자동계산!$D$28,자동계산!$B$28),IF($B9="언어와 매체",자동계산!$E$28,자동계산!$C$28),0)))</f>
        <v/>
      </c>
      <c r="BW9" s="72">
        <f>IF($A9="","",IF(AD9="",0,IF(AD9=IF($B9="언어와 매체",자동계산!$D$29,자동계산!$B$29),IF($B9="언어와 매체",자동계산!$E$29,자동계산!$C$29),0)))</f>
        <v/>
      </c>
      <c r="BX9" s="72">
        <f>IF($A9="","",IF(AE9="",0,IF(AE9=IF($B9="언어와 매체",자동계산!$D$30,자동계산!$B$30),IF($B9="언어와 매체",자동계산!$E$30,자동계산!$C$30),0)))</f>
        <v/>
      </c>
      <c r="BY9" s="72">
        <f>IF($A9="","",IF(AF9="",0,IF(AF9=IF($B9="언어와 매체",자동계산!$D$31,자동계산!$B$31),IF($B9="언어와 매체",자동계산!$E$31,자동계산!$C$31),0)))</f>
        <v/>
      </c>
      <c r="BZ9" s="72">
        <f>IF($A9="","",IF(AG9="",0,IF(AG9=IF($B9="언어와 매체",자동계산!$D$32,자동계산!$B$32),IF($B9="언어와 매체",자동계산!$E$32,자동계산!$C$32),0)))</f>
        <v/>
      </c>
      <c r="CA9" s="72">
        <f>IF($A9="","",IF(AH9="",0,IF(AH9=IF($B9="언어와 매체",자동계산!$D$33,자동계산!$B$33),IF($B9="언어와 매체",자동계산!$E$33,자동계산!$C$33),0)))</f>
        <v/>
      </c>
      <c r="CB9" s="72">
        <f>IF($A9="","",IF(AI9="",0,IF(AI9=IF($B9="언어와 매체",자동계산!$D$34,자동계산!$B$34),IF($B9="언어와 매체",자동계산!$E$34,자동계산!$C$34),0)))</f>
        <v/>
      </c>
      <c r="CC9" s="72">
        <f>IF($A9="","",IF(AJ9="",0,IF(AJ9=IF($B9="언어와 매체",자동계산!$D$35,자동계산!$B$35),IF($B9="언어와 매체",자동계산!$E$35,자동계산!$C$35),0)))</f>
        <v/>
      </c>
      <c r="CD9" s="72">
        <f>IF($A9="","",IF(AK9="",0,IF(AK9=IF($B9="언어와 매체",자동계산!$D$36,자동계산!$B$36),IF($B9="언어와 매체",자동계산!$E$36,자동계산!$C$36),0)))</f>
        <v/>
      </c>
      <c r="CE9" s="72">
        <f>IF($A9="","",IF(AL9="",0,IF(AL9=IF($B9="언어와 매체",자동계산!$D$37,자동계산!$B$37),IF($B9="언어와 매체",자동계산!$E$37,자동계산!$C$37),0)))</f>
        <v/>
      </c>
      <c r="CF9" s="72">
        <f>IF($A9="","",IF(AM9="",0,IF(AM9=IF($B9="언어와 매체",자동계산!$D$38,자동계산!$B$38),IF($B9="언어와 매체",자동계산!$E$38,자동계산!$C$38),0)))</f>
        <v/>
      </c>
      <c r="CG9" s="72">
        <f>IF($A9="","",IF(AN9="",0,IF(AN9=IF($B9="언어와 매체",자동계산!$D$39,자동계산!$B$39),IF($B9="언어와 매체",자동계산!$E$39,자동계산!$C$39),0)))</f>
        <v/>
      </c>
      <c r="CH9" s="72">
        <f>IF($A9="","",IF(AO9="",0,IF(AO9=IF($B9="언어와 매체",자동계산!$D$40,자동계산!$B$40),IF($B9="언어와 매체",자동계산!$E$40,자동계산!$C$40),0)))</f>
        <v/>
      </c>
      <c r="CI9" s="72">
        <f>IF($A9="","",IF(AP9="",0,IF(AP9=IF($B9="언어와 매체",자동계산!$D$41,자동계산!$B$41),IF($B9="언어와 매체",자동계산!$E$41,자동계산!$C$41),0)))</f>
        <v/>
      </c>
      <c r="CJ9" s="72">
        <f>IF($A9="","",IF(AQ9="",0,IF(AQ9=IF($B9="언어와 매체",자동계산!$D$42,자동계산!$B$42),IF($B9="언어와 매체",자동계산!$E$42,자동계산!$C$42),0)))</f>
        <v/>
      </c>
      <c r="CK9" s="72">
        <f>IF($A9="","",IF(AR9="",0,IF(AR9=IF($B9="언어와 매체",자동계산!$D$43,자동계산!$B$43),IF($B9="언어와 매체",자동계산!$E$43,자동계산!$C$43),0)))</f>
        <v/>
      </c>
      <c r="CL9" s="72">
        <f>IF($A9="","",IF(AS9="",0,IF(AS9=IF($B9="언어와 매체",자동계산!$D$44,자동계산!$B$44),IF($B9="언어와 매체",자동계산!$E$44,자동계산!$C$44),0)))</f>
        <v/>
      </c>
      <c r="CM9" s="72">
        <f>IF($A9="","",IF(AT9="",0,IF(AT9=IF($B9="언어와 매체",자동계산!$D$45,자동계산!$B$45),IF($B9="언어와 매체",자동계산!$E$45,자동계산!$C$45),0)))</f>
        <v/>
      </c>
      <c r="CN9" s="72">
        <f>IF($A9="","",IF(AU9="",0,IF(AU9=IF($B9="언어와 매체",자동계산!$D$46,자동계산!$B$46),IF($B9="언어와 매체",자동계산!$E$46,자동계산!$C$46),0)))</f>
        <v/>
      </c>
      <c r="CO9" s="72">
        <f>IF($A9="","",IF(AV9="",0,IF(AV9=IF($B9="언어와 매체",자동계산!$D$47,자동계산!$B$47),IF($B9="언어와 매체",자동계산!$E$47,자동계산!$C$47),0)))</f>
        <v/>
      </c>
      <c r="CP9" s="72">
        <f>IF($A9="","",IF(AW9="",0,IF(AW9=IF($B9="언어와 매체",자동계산!$D$48,자동계산!$B$48),IF($B9="언어와 매체",자동계산!$E$48,자동계산!$C$48),0)))</f>
        <v/>
      </c>
    </row>
    <row r="10">
      <c r="A10" s="70">
        <f>IF(답안입력!A10="","",답안입력!A10)</f>
        <v/>
      </c>
      <c r="B10" s="70">
        <f>IF($A10="","",답안입력!C10)</f>
        <v/>
      </c>
      <c r="C10" s="71">
        <f>IF($A10="","",SUM(AX10:CP10))</f>
        <v/>
      </c>
      <c r="D10" s="70">
        <f>IF($A10="","",IF($C10&gt;=IF($B10="언어와 매체",회차설정!$B$9,회차설정!$B$8),"1등급",IF($C10&gt;=IF($B10="언어와 매체",회차설정!$C$9,회차설정!$C$8),"2등급",IF($C10&gt;=IF($B10="언어와 매체",회차설정!$D$9,회차설정!$D$8),"3등급",IF($C10&gt;=IF($B10="언어와 매체",회차설정!$E$9,회차설정!$E$8),"4등급","등급 외")))))</f>
        <v/>
      </c>
      <c r="E10" s="72">
        <f>IF($A10="","",IF(LEN(답안입력!$D10)&gt;=1,VALUE(MID(답안입력!$D10,1,1)),IF(답안입력!E10="","",답안입력!E10)))</f>
        <v/>
      </c>
      <c r="F10" s="72">
        <f>IF($A10="","",IF(LEN(답안입력!$D10)&gt;=2,VALUE(MID(답안입력!$D10,2,1)),IF(답안입력!F10="","",답안입력!F10)))</f>
        <v/>
      </c>
      <c r="G10" s="72">
        <f>IF($A10="","",IF(LEN(답안입력!$D10)&gt;=3,VALUE(MID(답안입력!$D10,3,1)),IF(답안입력!G10="","",답안입력!G10)))</f>
        <v/>
      </c>
      <c r="H10" s="72">
        <f>IF($A10="","",IF(LEN(답안입력!$D10)&gt;=4,VALUE(MID(답안입력!$D10,4,1)),IF(답안입력!H10="","",답안입력!H10)))</f>
        <v/>
      </c>
      <c r="I10" s="72">
        <f>IF($A10="","",IF(LEN(답안입력!$D10)&gt;=5,VALUE(MID(답안입력!$D10,5,1)),IF(답안입력!I10="","",답안입력!I10)))</f>
        <v/>
      </c>
      <c r="J10" s="72">
        <f>IF($A10="","",IF(LEN(답안입력!$D10)&gt;=6,VALUE(MID(답안입력!$D10,6,1)),IF(답안입력!J10="","",답안입력!J10)))</f>
        <v/>
      </c>
      <c r="K10" s="72">
        <f>IF($A10="","",IF(LEN(답안입력!$D10)&gt;=7,VALUE(MID(답안입력!$D10,7,1)),IF(답안입력!K10="","",답안입력!K10)))</f>
        <v/>
      </c>
      <c r="L10" s="72">
        <f>IF($A10="","",IF(LEN(답안입력!$D10)&gt;=8,VALUE(MID(답안입력!$D10,8,1)),IF(답안입력!L10="","",답안입력!L10)))</f>
        <v/>
      </c>
      <c r="M10" s="72">
        <f>IF($A10="","",IF(LEN(답안입력!$D10)&gt;=9,VALUE(MID(답안입력!$D10,9,1)),IF(답안입력!M10="","",답안입력!M10)))</f>
        <v/>
      </c>
      <c r="N10" s="72">
        <f>IF($A10="","",IF(LEN(답안입력!$D10)&gt;=10,VALUE(MID(답안입력!$D10,10,1)),IF(답안입력!N10="","",답안입력!N10)))</f>
        <v/>
      </c>
      <c r="O10" s="72">
        <f>IF($A10="","",IF(LEN(답안입력!$D10)&gt;=11,VALUE(MID(답안입력!$D10,11,1)),IF(답안입력!O10="","",답안입력!O10)))</f>
        <v/>
      </c>
      <c r="P10" s="72">
        <f>IF($A10="","",IF(LEN(답안입력!$D10)&gt;=12,VALUE(MID(답안입력!$D10,12,1)),IF(답안입력!P10="","",답안입력!P10)))</f>
        <v/>
      </c>
      <c r="Q10" s="72">
        <f>IF($A10="","",IF(LEN(답안입력!$D10)&gt;=13,VALUE(MID(답안입력!$D10,13,1)),IF(답안입력!Q10="","",답안입력!Q10)))</f>
        <v/>
      </c>
      <c r="R10" s="72">
        <f>IF($A10="","",IF(LEN(답안입력!$D10)&gt;=14,VALUE(MID(답안입력!$D10,14,1)),IF(답안입력!R10="","",답안입력!R10)))</f>
        <v/>
      </c>
      <c r="S10" s="72">
        <f>IF($A10="","",IF(LEN(답안입력!$D10)&gt;=15,VALUE(MID(답안입력!$D10,15,1)),IF(답안입력!S10="","",답안입력!S10)))</f>
        <v/>
      </c>
      <c r="T10" s="72">
        <f>IF($A10="","",IF(LEN(답안입력!$D10)&gt;=16,VALUE(MID(답안입력!$D10,16,1)),IF(답안입력!T10="","",답안입력!T10)))</f>
        <v/>
      </c>
      <c r="U10" s="72">
        <f>IF($A10="","",IF(LEN(답안입력!$D10)&gt;=17,VALUE(MID(답안입력!$D10,17,1)),IF(답안입력!U10="","",답안입력!U10)))</f>
        <v/>
      </c>
      <c r="V10" s="72">
        <f>IF($A10="","",IF(LEN(답안입력!$D10)&gt;=18,VALUE(MID(답안입력!$D10,18,1)),IF(답안입력!V10="","",답안입력!V10)))</f>
        <v/>
      </c>
      <c r="W10" s="72">
        <f>IF($A10="","",IF(LEN(답안입력!$D10)&gt;=19,VALUE(MID(답안입력!$D10,19,1)),IF(답안입력!W10="","",답안입력!W10)))</f>
        <v/>
      </c>
      <c r="X10" s="72">
        <f>IF($A10="","",IF(LEN(답안입력!$D10)&gt;=20,VALUE(MID(답안입력!$D10,20,1)),IF(답안입력!X10="","",답안입력!X10)))</f>
        <v/>
      </c>
      <c r="Y10" s="72">
        <f>IF($A10="","",IF(LEN(답안입력!$D10)&gt;=21,VALUE(MID(답안입력!$D10,21,1)),IF(답안입력!Y10="","",답안입력!Y10)))</f>
        <v/>
      </c>
      <c r="Z10" s="72">
        <f>IF($A10="","",IF(LEN(답안입력!$D10)&gt;=22,VALUE(MID(답안입력!$D10,22,1)),IF(답안입력!Z10="","",답안입력!Z10)))</f>
        <v/>
      </c>
      <c r="AA10" s="72">
        <f>IF($A10="","",IF(LEN(답안입력!$D10)&gt;=23,VALUE(MID(답안입력!$D10,23,1)),IF(답안입력!AA10="","",답안입력!AA10)))</f>
        <v/>
      </c>
      <c r="AB10" s="72">
        <f>IF($A10="","",IF(LEN(답안입력!$D10)&gt;=24,VALUE(MID(답안입력!$D10,24,1)),IF(답안입력!AB10="","",답안입력!AB10)))</f>
        <v/>
      </c>
      <c r="AC10" s="72">
        <f>IF($A10="","",IF(LEN(답안입력!$D10)&gt;=25,VALUE(MID(답안입력!$D10,25,1)),IF(답안입력!AC10="","",답안입력!AC10)))</f>
        <v/>
      </c>
      <c r="AD10" s="72">
        <f>IF($A10="","",IF(LEN(답안입력!$D10)&gt;=26,VALUE(MID(답안입력!$D10,26,1)),IF(답안입력!AD10="","",답안입력!AD10)))</f>
        <v/>
      </c>
      <c r="AE10" s="72">
        <f>IF($A10="","",IF(LEN(답안입력!$D10)&gt;=27,VALUE(MID(답안입력!$D10,27,1)),IF(답안입력!AE10="","",답안입력!AE10)))</f>
        <v/>
      </c>
      <c r="AF10" s="72">
        <f>IF($A10="","",IF(LEN(답안입력!$D10)&gt;=28,VALUE(MID(답안입력!$D10,28,1)),IF(답안입력!AF10="","",답안입력!AF10)))</f>
        <v/>
      </c>
      <c r="AG10" s="72">
        <f>IF($A10="","",IF(LEN(답안입력!$D10)&gt;=29,VALUE(MID(답안입력!$D10,29,1)),IF(답안입력!AG10="","",답안입력!AG10)))</f>
        <v/>
      </c>
      <c r="AH10" s="72">
        <f>IF($A10="","",IF(LEN(답안입력!$D10)&gt;=30,VALUE(MID(답안입력!$D10,30,1)),IF(답안입력!AH10="","",답안입력!AH10)))</f>
        <v/>
      </c>
      <c r="AI10" s="72">
        <f>IF($A10="","",IF(LEN(답안입력!$D10)&gt;=31,VALUE(MID(답안입력!$D10,31,1)),IF(답안입력!AI10="","",답안입력!AI10)))</f>
        <v/>
      </c>
      <c r="AJ10" s="72">
        <f>IF($A10="","",IF(LEN(답안입력!$D10)&gt;=32,VALUE(MID(답안입력!$D10,32,1)),IF(답안입력!AJ10="","",답안입력!AJ10)))</f>
        <v/>
      </c>
      <c r="AK10" s="72">
        <f>IF($A10="","",IF(LEN(답안입력!$D10)&gt;=33,VALUE(MID(답안입력!$D10,33,1)),IF(답안입력!AK10="","",답안입력!AK10)))</f>
        <v/>
      </c>
      <c r="AL10" s="72">
        <f>IF($A10="","",IF(LEN(답안입력!$D10)&gt;=34,VALUE(MID(답안입력!$D10,34,1)),IF(답안입력!AL10="","",답안입력!AL10)))</f>
        <v/>
      </c>
      <c r="AM10" s="72">
        <f>IF($A10="","",IF(LEN(답안입력!$D10)&gt;=35,VALUE(MID(답안입력!$D10,35,1)),IF(답안입력!AM10="","",답안입력!AM10)))</f>
        <v/>
      </c>
      <c r="AN10" s="72">
        <f>IF($A10="","",IF(LEN(답안입력!$D10)&gt;=36,VALUE(MID(답안입력!$D10,36,1)),IF(답안입력!AN10="","",답안입력!AN10)))</f>
        <v/>
      </c>
      <c r="AO10" s="72">
        <f>IF($A10="","",IF(LEN(답안입력!$D10)&gt;=37,VALUE(MID(답안입력!$D10,37,1)),IF(답안입력!AO10="","",답안입력!AO10)))</f>
        <v/>
      </c>
      <c r="AP10" s="72">
        <f>IF($A10="","",IF(LEN(답안입력!$D10)&gt;=38,VALUE(MID(답안입력!$D10,38,1)),IF(답안입력!AP10="","",답안입력!AP10)))</f>
        <v/>
      </c>
      <c r="AQ10" s="72">
        <f>IF($A10="","",IF(LEN(답안입력!$D10)&gt;=39,VALUE(MID(답안입력!$D10,39,1)),IF(답안입력!AQ10="","",답안입력!AQ10)))</f>
        <v/>
      </c>
      <c r="AR10" s="72">
        <f>IF($A10="","",IF(LEN(답안입력!$D10)&gt;=40,VALUE(MID(답안입력!$D10,40,1)),IF(답안입력!AR10="","",답안입력!AR10)))</f>
        <v/>
      </c>
      <c r="AS10" s="72">
        <f>IF($A10="","",IF(LEN(답안입력!$D10)&gt;=41,VALUE(MID(답안입력!$D10,41,1)),IF(답안입력!AS10="","",답안입력!AS10)))</f>
        <v/>
      </c>
      <c r="AT10" s="72">
        <f>IF($A10="","",IF(LEN(답안입력!$D10)&gt;=42,VALUE(MID(답안입력!$D10,42,1)),IF(답안입력!AT10="","",답안입력!AT10)))</f>
        <v/>
      </c>
      <c r="AU10" s="72">
        <f>IF($A10="","",IF(LEN(답안입력!$D10)&gt;=43,VALUE(MID(답안입력!$D10,43,1)),IF(답안입력!AU10="","",답안입력!AU10)))</f>
        <v/>
      </c>
      <c r="AV10" s="72">
        <f>IF($A10="","",IF(LEN(답안입력!$D10)&gt;=44,VALUE(MID(답안입력!$D10,44,1)),IF(답안입력!AV10="","",답안입력!AV10)))</f>
        <v/>
      </c>
      <c r="AW10" s="72">
        <f>IF($A10="","",IF(LEN(답안입력!$D10)&gt;=45,VALUE(MID(답안입력!$D10,45,1)),IF(답안입력!AW10="","",답안입력!AW10)))</f>
        <v/>
      </c>
      <c r="AX10" s="72">
        <f>IF($A10="","",IF(E10="",0,IF(E10=IF($B10="언어와 매체",자동계산!$D$4,자동계산!$B$4),IF($B10="언어와 매체",자동계산!$E$4,자동계산!$C$4),0)))</f>
        <v/>
      </c>
      <c r="AY10" s="72">
        <f>IF($A10="","",IF(F10="",0,IF(F10=IF($B10="언어와 매체",자동계산!$D$5,자동계산!$B$5),IF($B10="언어와 매체",자동계산!$E$5,자동계산!$C$5),0)))</f>
        <v/>
      </c>
      <c r="AZ10" s="72">
        <f>IF($A10="","",IF(G10="",0,IF(G10=IF($B10="언어와 매체",자동계산!$D$6,자동계산!$B$6),IF($B10="언어와 매체",자동계산!$E$6,자동계산!$C$6),0)))</f>
        <v/>
      </c>
      <c r="BA10" s="72">
        <f>IF($A10="","",IF(H10="",0,IF(H10=IF($B10="언어와 매체",자동계산!$D$7,자동계산!$B$7),IF($B10="언어와 매체",자동계산!$E$7,자동계산!$C$7),0)))</f>
        <v/>
      </c>
      <c r="BB10" s="72">
        <f>IF($A10="","",IF(I10="",0,IF(I10=IF($B10="언어와 매체",자동계산!$D$8,자동계산!$B$8),IF($B10="언어와 매체",자동계산!$E$8,자동계산!$C$8),0)))</f>
        <v/>
      </c>
      <c r="BC10" s="72">
        <f>IF($A10="","",IF(J10="",0,IF(J10=IF($B10="언어와 매체",자동계산!$D$9,자동계산!$B$9),IF($B10="언어와 매체",자동계산!$E$9,자동계산!$C$9),0)))</f>
        <v/>
      </c>
      <c r="BD10" s="72">
        <f>IF($A10="","",IF(K10="",0,IF(K10=IF($B10="언어와 매체",자동계산!$D$10,자동계산!$B$10),IF($B10="언어와 매체",자동계산!$E$10,자동계산!$C$10),0)))</f>
        <v/>
      </c>
      <c r="BE10" s="72">
        <f>IF($A10="","",IF(L10="",0,IF(L10=IF($B10="언어와 매체",자동계산!$D$11,자동계산!$B$11),IF($B10="언어와 매체",자동계산!$E$11,자동계산!$C$11),0)))</f>
        <v/>
      </c>
      <c r="BF10" s="72">
        <f>IF($A10="","",IF(M10="",0,IF(M10=IF($B10="언어와 매체",자동계산!$D$12,자동계산!$B$12),IF($B10="언어와 매체",자동계산!$E$12,자동계산!$C$12),0)))</f>
        <v/>
      </c>
      <c r="BG10" s="72">
        <f>IF($A10="","",IF(N10="",0,IF(N10=IF($B10="언어와 매체",자동계산!$D$13,자동계산!$B$13),IF($B10="언어와 매체",자동계산!$E$13,자동계산!$C$13),0)))</f>
        <v/>
      </c>
      <c r="BH10" s="72">
        <f>IF($A10="","",IF(O10="",0,IF(O10=IF($B10="언어와 매체",자동계산!$D$14,자동계산!$B$14),IF($B10="언어와 매체",자동계산!$E$14,자동계산!$C$14),0)))</f>
        <v/>
      </c>
      <c r="BI10" s="72">
        <f>IF($A10="","",IF(P10="",0,IF(P10=IF($B10="언어와 매체",자동계산!$D$15,자동계산!$B$15),IF($B10="언어와 매체",자동계산!$E$15,자동계산!$C$15),0)))</f>
        <v/>
      </c>
      <c r="BJ10" s="72">
        <f>IF($A10="","",IF(Q10="",0,IF(Q10=IF($B10="언어와 매체",자동계산!$D$16,자동계산!$B$16),IF($B10="언어와 매체",자동계산!$E$16,자동계산!$C$16),0)))</f>
        <v/>
      </c>
      <c r="BK10" s="72">
        <f>IF($A10="","",IF(R10="",0,IF(R10=IF($B10="언어와 매체",자동계산!$D$17,자동계산!$B$17),IF($B10="언어와 매체",자동계산!$E$17,자동계산!$C$17),0)))</f>
        <v/>
      </c>
      <c r="BL10" s="72">
        <f>IF($A10="","",IF(S10="",0,IF(S10=IF($B10="언어와 매체",자동계산!$D$18,자동계산!$B$18),IF($B10="언어와 매체",자동계산!$E$18,자동계산!$C$18),0)))</f>
        <v/>
      </c>
      <c r="BM10" s="72">
        <f>IF($A10="","",IF(T10="",0,IF(T10=IF($B10="언어와 매체",자동계산!$D$19,자동계산!$B$19),IF($B10="언어와 매체",자동계산!$E$19,자동계산!$C$19),0)))</f>
        <v/>
      </c>
      <c r="BN10" s="72">
        <f>IF($A10="","",IF(U10="",0,IF(U10=IF($B10="언어와 매체",자동계산!$D$20,자동계산!$B$20),IF($B10="언어와 매체",자동계산!$E$20,자동계산!$C$20),0)))</f>
        <v/>
      </c>
      <c r="BO10" s="72">
        <f>IF($A10="","",IF(V10="",0,IF(V10=IF($B10="언어와 매체",자동계산!$D$21,자동계산!$B$21),IF($B10="언어와 매체",자동계산!$E$21,자동계산!$C$21),0)))</f>
        <v/>
      </c>
      <c r="BP10" s="72">
        <f>IF($A10="","",IF(W10="",0,IF(W10=IF($B10="언어와 매체",자동계산!$D$22,자동계산!$B$22),IF($B10="언어와 매체",자동계산!$E$22,자동계산!$C$22),0)))</f>
        <v/>
      </c>
      <c r="BQ10" s="72">
        <f>IF($A10="","",IF(X10="",0,IF(X10=IF($B10="언어와 매체",자동계산!$D$23,자동계산!$B$23),IF($B10="언어와 매체",자동계산!$E$23,자동계산!$C$23),0)))</f>
        <v/>
      </c>
      <c r="BR10" s="72">
        <f>IF($A10="","",IF(Y10="",0,IF(Y10=IF($B10="언어와 매체",자동계산!$D$24,자동계산!$B$24),IF($B10="언어와 매체",자동계산!$E$24,자동계산!$C$24),0)))</f>
        <v/>
      </c>
      <c r="BS10" s="72">
        <f>IF($A10="","",IF(Z10="",0,IF(Z10=IF($B10="언어와 매체",자동계산!$D$25,자동계산!$B$25),IF($B10="언어와 매체",자동계산!$E$25,자동계산!$C$25),0)))</f>
        <v/>
      </c>
      <c r="BT10" s="72">
        <f>IF($A10="","",IF(AA10="",0,IF(AA10=IF($B10="언어와 매체",자동계산!$D$26,자동계산!$B$26),IF($B10="언어와 매체",자동계산!$E$26,자동계산!$C$26),0)))</f>
        <v/>
      </c>
      <c r="BU10" s="72">
        <f>IF($A10="","",IF(AB10="",0,IF(AB10=IF($B10="언어와 매체",자동계산!$D$27,자동계산!$B$27),IF($B10="언어와 매체",자동계산!$E$27,자동계산!$C$27),0)))</f>
        <v/>
      </c>
      <c r="BV10" s="72">
        <f>IF($A10="","",IF(AC10="",0,IF(AC10=IF($B10="언어와 매체",자동계산!$D$28,자동계산!$B$28),IF($B10="언어와 매체",자동계산!$E$28,자동계산!$C$28),0)))</f>
        <v/>
      </c>
      <c r="BW10" s="72">
        <f>IF($A10="","",IF(AD10="",0,IF(AD10=IF($B10="언어와 매체",자동계산!$D$29,자동계산!$B$29),IF($B10="언어와 매체",자동계산!$E$29,자동계산!$C$29),0)))</f>
        <v/>
      </c>
      <c r="BX10" s="72">
        <f>IF($A10="","",IF(AE10="",0,IF(AE10=IF($B10="언어와 매체",자동계산!$D$30,자동계산!$B$30),IF($B10="언어와 매체",자동계산!$E$30,자동계산!$C$30),0)))</f>
        <v/>
      </c>
      <c r="BY10" s="72">
        <f>IF($A10="","",IF(AF10="",0,IF(AF10=IF($B10="언어와 매체",자동계산!$D$31,자동계산!$B$31),IF($B10="언어와 매체",자동계산!$E$31,자동계산!$C$31),0)))</f>
        <v/>
      </c>
      <c r="BZ10" s="72">
        <f>IF($A10="","",IF(AG10="",0,IF(AG10=IF($B10="언어와 매체",자동계산!$D$32,자동계산!$B$32),IF($B10="언어와 매체",자동계산!$E$32,자동계산!$C$32),0)))</f>
        <v/>
      </c>
      <c r="CA10" s="72">
        <f>IF($A10="","",IF(AH10="",0,IF(AH10=IF($B10="언어와 매체",자동계산!$D$33,자동계산!$B$33),IF($B10="언어와 매체",자동계산!$E$33,자동계산!$C$33),0)))</f>
        <v/>
      </c>
      <c r="CB10" s="72">
        <f>IF($A10="","",IF(AI10="",0,IF(AI10=IF($B10="언어와 매체",자동계산!$D$34,자동계산!$B$34),IF($B10="언어와 매체",자동계산!$E$34,자동계산!$C$34),0)))</f>
        <v/>
      </c>
      <c r="CC10" s="72">
        <f>IF($A10="","",IF(AJ10="",0,IF(AJ10=IF($B10="언어와 매체",자동계산!$D$35,자동계산!$B$35),IF($B10="언어와 매체",자동계산!$E$35,자동계산!$C$35),0)))</f>
        <v/>
      </c>
      <c r="CD10" s="72">
        <f>IF($A10="","",IF(AK10="",0,IF(AK10=IF($B10="언어와 매체",자동계산!$D$36,자동계산!$B$36),IF($B10="언어와 매체",자동계산!$E$36,자동계산!$C$36),0)))</f>
        <v/>
      </c>
      <c r="CE10" s="72">
        <f>IF($A10="","",IF(AL10="",0,IF(AL10=IF($B10="언어와 매체",자동계산!$D$37,자동계산!$B$37),IF($B10="언어와 매체",자동계산!$E$37,자동계산!$C$37),0)))</f>
        <v/>
      </c>
      <c r="CF10" s="72">
        <f>IF($A10="","",IF(AM10="",0,IF(AM10=IF($B10="언어와 매체",자동계산!$D$38,자동계산!$B$38),IF($B10="언어와 매체",자동계산!$E$38,자동계산!$C$38),0)))</f>
        <v/>
      </c>
      <c r="CG10" s="72">
        <f>IF($A10="","",IF(AN10="",0,IF(AN10=IF($B10="언어와 매체",자동계산!$D$39,자동계산!$B$39),IF($B10="언어와 매체",자동계산!$E$39,자동계산!$C$39),0)))</f>
        <v/>
      </c>
      <c r="CH10" s="72">
        <f>IF($A10="","",IF(AO10="",0,IF(AO10=IF($B10="언어와 매체",자동계산!$D$40,자동계산!$B$40),IF($B10="언어와 매체",자동계산!$E$40,자동계산!$C$40),0)))</f>
        <v/>
      </c>
      <c r="CI10" s="72">
        <f>IF($A10="","",IF(AP10="",0,IF(AP10=IF($B10="언어와 매체",자동계산!$D$41,자동계산!$B$41),IF($B10="언어와 매체",자동계산!$E$41,자동계산!$C$41),0)))</f>
        <v/>
      </c>
      <c r="CJ10" s="72">
        <f>IF($A10="","",IF(AQ10="",0,IF(AQ10=IF($B10="언어와 매체",자동계산!$D$42,자동계산!$B$42),IF($B10="언어와 매체",자동계산!$E$42,자동계산!$C$42),0)))</f>
        <v/>
      </c>
      <c r="CK10" s="72">
        <f>IF($A10="","",IF(AR10="",0,IF(AR10=IF($B10="언어와 매체",자동계산!$D$43,자동계산!$B$43),IF($B10="언어와 매체",자동계산!$E$43,자동계산!$C$43),0)))</f>
        <v/>
      </c>
      <c r="CL10" s="72">
        <f>IF($A10="","",IF(AS10="",0,IF(AS10=IF($B10="언어와 매체",자동계산!$D$44,자동계산!$B$44),IF($B10="언어와 매체",자동계산!$E$44,자동계산!$C$44),0)))</f>
        <v/>
      </c>
      <c r="CM10" s="72">
        <f>IF($A10="","",IF(AT10="",0,IF(AT10=IF($B10="언어와 매체",자동계산!$D$45,자동계산!$B$45),IF($B10="언어와 매체",자동계산!$E$45,자동계산!$C$45),0)))</f>
        <v/>
      </c>
      <c r="CN10" s="72">
        <f>IF($A10="","",IF(AU10="",0,IF(AU10=IF($B10="언어와 매체",자동계산!$D$46,자동계산!$B$46),IF($B10="언어와 매체",자동계산!$E$46,자동계산!$C$46),0)))</f>
        <v/>
      </c>
      <c r="CO10" s="72">
        <f>IF($A10="","",IF(AV10="",0,IF(AV10=IF($B10="언어와 매체",자동계산!$D$47,자동계산!$B$47),IF($B10="언어와 매체",자동계산!$E$47,자동계산!$C$47),0)))</f>
        <v/>
      </c>
      <c r="CP10" s="72">
        <f>IF($A10="","",IF(AW10="",0,IF(AW10=IF($B10="언어와 매체",자동계산!$D$48,자동계산!$B$48),IF($B10="언어와 매체",자동계산!$E$48,자동계산!$C$48),0)))</f>
        <v/>
      </c>
    </row>
    <row r="11">
      <c r="A11" s="70">
        <f>IF(답안입력!A11="","",답안입력!A11)</f>
        <v/>
      </c>
      <c r="B11" s="70">
        <f>IF($A11="","",답안입력!C11)</f>
        <v/>
      </c>
      <c r="C11" s="71">
        <f>IF($A11="","",SUM(AX11:CP11))</f>
        <v/>
      </c>
      <c r="D11" s="70">
        <f>IF($A11="","",IF($C11&gt;=IF($B11="언어와 매체",회차설정!$B$9,회차설정!$B$8),"1등급",IF($C11&gt;=IF($B11="언어와 매체",회차설정!$C$9,회차설정!$C$8),"2등급",IF($C11&gt;=IF($B11="언어와 매체",회차설정!$D$9,회차설정!$D$8),"3등급",IF($C11&gt;=IF($B11="언어와 매체",회차설정!$E$9,회차설정!$E$8),"4등급","등급 외")))))</f>
        <v/>
      </c>
      <c r="E11" s="72">
        <f>IF($A11="","",IF(LEN(답안입력!$D11)&gt;=1,VALUE(MID(답안입력!$D11,1,1)),IF(답안입력!E11="","",답안입력!E11)))</f>
        <v/>
      </c>
      <c r="F11" s="72">
        <f>IF($A11="","",IF(LEN(답안입력!$D11)&gt;=2,VALUE(MID(답안입력!$D11,2,1)),IF(답안입력!F11="","",답안입력!F11)))</f>
        <v/>
      </c>
      <c r="G11" s="72">
        <f>IF($A11="","",IF(LEN(답안입력!$D11)&gt;=3,VALUE(MID(답안입력!$D11,3,1)),IF(답안입력!G11="","",답안입력!G11)))</f>
        <v/>
      </c>
      <c r="H11" s="72">
        <f>IF($A11="","",IF(LEN(답안입력!$D11)&gt;=4,VALUE(MID(답안입력!$D11,4,1)),IF(답안입력!H11="","",답안입력!H11)))</f>
        <v/>
      </c>
      <c r="I11" s="72">
        <f>IF($A11="","",IF(LEN(답안입력!$D11)&gt;=5,VALUE(MID(답안입력!$D11,5,1)),IF(답안입력!I11="","",답안입력!I11)))</f>
        <v/>
      </c>
      <c r="J11" s="72">
        <f>IF($A11="","",IF(LEN(답안입력!$D11)&gt;=6,VALUE(MID(답안입력!$D11,6,1)),IF(답안입력!J11="","",답안입력!J11)))</f>
        <v/>
      </c>
      <c r="K11" s="72">
        <f>IF($A11="","",IF(LEN(답안입력!$D11)&gt;=7,VALUE(MID(답안입력!$D11,7,1)),IF(답안입력!K11="","",답안입력!K11)))</f>
        <v/>
      </c>
      <c r="L11" s="72">
        <f>IF($A11="","",IF(LEN(답안입력!$D11)&gt;=8,VALUE(MID(답안입력!$D11,8,1)),IF(답안입력!L11="","",답안입력!L11)))</f>
        <v/>
      </c>
      <c r="M11" s="72">
        <f>IF($A11="","",IF(LEN(답안입력!$D11)&gt;=9,VALUE(MID(답안입력!$D11,9,1)),IF(답안입력!M11="","",답안입력!M11)))</f>
        <v/>
      </c>
      <c r="N11" s="72">
        <f>IF($A11="","",IF(LEN(답안입력!$D11)&gt;=10,VALUE(MID(답안입력!$D11,10,1)),IF(답안입력!N11="","",답안입력!N11)))</f>
        <v/>
      </c>
      <c r="O11" s="72">
        <f>IF($A11="","",IF(LEN(답안입력!$D11)&gt;=11,VALUE(MID(답안입력!$D11,11,1)),IF(답안입력!O11="","",답안입력!O11)))</f>
        <v/>
      </c>
      <c r="P11" s="72">
        <f>IF($A11="","",IF(LEN(답안입력!$D11)&gt;=12,VALUE(MID(답안입력!$D11,12,1)),IF(답안입력!P11="","",답안입력!P11)))</f>
        <v/>
      </c>
      <c r="Q11" s="72">
        <f>IF($A11="","",IF(LEN(답안입력!$D11)&gt;=13,VALUE(MID(답안입력!$D11,13,1)),IF(답안입력!Q11="","",답안입력!Q11)))</f>
        <v/>
      </c>
      <c r="R11" s="72">
        <f>IF($A11="","",IF(LEN(답안입력!$D11)&gt;=14,VALUE(MID(답안입력!$D11,14,1)),IF(답안입력!R11="","",답안입력!R11)))</f>
        <v/>
      </c>
      <c r="S11" s="72">
        <f>IF($A11="","",IF(LEN(답안입력!$D11)&gt;=15,VALUE(MID(답안입력!$D11,15,1)),IF(답안입력!S11="","",답안입력!S11)))</f>
        <v/>
      </c>
      <c r="T11" s="72">
        <f>IF($A11="","",IF(LEN(답안입력!$D11)&gt;=16,VALUE(MID(답안입력!$D11,16,1)),IF(답안입력!T11="","",답안입력!T11)))</f>
        <v/>
      </c>
      <c r="U11" s="72">
        <f>IF($A11="","",IF(LEN(답안입력!$D11)&gt;=17,VALUE(MID(답안입력!$D11,17,1)),IF(답안입력!U11="","",답안입력!U11)))</f>
        <v/>
      </c>
      <c r="V11" s="72">
        <f>IF($A11="","",IF(LEN(답안입력!$D11)&gt;=18,VALUE(MID(답안입력!$D11,18,1)),IF(답안입력!V11="","",답안입력!V11)))</f>
        <v/>
      </c>
      <c r="W11" s="72">
        <f>IF($A11="","",IF(LEN(답안입력!$D11)&gt;=19,VALUE(MID(답안입력!$D11,19,1)),IF(답안입력!W11="","",답안입력!W11)))</f>
        <v/>
      </c>
      <c r="X11" s="72">
        <f>IF($A11="","",IF(LEN(답안입력!$D11)&gt;=20,VALUE(MID(답안입력!$D11,20,1)),IF(답안입력!X11="","",답안입력!X11)))</f>
        <v/>
      </c>
      <c r="Y11" s="72">
        <f>IF($A11="","",IF(LEN(답안입력!$D11)&gt;=21,VALUE(MID(답안입력!$D11,21,1)),IF(답안입력!Y11="","",답안입력!Y11)))</f>
        <v/>
      </c>
      <c r="Z11" s="72">
        <f>IF($A11="","",IF(LEN(답안입력!$D11)&gt;=22,VALUE(MID(답안입력!$D11,22,1)),IF(답안입력!Z11="","",답안입력!Z11)))</f>
        <v/>
      </c>
      <c r="AA11" s="72">
        <f>IF($A11="","",IF(LEN(답안입력!$D11)&gt;=23,VALUE(MID(답안입력!$D11,23,1)),IF(답안입력!AA11="","",답안입력!AA11)))</f>
        <v/>
      </c>
      <c r="AB11" s="72">
        <f>IF($A11="","",IF(LEN(답안입력!$D11)&gt;=24,VALUE(MID(답안입력!$D11,24,1)),IF(답안입력!AB11="","",답안입력!AB11)))</f>
        <v/>
      </c>
      <c r="AC11" s="72">
        <f>IF($A11="","",IF(LEN(답안입력!$D11)&gt;=25,VALUE(MID(답안입력!$D11,25,1)),IF(답안입력!AC11="","",답안입력!AC11)))</f>
        <v/>
      </c>
      <c r="AD11" s="72">
        <f>IF($A11="","",IF(LEN(답안입력!$D11)&gt;=26,VALUE(MID(답안입력!$D11,26,1)),IF(답안입력!AD11="","",답안입력!AD11)))</f>
        <v/>
      </c>
      <c r="AE11" s="72">
        <f>IF($A11="","",IF(LEN(답안입력!$D11)&gt;=27,VALUE(MID(답안입력!$D11,27,1)),IF(답안입력!AE11="","",답안입력!AE11)))</f>
        <v/>
      </c>
      <c r="AF11" s="72">
        <f>IF($A11="","",IF(LEN(답안입력!$D11)&gt;=28,VALUE(MID(답안입력!$D11,28,1)),IF(답안입력!AF11="","",답안입력!AF11)))</f>
        <v/>
      </c>
      <c r="AG11" s="72">
        <f>IF($A11="","",IF(LEN(답안입력!$D11)&gt;=29,VALUE(MID(답안입력!$D11,29,1)),IF(답안입력!AG11="","",답안입력!AG11)))</f>
        <v/>
      </c>
      <c r="AH11" s="72">
        <f>IF($A11="","",IF(LEN(답안입력!$D11)&gt;=30,VALUE(MID(답안입력!$D11,30,1)),IF(답안입력!AH11="","",답안입력!AH11)))</f>
        <v/>
      </c>
      <c r="AI11" s="72">
        <f>IF($A11="","",IF(LEN(답안입력!$D11)&gt;=31,VALUE(MID(답안입력!$D11,31,1)),IF(답안입력!AI11="","",답안입력!AI11)))</f>
        <v/>
      </c>
      <c r="AJ11" s="72">
        <f>IF($A11="","",IF(LEN(답안입력!$D11)&gt;=32,VALUE(MID(답안입력!$D11,32,1)),IF(답안입력!AJ11="","",답안입력!AJ11)))</f>
        <v/>
      </c>
      <c r="AK11" s="72">
        <f>IF($A11="","",IF(LEN(답안입력!$D11)&gt;=33,VALUE(MID(답안입력!$D11,33,1)),IF(답안입력!AK11="","",답안입력!AK11)))</f>
        <v/>
      </c>
      <c r="AL11" s="72">
        <f>IF($A11="","",IF(LEN(답안입력!$D11)&gt;=34,VALUE(MID(답안입력!$D11,34,1)),IF(답안입력!AL11="","",답안입력!AL11)))</f>
        <v/>
      </c>
      <c r="AM11" s="72">
        <f>IF($A11="","",IF(LEN(답안입력!$D11)&gt;=35,VALUE(MID(답안입력!$D11,35,1)),IF(답안입력!AM11="","",답안입력!AM11)))</f>
        <v/>
      </c>
      <c r="AN11" s="72">
        <f>IF($A11="","",IF(LEN(답안입력!$D11)&gt;=36,VALUE(MID(답안입력!$D11,36,1)),IF(답안입력!AN11="","",답안입력!AN11)))</f>
        <v/>
      </c>
      <c r="AO11" s="72">
        <f>IF($A11="","",IF(LEN(답안입력!$D11)&gt;=37,VALUE(MID(답안입력!$D11,37,1)),IF(답안입력!AO11="","",답안입력!AO11)))</f>
        <v/>
      </c>
      <c r="AP11" s="72">
        <f>IF($A11="","",IF(LEN(답안입력!$D11)&gt;=38,VALUE(MID(답안입력!$D11,38,1)),IF(답안입력!AP11="","",답안입력!AP11)))</f>
        <v/>
      </c>
      <c r="AQ11" s="72">
        <f>IF($A11="","",IF(LEN(답안입력!$D11)&gt;=39,VALUE(MID(답안입력!$D11,39,1)),IF(답안입력!AQ11="","",답안입력!AQ11)))</f>
        <v/>
      </c>
      <c r="AR11" s="72">
        <f>IF($A11="","",IF(LEN(답안입력!$D11)&gt;=40,VALUE(MID(답안입력!$D11,40,1)),IF(답안입력!AR11="","",답안입력!AR11)))</f>
        <v/>
      </c>
      <c r="AS11" s="72">
        <f>IF($A11="","",IF(LEN(답안입력!$D11)&gt;=41,VALUE(MID(답안입력!$D11,41,1)),IF(답안입력!AS11="","",답안입력!AS11)))</f>
        <v/>
      </c>
      <c r="AT11" s="72">
        <f>IF($A11="","",IF(LEN(답안입력!$D11)&gt;=42,VALUE(MID(답안입력!$D11,42,1)),IF(답안입력!AT11="","",답안입력!AT11)))</f>
        <v/>
      </c>
      <c r="AU11" s="72">
        <f>IF($A11="","",IF(LEN(답안입력!$D11)&gt;=43,VALUE(MID(답안입력!$D11,43,1)),IF(답안입력!AU11="","",답안입력!AU11)))</f>
        <v/>
      </c>
      <c r="AV11" s="72">
        <f>IF($A11="","",IF(LEN(답안입력!$D11)&gt;=44,VALUE(MID(답안입력!$D11,44,1)),IF(답안입력!AV11="","",답안입력!AV11)))</f>
        <v/>
      </c>
      <c r="AW11" s="72">
        <f>IF($A11="","",IF(LEN(답안입력!$D11)&gt;=45,VALUE(MID(답안입력!$D11,45,1)),IF(답안입력!AW11="","",답안입력!AW11)))</f>
        <v/>
      </c>
      <c r="AX11" s="72">
        <f>IF($A11="","",IF(E11="",0,IF(E11=IF($B11="언어와 매체",자동계산!$D$4,자동계산!$B$4),IF($B11="언어와 매체",자동계산!$E$4,자동계산!$C$4),0)))</f>
        <v/>
      </c>
      <c r="AY11" s="72">
        <f>IF($A11="","",IF(F11="",0,IF(F11=IF($B11="언어와 매체",자동계산!$D$5,자동계산!$B$5),IF($B11="언어와 매체",자동계산!$E$5,자동계산!$C$5),0)))</f>
        <v/>
      </c>
      <c r="AZ11" s="72">
        <f>IF($A11="","",IF(G11="",0,IF(G11=IF($B11="언어와 매체",자동계산!$D$6,자동계산!$B$6),IF($B11="언어와 매체",자동계산!$E$6,자동계산!$C$6),0)))</f>
        <v/>
      </c>
      <c r="BA11" s="72">
        <f>IF($A11="","",IF(H11="",0,IF(H11=IF($B11="언어와 매체",자동계산!$D$7,자동계산!$B$7),IF($B11="언어와 매체",자동계산!$E$7,자동계산!$C$7),0)))</f>
        <v/>
      </c>
      <c r="BB11" s="72">
        <f>IF($A11="","",IF(I11="",0,IF(I11=IF($B11="언어와 매체",자동계산!$D$8,자동계산!$B$8),IF($B11="언어와 매체",자동계산!$E$8,자동계산!$C$8),0)))</f>
        <v/>
      </c>
      <c r="BC11" s="72">
        <f>IF($A11="","",IF(J11="",0,IF(J11=IF($B11="언어와 매체",자동계산!$D$9,자동계산!$B$9),IF($B11="언어와 매체",자동계산!$E$9,자동계산!$C$9),0)))</f>
        <v/>
      </c>
      <c r="BD11" s="72">
        <f>IF($A11="","",IF(K11="",0,IF(K11=IF($B11="언어와 매체",자동계산!$D$10,자동계산!$B$10),IF($B11="언어와 매체",자동계산!$E$10,자동계산!$C$10),0)))</f>
        <v/>
      </c>
      <c r="BE11" s="72">
        <f>IF($A11="","",IF(L11="",0,IF(L11=IF($B11="언어와 매체",자동계산!$D$11,자동계산!$B$11),IF($B11="언어와 매체",자동계산!$E$11,자동계산!$C$11),0)))</f>
        <v/>
      </c>
      <c r="BF11" s="72">
        <f>IF($A11="","",IF(M11="",0,IF(M11=IF($B11="언어와 매체",자동계산!$D$12,자동계산!$B$12),IF($B11="언어와 매체",자동계산!$E$12,자동계산!$C$12),0)))</f>
        <v/>
      </c>
      <c r="BG11" s="72">
        <f>IF($A11="","",IF(N11="",0,IF(N11=IF($B11="언어와 매체",자동계산!$D$13,자동계산!$B$13),IF($B11="언어와 매체",자동계산!$E$13,자동계산!$C$13),0)))</f>
        <v/>
      </c>
      <c r="BH11" s="72">
        <f>IF($A11="","",IF(O11="",0,IF(O11=IF($B11="언어와 매체",자동계산!$D$14,자동계산!$B$14),IF($B11="언어와 매체",자동계산!$E$14,자동계산!$C$14),0)))</f>
        <v/>
      </c>
      <c r="BI11" s="72">
        <f>IF($A11="","",IF(P11="",0,IF(P11=IF($B11="언어와 매체",자동계산!$D$15,자동계산!$B$15),IF($B11="언어와 매체",자동계산!$E$15,자동계산!$C$15),0)))</f>
        <v/>
      </c>
      <c r="BJ11" s="72">
        <f>IF($A11="","",IF(Q11="",0,IF(Q11=IF($B11="언어와 매체",자동계산!$D$16,자동계산!$B$16),IF($B11="언어와 매체",자동계산!$E$16,자동계산!$C$16),0)))</f>
        <v/>
      </c>
      <c r="BK11" s="72">
        <f>IF($A11="","",IF(R11="",0,IF(R11=IF($B11="언어와 매체",자동계산!$D$17,자동계산!$B$17),IF($B11="언어와 매체",자동계산!$E$17,자동계산!$C$17),0)))</f>
        <v/>
      </c>
      <c r="BL11" s="72">
        <f>IF($A11="","",IF(S11="",0,IF(S11=IF($B11="언어와 매체",자동계산!$D$18,자동계산!$B$18),IF($B11="언어와 매체",자동계산!$E$18,자동계산!$C$18),0)))</f>
        <v/>
      </c>
      <c r="BM11" s="72">
        <f>IF($A11="","",IF(T11="",0,IF(T11=IF($B11="언어와 매체",자동계산!$D$19,자동계산!$B$19),IF($B11="언어와 매체",자동계산!$E$19,자동계산!$C$19),0)))</f>
        <v/>
      </c>
      <c r="BN11" s="72">
        <f>IF($A11="","",IF(U11="",0,IF(U11=IF($B11="언어와 매체",자동계산!$D$20,자동계산!$B$20),IF($B11="언어와 매체",자동계산!$E$20,자동계산!$C$20),0)))</f>
        <v/>
      </c>
      <c r="BO11" s="72">
        <f>IF($A11="","",IF(V11="",0,IF(V11=IF($B11="언어와 매체",자동계산!$D$21,자동계산!$B$21),IF($B11="언어와 매체",자동계산!$E$21,자동계산!$C$21),0)))</f>
        <v/>
      </c>
      <c r="BP11" s="72">
        <f>IF($A11="","",IF(W11="",0,IF(W11=IF($B11="언어와 매체",자동계산!$D$22,자동계산!$B$22),IF($B11="언어와 매체",자동계산!$E$22,자동계산!$C$22),0)))</f>
        <v/>
      </c>
      <c r="BQ11" s="72">
        <f>IF($A11="","",IF(X11="",0,IF(X11=IF($B11="언어와 매체",자동계산!$D$23,자동계산!$B$23),IF($B11="언어와 매체",자동계산!$E$23,자동계산!$C$23),0)))</f>
        <v/>
      </c>
      <c r="BR11" s="72">
        <f>IF($A11="","",IF(Y11="",0,IF(Y11=IF($B11="언어와 매체",자동계산!$D$24,자동계산!$B$24),IF($B11="언어와 매체",자동계산!$E$24,자동계산!$C$24),0)))</f>
        <v/>
      </c>
      <c r="BS11" s="72">
        <f>IF($A11="","",IF(Z11="",0,IF(Z11=IF($B11="언어와 매체",자동계산!$D$25,자동계산!$B$25),IF($B11="언어와 매체",자동계산!$E$25,자동계산!$C$25),0)))</f>
        <v/>
      </c>
      <c r="BT11" s="72">
        <f>IF($A11="","",IF(AA11="",0,IF(AA11=IF($B11="언어와 매체",자동계산!$D$26,자동계산!$B$26),IF($B11="언어와 매체",자동계산!$E$26,자동계산!$C$26),0)))</f>
        <v/>
      </c>
      <c r="BU11" s="72">
        <f>IF($A11="","",IF(AB11="",0,IF(AB11=IF($B11="언어와 매체",자동계산!$D$27,자동계산!$B$27),IF($B11="언어와 매체",자동계산!$E$27,자동계산!$C$27),0)))</f>
        <v/>
      </c>
      <c r="BV11" s="72">
        <f>IF($A11="","",IF(AC11="",0,IF(AC11=IF($B11="언어와 매체",자동계산!$D$28,자동계산!$B$28),IF($B11="언어와 매체",자동계산!$E$28,자동계산!$C$28),0)))</f>
        <v/>
      </c>
      <c r="BW11" s="72">
        <f>IF($A11="","",IF(AD11="",0,IF(AD11=IF($B11="언어와 매체",자동계산!$D$29,자동계산!$B$29),IF($B11="언어와 매체",자동계산!$E$29,자동계산!$C$29),0)))</f>
        <v/>
      </c>
      <c r="BX11" s="72">
        <f>IF($A11="","",IF(AE11="",0,IF(AE11=IF($B11="언어와 매체",자동계산!$D$30,자동계산!$B$30),IF($B11="언어와 매체",자동계산!$E$30,자동계산!$C$30),0)))</f>
        <v/>
      </c>
      <c r="BY11" s="72">
        <f>IF($A11="","",IF(AF11="",0,IF(AF11=IF($B11="언어와 매체",자동계산!$D$31,자동계산!$B$31),IF($B11="언어와 매체",자동계산!$E$31,자동계산!$C$31),0)))</f>
        <v/>
      </c>
      <c r="BZ11" s="72">
        <f>IF($A11="","",IF(AG11="",0,IF(AG11=IF($B11="언어와 매체",자동계산!$D$32,자동계산!$B$32),IF($B11="언어와 매체",자동계산!$E$32,자동계산!$C$32),0)))</f>
        <v/>
      </c>
      <c r="CA11" s="72">
        <f>IF($A11="","",IF(AH11="",0,IF(AH11=IF($B11="언어와 매체",자동계산!$D$33,자동계산!$B$33),IF($B11="언어와 매체",자동계산!$E$33,자동계산!$C$33),0)))</f>
        <v/>
      </c>
      <c r="CB11" s="72">
        <f>IF($A11="","",IF(AI11="",0,IF(AI11=IF($B11="언어와 매체",자동계산!$D$34,자동계산!$B$34),IF($B11="언어와 매체",자동계산!$E$34,자동계산!$C$34),0)))</f>
        <v/>
      </c>
      <c r="CC11" s="72">
        <f>IF($A11="","",IF(AJ11="",0,IF(AJ11=IF($B11="언어와 매체",자동계산!$D$35,자동계산!$B$35),IF($B11="언어와 매체",자동계산!$E$35,자동계산!$C$35),0)))</f>
        <v/>
      </c>
      <c r="CD11" s="72">
        <f>IF($A11="","",IF(AK11="",0,IF(AK11=IF($B11="언어와 매체",자동계산!$D$36,자동계산!$B$36),IF($B11="언어와 매체",자동계산!$E$36,자동계산!$C$36),0)))</f>
        <v/>
      </c>
      <c r="CE11" s="72">
        <f>IF($A11="","",IF(AL11="",0,IF(AL11=IF($B11="언어와 매체",자동계산!$D$37,자동계산!$B$37),IF($B11="언어와 매체",자동계산!$E$37,자동계산!$C$37),0)))</f>
        <v/>
      </c>
      <c r="CF11" s="72">
        <f>IF($A11="","",IF(AM11="",0,IF(AM11=IF($B11="언어와 매체",자동계산!$D$38,자동계산!$B$38),IF($B11="언어와 매체",자동계산!$E$38,자동계산!$C$38),0)))</f>
        <v/>
      </c>
      <c r="CG11" s="72">
        <f>IF($A11="","",IF(AN11="",0,IF(AN11=IF($B11="언어와 매체",자동계산!$D$39,자동계산!$B$39),IF($B11="언어와 매체",자동계산!$E$39,자동계산!$C$39),0)))</f>
        <v/>
      </c>
      <c r="CH11" s="72">
        <f>IF($A11="","",IF(AO11="",0,IF(AO11=IF($B11="언어와 매체",자동계산!$D$40,자동계산!$B$40),IF($B11="언어와 매체",자동계산!$E$40,자동계산!$C$40),0)))</f>
        <v/>
      </c>
      <c r="CI11" s="72">
        <f>IF($A11="","",IF(AP11="",0,IF(AP11=IF($B11="언어와 매체",자동계산!$D$41,자동계산!$B$41),IF($B11="언어와 매체",자동계산!$E$41,자동계산!$C$41),0)))</f>
        <v/>
      </c>
      <c r="CJ11" s="72">
        <f>IF($A11="","",IF(AQ11="",0,IF(AQ11=IF($B11="언어와 매체",자동계산!$D$42,자동계산!$B$42),IF($B11="언어와 매체",자동계산!$E$42,자동계산!$C$42),0)))</f>
        <v/>
      </c>
      <c r="CK11" s="72">
        <f>IF($A11="","",IF(AR11="",0,IF(AR11=IF($B11="언어와 매체",자동계산!$D$43,자동계산!$B$43),IF($B11="언어와 매체",자동계산!$E$43,자동계산!$C$43),0)))</f>
        <v/>
      </c>
      <c r="CL11" s="72">
        <f>IF($A11="","",IF(AS11="",0,IF(AS11=IF($B11="언어와 매체",자동계산!$D$44,자동계산!$B$44),IF($B11="언어와 매체",자동계산!$E$44,자동계산!$C$44),0)))</f>
        <v/>
      </c>
      <c r="CM11" s="72">
        <f>IF($A11="","",IF(AT11="",0,IF(AT11=IF($B11="언어와 매체",자동계산!$D$45,자동계산!$B$45),IF($B11="언어와 매체",자동계산!$E$45,자동계산!$C$45),0)))</f>
        <v/>
      </c>
      <c r="CN11" s="72">
        <f>IF($A11="","",IF(AU11="",0,IF(AU11=IF($B11="언어와 매체",자동계산!$D$46,자동계산!$B$46),IF($B11="언어와 매체",자동계산!$E$46,자동계산!$C$46),0)))</f>
        <v/>
      </c>
      <c r="CO11" s="72">
        <f>IF($A11="","",IF(AV11="",0,IF(AV11=IF($B11="언어와 매체",자동계산!$D$47,자동계산!$B$47),IF($B11="언어와 매체",자동계산!$E$47,자동계산!$C$47),0)))</f>
        <v/>
      </c>
      <c r="CP11" s="72">
        <f>IF($A11="","",IF(AW11="",0,IF(AW11=IF($B11="언어와 매체",자동계산!$D$48,자동계산!$B$48),IF($B11="언어와 매체",자동계산!$E$48,자동계산!$C$48),0)))</f>
        <v/>
      </c>
    </row>
    <row r="12">
      <c r="A12" s="70">
        <f>IF(답안입력!A12="","",답안입력!A12)</f>
        <v/>
      </c>
      <c r="B12" s="70">
        <f>IF($A12="","",답안입력!C12)</f>
        <v/>
      </c>
      <c r="C12" s="71">
        <f>IF($A12="","",SUM(AX12:CP12))</f>
        <v/>
      </c>
      <c r="D12" s="70">
        <f>IF($A12="","",IF($C12&gt;=IF($B12="언어와 매체",회차설정!$B$9,회차설정!$B$8),"1등급",IF($C12&gt;=IF($B12="언어와 매체",회차설정!$C$9,회차설정!$C$8),"2등급",IF($C12&gt;=IF($B12="언어와 매체",회차설정!$D$9,회차설정!$D$8),"3등급",IF($C12&gt;=IF($B12="언어와 매체",회차설정!$E$9,회차설정!$E$8),"4등급","등급 외")))))</f>
        <v/>
      </c>
      <c r="E12" s="72">
        <f>IF($A12="","",IF(LEN(답안입력!$D12)&gt;=1,VALUE(MID(답안입력!$D12,1,1)),IF(답안입력!E12="","",답안입력!E12)))</f>
        <v/>
      </c>
      <c r="F12" s="72">
        <f>IF($A12="","",IF(LEN(답안입력!$D12)&gt;=2,VALUE(MID(답안입력!$D12,2,1)),IF(답안입력!F12="","",답안입력!F12)))</f>
        <v/>
      </c>
      <c r="G12" s="72">
        <f>IF($A12="","",IF(LEN(답안입력!$D12)&gt;=3,VALUE(MID(답안입력!$D12,3,1)),IF(답안입력!G12="","",답안입력!G12)))</f>
        <v/>
      </c>
      <c r="H12" s="72">
        <f>IF($A12="","",IF(LEN(답안입력!$D12)&gt;=4,VALUE(MID(답안입력!$D12,4,1)),IF(답안입력!H12="","",답안입력!H12)))</f>
        <v/>
      </c>
      <c r="I12" s="72">
        <f>IF($A12="","",IF(LEN(답안입력!$D12)&gt;=5,VALUE(MID(답안입력!$D12,5,1)),IF(답안입력!I12="","",답안입력!I12)))</f>
        <v/>
      </c>
      <c r="J12" s="72">
        <f>IF($A12="","",IF(LEN(답안입력!$D12)&gt;=6,VALUE(MID(답안입력!$D12,6,1)),IF(답안입력!J12="","",답안입력!J12)))</f>
        <v/>
      </c>
      <c r="K12" s="72">
        <f>IF($A12="","",IF(LEN(답안입력!$D12)&gt;=7,VALUE(MID(답안입력!$D12,7,1)),IF(답안입력!K12="","",답안입력!K12)))</f>
        <v/>
      </c>
      <c r="L12" s="72">
        <f>IF($A12="","",IF(LEN(답안입력!$D12)&gt;=8,VALUE(MID(답안입력!$D12,8,1)),IF(답안입력!L12="","",답안입력!L12)))</f>
        <v/>
      </c>
      <c r="M12" s="72">
        <f>IF($A12="","",IF(LEN(답안입력!$D12)&gt;=9,VALUE(MID(답안입력!$D12,9,1)),IF(답안입력!M12="","",답안입력!M12)))</f>
        <v/>
      </c>
      <c r="N12" s="72">
        <f>IF($A12="","",IF(LEN(답안입력!$D12)&gt;=10,VALUE(MID(답안입력!$D12,10,1)),IF(답안입력!N12="","",답안입력!N12)))</f>
        <v/>
      </c>
      <c r="O12" s="72">
        <f>IF($A12="","",IF(LEN(답안입력!$D12)&gt;=11,VALUE(MID(답안입력!$D12,11,1)),IF(답안입력!O12="","",답안입력!O12)))</f>
        <v/>
      </c>
      <c r="P12" s="72">
        <f>IF($A12="","",IF(LEN(답안입력!$D12)&gt;=12,VALUE(MID(답안입력!$D12,12,1)),IF(답안입력!P12="","",답안입력!P12)))</f>
        <v/>
      </c>
      <c r="Q12" s="72">
        <f>IF($A12="","",IF(LEN(답안입력!$D12)&gt;=13,VALUE(MID(답안입력!$D12,13,1)),IF(답안입력!Q12="","",답안입력!Q12)))</f>
        <v/>
      </c>
      <c r="R12" s="72">
        <f>IF($A12="","",IF(LEN(답안입력!$D12)&gt;=14,VALUE(MID(답안입력!$D12,14,1)),IF(답안입력!R12="","",답안입력!R12)))</f>
        <v/>
      </c>
      <c r="S12" s="72">
        <f>IF($A12="","",IF(LEN(답안입력!$D12)&gt;=15,VALUE(MID(답안입력!$D12,15,1)),IF(답안입력!S12="","",답안입력!S12)))</f>
        <v/>
      </c>
      <c r="T12" s="72">
        <f>IF($A12="","",IF(LEN(답안입력!$D12)&gt;=16,VALUE(MID(답안입력!$D12,16,1)),IF(답안입력!T12="","",답안입력!T12)))</f>
        <v/>
      </c>
      <c r="U12" s="72">
        <f>IF($A12="","",IF(LEN(답안입력!$D12)&gt;=17,VALUE(MID(답안입력!$D12,17,1)),IF(답안입력!U12="","",답안입력!U12)))</f>
        <v/>
      </c>
      <c r="V12" s="72">
        <f>IF($A12="","",IF(LEN(답안입력!$D12)&gt;=18,VALUE(MID(답안입력!$D12,18,1)),IF(답안입력!V12="","",답안입력!V12)))</f>
        <v/>
      </c>
      <c r="W12" s="72">
        <f>IF($A12="","",IF(LEN(답안입력!$D12)&gt;=19,VALUE(MID(답안입력!$D12,19,1)),IF(답안입력!W12="","",답안입력!W12)))</f>
        <v/>
      </c>
      <c r="X12" s="72">
        <f>IF($A12="","",IF(LEN(답안입력!$D12)&gt;=20,VALUE(MID(답안입력!$D12,20,1)),IF(답안입력!X12="","",답안입력!X12)))</f>
        <v/>
      </c>
      <c r="Y12" s="72">
        <f>IF($A12="","",IF(LEN(답안입력!$D12)&gt;=21,VALUE(MID(답안입력!$D12,21,1)),IF(답안입력!Y12="","",답안입력!Y12)))</f>
        <v/>
      </c>
      <c r="Z12" s="72">
        <f>IF($A12="","",IF(LEN(답안입력!$D12)&gt;=22,VALUE(MID(답안입력!$D12,22,1)),IF(답안입력!Z12="","",답안입력!Z12)))</f>
        <v/>
      </c>
      <c r="AA12" s="72">
        <f>IF($A12="","",IF(LEN(답안입력!$D12)&gt;=23,VALUE(MID(답안입력!$D12,23,1)),IF(답안입력!AA12="","",답안입력!AA12)))</f>
        <v/>
      </c>
      <c r="AB12" s="72">
        <f>IF($A12="","",IF(LEN(답안입력!$D12)&gt;=24,VALUE(MID(답안입력!$D12,24,1)),IF(답안입력!AB12="","",답안입력!AB12)))</f>
        <v/>
      </c>
      <c r="AC12" s="72">
        <f>IF($A12="","",IF(LEN(답안입력!$D12)&gt;=25,VALUE(MID(답안입력!$D12,25,1)),IF(답안입력!AC12="","",답안입력!AC12)))</f>
        <v/>
      </c>
      <c r="AD12" s="72">
        <f>IF($A12="","",IF(LEN(답안입력!$D12)&gt;=26,VALUE(MID(답안입력!$D12,26,1)),IF(답안입력!AD12="","",답안입력!AD12)))</f>
        <v/>
      </c>
      <c r="AE12" s="72">
        <f>IF($A12="","",IF(LEN(답안입력!$D12)&gt;=27,VALUE(MID(답안입력!$D12,27,1)),IF(답안입력!AE12="","",답안입력!AE12)))</f>
        <v/>
      </c>
      <c r="AF12" s="72">
        <f>IF($A12="","",IF(LEN(답안입력!$D12)&gt;=28,VALUE(MID(답안입력!$D12,28,1)),IF(답안입력!AF12="","",답안입력!AF12)))</f>
        <v/>
      </c>
      <c r="AG12" s="72">
        <f>IF($A12="","",IF(LEN(답안입력!$D12)&gt;=29,VALUE(MID(답안입력!$D12,29,1)),IF(답안입력!AG12="","",답안입력!AG12)))</f>
        <v/>
      </c>
      <c r="AH12" s="72">
        <f>IF($A12="","",IF(LEN(답안입력!$D12)&gt;=30,VALUE(MID(답안입력!$D12,30,1)),IF(답안입력!AH12="","",답안입력!AH12)))</f>
        <v/>
      </c>
      <c r="AI12" s="72">
        <f>IF($A12="","",IF(LEN(답안입력!$D12)&gt;=31,VALUE(MID(답안입력!$D12,31,1)),IF(답안입력!AI12="","",답안입력!AI12)))</f>
        <v/>
      </c>
      <c r="AJ12" s="72">
        <f>IF($A12="","",IF(LEN(답안입력!$D12)&gt;=32,VALUE(MID(답안입력!$D12,32,1)),IF(답안입력!AJ12="","",답안입력!AJ12)))</f>
        <v/>
      </c>
      <c r="AK12" s="72">
        <f>IF($A12="","",IF(LEN(답안입력!$D12)&gt;=33,VALUE(MID(답안입력!$D12,33,1)),IF(답안입력!AK12="","",답안입력!AK12)))</f>
        <v/>
      </c>
      <c r="AL12" s="72">
        <f>IF($A12="","",IF(LEN(답안입력!$D12)&gt;=34,VALUE(MID(답안입력!$D12,34,1)),IF(답안입력!AL12="","",답안입력!AL12)))</f>
        <v/>
      </c>
      <c r="AM12" s="72">
        <f>IF($A12="","",IF(LEN(답안입력!$D12)&gt;=35,VALUE(MID(답안입력!$D12,35,1)),IF(답안입력!AM12="","",답안입력!AM12)))</f>
        <v/>
      </c>
      <c r="AN12" s="72">
        <f>IF($A12="","",IF(LEN(답안입력!$D12)&gt;=36,VALUE(MID(답안입력!$D12,36,1)),IF(답안입력!AN12="","",답안입력!AN12)))</f>
        <v/>
      </c>
      <c r="AO12" s="72">
        <f>IF($A12="","",IF(LEN(답안입력!$D12)&gt;=37,VALUE(MID(답안입력!$D12,37,1)),IF(답안입력!AO12="","",답안입력!AO12)))</f>
        <v/>
      </c>
      <c r="AP12" s="72">
        <f>IF($A12="","",IF(LEN(답안입력!$D12)&gt;=38,VALUE(MID(답안입력!$D12,38,1)),IF(답안입력!AP12="","",답안입력!AP12)))</f>
        <v/>
      </c>
      <c r="AQ12" s="72">
        <f>IF($A12="","",IF(LEN(답안입력!$D12)&gt;=39,VALUE(MID(답안입력!$D12,39,1)),IF(답안입력!AQ12="","",답안입력!AQ12)))</f>
        <v/>
      </c>
      <c r="AR12" s="72">
        <f>IF($A12="","",IF(LEN(답안입력!$D12)&gt;=40,VALUE(MID(답안입력!$D12,40,1)),IF(답안입력!AR12="","",답안입력!AR12)))</f>
        <v/>
      </c>
      <c r="AS12" s="72">
        <f>IF($A12="","",IF(LEN(답안입력!$D12)&gt;=41,VALUE(MID(답안입력!$D12,41,1)),IF(답안입력!AS12="","",답안입력!AS12)))</f>
        <v/>
      </c>
      <c r="AT12" s="72">
        <f>IF($A12="","",IF(LEN(답안입력!$D12)&gt;=42,VALUE(MID(답안입력!$D12,42,1)),IF(답안입력!AT12="","",답안입력!AT12)))</f>
        <v/>
      </c>
      <c r="AU12" s="72">
        <f>IF($A12="","",IF(LEN(답안입력!$D12)&gt;=43,VALUE(MID(답안입력!$D12,43,1)),IF(답안입력!AU12="","",답안입력!AU12)))</f>
        <v/>
      </c>
      <c r="AV12" s="72">
        <f>IF($A12="","",IF(LEN(답안입력!$D12)&gt;=44,VALUE(MID(답안입력!$D12,44,1)),IF(답안입력!AV12="","",답안입력!AV12)))</f>
        <v/>
      </c>
      <c r="AW12" s="72">
        <f>IF($A12="","",IF(LEN(답안입력!$D12)&gt;=45,VALUE(MID(답안입력!$D12,45,1)),IF(답안입력!AW12="","",답안입력!AW12)))</f>
        <v/>
      </c>
      <c r="AX12" s="72">
        <f>IF($A12="","",IF(E12="",0,IF(E12=IF($B12="언어와 매체",자동계산!$D$4,자동계산!$B$4),IF($B12="언어와 매체",자동계산!$E$4,자동계산!$C$4),0)))</f>
        <v/>
      </c>
      <c r="AY12" s="72">
        <f>IF($A12="","",IF(F12="",0,IF(F12=IF($B12="언어와 매체",자동계산!$D$5,자동계산!$B$5),IF($B12="언어와 매체",자동계산!$E$5,자동계산!$C$5),0)))</f>
        <v/>
      </c>
      <c r="AZ12" s="72">
        <f>IF($A12="","",IF(G12="",0,IF(G12=IF($B12="언어와 매체",자동계산!$D$6,자동계산!$B$6),IF($B12="언어와 매체",자동계산!$E$6,자동계산!$C$6),0)))</f>
        <v/>
      </c>
      <c r="BA12" s="72">
        <f>IF($A12="","",IF(H12="",0,IF(H12=IF($B12="언어와 매체",자동계산!$D$7,자동계산!$B$7),IF($B12="언어와 매체",자동계산!$E$7,자동계산!$C$7),0)))</f>
        <v/>
      </c>
      <c r="BB12" s="72">
        <f>IF($A12="","",IF(I12="",0,IF(I12=IF($B12="언어와 매체",자동계산!$D$8,자동계산!$B$8),IF($B12="언어와 매체",자동계산!$E$8,자동계산!$C$8),0)))</f>
        <v/>
      </c>
      <c r="BC12" s="72">
        <f>IF($A12="","",IF(J12="",0,IF(J12=IF($B12="언어와 매체",자동계산!$D$9,자동계산!$B$9),IF($B12="언어와 매체",자동계산!$E$9,자동계산!$C$9),0)))</f>
        <v/>
      </c>
      <c r="BD12" s="72">
        <f>IF($A12="","",IF(K12="",0,IF(K12=IF($B12="언어와 매체",자동계산!$D$10,자동계산!$B$10),IF($B12="언어와 매체",자동계산!$E$10,자동계산!$C$10),0)))</f>
        <v/>
      </c>
      <c r="BE12" s="72">
        <f>IF($A12="","",IF(L12="",0,IF(L12=IF($B12="언어와 매체",자동계산!$D$11,자동계산!$B$11),IF($B12="언어와 매체",자동계산!$E$11,자동계산!$C$11),0)))</f>
        <v/>
      </c>
      <c r="BF12" s="72">
        <f>IF($A12="","",IF(M12="",0,IF(M12=IF($B12="언어와 매체",자동계산!$D$12,자동계산!$B$12),IF($B12="언어와 매체",자동계산!$E$12,자동계산!$C$12),0)))</f>
        <v/>
      </c>
      <c r="BG12" s="72">
        <f>IF($A12="","",IF(N12="",0,IF(N12=IF($B12="언어와 매체",자동계산!$D$13,자동계산!$B$13),IF($B12="언어와 매체",자동계산!$E$13,자동계산!$C$13),0)))</f>
        <v/>
      </c>
      <c r="BH12" s="72">
        <f>IF($A12="","",IF(O12="",0,IF(O12=IF($B12="언어와 매체",자동계산!$D$14,자동계산!$B$14),IF($B12="언어와 매체",자동계산!$E$14,자동계산!$C$14),0)))</f>
        <v/>
      </c>
      <c r="BI12" s="72">
        <f>IF($A12="","",IF(P12="",0,IF(P12=IF($B12="언어와 매체",자동계산!$D$15,자동계산!$B$15),IF($B12="언어와 매체",자동계산!$E$15,자동계산!$C$15),0)))</f>
        <v/>
      </c>
      <c r="BJ12" s="72">
        <f>IF($A12="","",IF(Q12="",0,IF(Q12=IF($B12="언어와 매체",자동계산!$D$16,자동계산!$B$16),IF($B12="언어와 매체",자동계산!$E$16,자동계산!$C$16),0)))</f>
        <v/>
      </c>
      <c r="BK12" s="72">
        <f>IF($A12="","",IF(R12="",0,IF(R12=IF($B12="언어와 매체",자동계산!$D$17,자동계산!$B$17),IF($B12="언어와 매체",자동계산!$E$17,자동계산!$C$17),0)))</f>
        <v/>
      </c>
      <c r="BL12" s="72">
        <f>IF($A12="","",IF(S12="",0,IF(S12=IF($B12="언어와 매체",자동계산!$D$18,자동계산!$B$18),IF($B12="언어와 매체",자동계산!$E$18,자동계산!$C$18),0)))</f>
        <v/>
      </c>
      <c r="BM12" s="72">
        <f>IF($A12="","",IF(T12="",0,IF(T12=IF($B12="언어와 매체",자동계산!$D$19,자동계산!$B$19),IF($B12="언어와 매체",자동계산!$E$19,자동계산!$C$19),0)))</f>
        <v/>
      </c>
      <c r="BN12" s="72">
        <f>IF($A12="","",IF(U12="",0,IF(U12=IF($B12="언어와 매체",자동계산!$D$20,자동계산!$B$20),IF($B12="언어와 매체",자동계산!$E$20,자동계산!$C$20),0)))</f>
        <v/>
      </c>
      <c r="BO12" s="72">
        <f>IF($A12="","",IF(V12="",0,IF(V12=IF($B12="언어와 매체",자동계산!$D$21,자동계산!$B$21),IF($B12="언어와 매체",자동계산!$E$21,자동계산!$C$21),0)))</f>
        <v/>
      </c>
      <c r="BP12" s="72">
        <f>IF($A12="","",IF(W12="",0,IF(W12=IF($B12="언어와 매체",자동계산!$D$22,자동계산!$B$22),IF($B12="언어와 매체",자동계산!$E$22,자동계산!$C$22),0)))</f>
        <v/>
      </c>
      <c r="BQ12" s="72">
        <f>IF($A12="","",IF(X12="",0,IF(X12=IF($B12="언어와 매체",자동계산!$D$23,자동계산!$B$23),IF($B12="언어와 매체",자동계산!$E$23,자동계산!$C$23),0)))</f>
        <v/>
      </c>
      <c r="BR12" s="72">
        <f>IF($A12="","",IF(Y12="",0,IF(Y12=IF($B12="언어와 매체",자동계산!$D$24,자동계산!$B$24),IF($B12="언어와 매체",자동계산!$E$24,자동계산!$C$24),0)))</f>
        <v/>
      </c>
      <c r="BS12" s="72">
        <f>IF($A12="","",IF(Z12="",0,IF(Z12=IF($B12="언어와 매체",자동계산!$D$25,자동계산!$B$25),IF($B12="언어와 매체",자동계산!$E$25,자동계산!$C$25),0)))</f>
        <v/>
      </c>
      <c r="BT12" s="72">
        <f>IF($A12="","",IF(AA12="",0,IF(AA12=IF($B12="언어와 매체",자동계산!$D$26,자동계산!$B$26),IF($B12="언어와 매체",자동계산!$E$26,자동계산!$C$26),0)))</f>
        <v/>
      </c>
      <c r="BU12" s="72">
        <f>IF($A12="","",IF(AB12="",0,IF(AB12=IF($B12="언어와 매체",자동계산!$D$27,자동계산!$B$27),IF($B12="언어와 매체",자동계산!$E$27,자동계산!$C$27),0)))</f>
        <v/>
      </c>
      <c r="BV12" s="72">
        <f>IF($A12="","",IF(AC12="",0,IF(AC12=IF($B12="언어와 매체",자동계산!$D$28,자동계산!$B$28),IF($B12="언어와 매체",자동계산!$E$28,자동계산!$C$28),0)))</f>
        <v/>
      </c>
      <c r="BW12" s="72">
        <f>IF($A12="","",IF(AD12="",0,IF(AD12=IF($B12="언어와 매체",자동계산!$D$29,자동계산!$B$29),IF($B12="언어와 매체",자동계산!$E$29,자동계산!$C$29),0)))</f>
        <v/>
      </c>
      <c r="BX12" s="72">
        <f>IF($A12="","",IF(AE12="",0,IF(AE12=IF($B12="언어와 매체",자동계산!$D$30,자동계산!$B$30),IF($B12="언어와 매체",자동계산!$E$30,자동계산!$C$30),0)))</f>
        <v/>
      </c>
      <c r="BY12" s="72">
        <f>IF($A12="","",IF(AF12="",0,IF(AF12=IF($B12="언어와 매체",자동계산!$D$31,자동계산!$B$31),IF($B12="언어와 매체",자동계산!$E$31,자동계산!$C$31),0)))</f>
        <v/>
      </c>
      <c r="BZ12" s="72">
        <f>IF($A12="","",IF(AG12="",0,IF(AG12=IF($B12="언어와 매체",자동계산!$D$32,자동계산!$B$32),IF($B12="언어와 매체",자동계산!$E$32,자동계산!$C$32),0)))</f>
        <v/>
      </c>
      <c r="CA12" s="72">
        <f>IF($A12="","",IF(AH12="",0,IF(AH12=IF($B12="언어와 매체",자동계산!$D$33,자동계산!$B$33),IF($B12="언어와 매체",자동계산!$E$33,자동계산!$C$33),0)))</f>
        <v/>
      </c>
      <c r="CB12" s="72">
        <f>IF($A12="","",IF(AI12="",0,IF(AI12=IF($B12="언어와 매체",자동계산!$D$34,자동계산!$B$34),IF($B12="언어와 매체",자동계산!$E$34,자동계산!$C$34),0)))</f>
        <v/>
      </c>
      <c r="CC12" s="72">
        <f>IF($A12="","",IF(AJ12="",0,IF(AJ12=IF($B12="언어와 매체",자동계산!$D$35,자동계산!$B$35),IF($B12="언어와 매체",자동계산!$E$35,자동계산!$C$35),0)))</f>
        <v/>
      </c>
      <c r="CD12" s="72">
        <f>IF($A12="","",IF(AK12="",0,IF(AK12=IF($B12="언어와 매체",자동계산!$D$36,자동계산!$B$36),IF($B12="언어와 매체",자동계산!$E$36,자동계산!$C$36),0)))</f>
        <v/>
      </c>
      <c r="CE12" s="72">
        <f>IF($A12="","",IF(AL12="",0,IF(AL12=IF($B12="언어와 매체",자동계산!$D$37,자동계산!$B$37),IF($B12="언어와 매체",자동계산!$E$37,자동계산!$C$37),0)))</f>
        <v/>
      </c>
      <c r="CF12" s="72">
        <f>IF($A12="","",IF(AM12="",0,IF(AM12=IF($B12="언어와 매체",자동계산!$D$38,자동계산!$B$38),IF($B12="언어와 매체",자동계산!$E$38,자동계산!$C$38),0)))</f>
        <v/>
      </c>
      <c r="CG12" s="72">
        <f>IF($A12="","",IF(AN12="",0,IF(AN12=IF($B12="언어와 매체",자동계산!$D$39,자동계산!$B$39),IF($B12="언어와 매체",자동계산!$E$39,자동계산!$C$39),0)))</f>
        <v/>
      </c>
      <c r="CH12" s="72">
        <f>IF($A12="","",IF(AO12="",0,IF(AO12=IF($B12="언어와 매체",자동계산!$D$40,자동계산!$B$40),IF($B12="언어와 매체",자동계산!$E$40,자동계산!$C$40),0)))</f>
        <v/>
      </c>
      <c r="CI12" s="72">
        <f>IF($A12="","",IF(AP12="",0,IF(AP12=IF($B12="언어와 매체",자동계산!$D$41,자동계산!$B$41),IF($B12="언어와 매체",자동계산!$E$41,자동계산!$C$41),0)))</f>
        <v/>
      </c>
      <c r="CJ12" s="72">
        <f>IF($A12="","",IF(AQ12="",0,IF(AQ12=IF($B12="언어와 매체",자동계산!$D$42,자동계산!$B$42),IF($B12="언어와 매체",자동계산!$E$42,자동계산!$C$42),0)))</f>
        <v/>
      </c>
      <c r="CK12" s="72">
        <f>IF($A12="","",IF(AR12="",0,IF(AR12=IF($B12="언어와 매체",자동계산!$D$43,자동계산!$B$43),IF($B12="언어와 매체",자동계산!$E$43,자동계산!$C$43),0)))</f>
        <v/>
      </c>
      <c r="CL12" s="72">
        <f>IF($A12="","",IF(AS12="",0,IF(AS12=IF($B12="언어와 매체",자동계산!$D$44,자동계산!$B$44),IF($B12="언어와 매체",자동계산!$E$44,자동계산!$C$44),0)))</f>
        <v/>
      </c>
      <c r="CM12" s="72">
        <f>IF($A12="","",IF(AT12="",0,IF(AT12=IF($B12="언어와 매체",자동계산!$D$45,자동계산!$B$45),IF($B12="언어와 매체",자동계산!$E$45,자동계산!$C$45),0)))</f>
        <v/>
      </c>
      <c r="CN12" s="72">
        <f>IF($A12="","",IF(AU12="",0,IF(AU12=IF($B12="언어와 매체",자동계산!$D$46,자동계산!$B$46),IF($B12="언어와 매체",자동계산!$E$46,자동계산!$C$46),0)))</f>
        <v/>
      </c>
      <c r="CO12" s="72">
        <f>IF($A12="","",IF(AV12="",0,IF(AV12=IF($B12="언어와 매체",자동계산!$D$47,자동계산!$B$47),IF($B12="언어와 매체",자동계산!$E$47,자동계산!$C$47),0)))</f>
        <v/>
      </c>
      <c r="CP12" s="72">
        <f>IF($A12="","",IF(AW12="",0,IF(AW12=IF($B12="언어와 매체",자동계산!$D$48,자동계산!$B$48),IF($B12="언어와 매체",자동계산!$E$48,자동계산!$C$48),0)))</f>
        <v/>
      </c>
    </row>
    <row r="13">
      <c r="A13" s="70">
        <f>IF(답안입력!A13="","",답안입력!A13)</f>
        <v/>
      </c>
      <c r="B13" s="70">
        <f>IF($A13="","",답안입력!C13)</f>
        <v/>
      </c>
      <c r="C13" s="71">
        <f>IF($A13="","",SUM(AX13:CP13))</f>
        <v/>
      </c>
      <c r="D13" s="70">
        <f>IF($A13="","",IF($C13&gt;=IF($B13="언어와 매체",회차설정!$B$9,회차설정!$B$8),"1등급",IF($C13&gt;=IF($B13="언어와 매체",회차설정!$C$9,회차설정!$C$8),"2등급",IF($C13&gt;=IF($B13="언어와 매체",회차설정!$D$9,회차설정!$D$8),"3등급",IF($C13&gt;=IF($B13="언어와 매체",회차설정!$E$9,회차설정!$E$8),"4등급","등급 외")))))</f>
        <v/>
      </c>
      <c r="E13" s="72">
        <f>IF($A13="","",IF(LEN(답안입력!$D13)&gt;=1,VALUE(MID(답안입력!$D13,1,1)),IF(답안입력!E13="","",답안입력!E13)))</f>
        <v/>
      </c>
      <c r="F13" s="72">
        <f>IF($A13="","",IF(LEN(답안입력!$D13)&gt;=2,VALUE(MID(답안입력!$D13,2,1)),IF(답안입력!F13="","",답안입력!F13)))</f>
        <v/>
      </c>
      <c r="G13" s="72">
        <f>IF($A13="","",IF(LEN(답안입력!$D13)&gt;=3,VALUE(MID(답안입력!$D13,3,1)),IF(답안입력!G13="","",답안입력!G13)))</f>
        <v/>
      </c>
      <c r="H13" s="72">
        <f>IF($A13="","",IF(LEN(답안입력!$D13)&gt;=4,VALUE(MID(답안입력!$D13,4,1)),IF(답안입력!H13="","",답안입력!H13)))</f>
        <v/>
      </c>
      <c r="I13" s="72">
        <f>IF($A13="","",IF(LEN(답안입력!$D13)&gt;=5,VALUE(MID(답안입력!$D13,5,1)),IF(답안입력!I13="","",답안입력!I13)))</f>
        <v/>
      </c>
      <c r="J13" s="72">
        <f>IF($A13="","",IF(LEN(답안입력!$D13)&gt;=6,VALUE(MID(답안입력!$D13,6,1)),IF(답안입력!J13="","",답안입력!J13)))</f>
        <v/>
      </c>
      <c r="K13" s="72">
        <f>IF($A13="","",IF(LEN(답안입력!$D13)&gt;=7,VALUE(MID(답안입력!$D13,7,1)),IF(답안입력!K13="","",답안입력!K13)))</f>
        <v/>
      </c>
      <c r="L13" s="72">
        <f>IF($A13="","",IF(LEN(답안입력!$D13)&gt;=8,VALUE(MID(답안입력!$D13,8,1)),IF(답안입력!L13="","",답안입력!L13)))</f>
        <v/>
      </c>
      <c r="M13" s="72">
        <f>IF($A13="","",IF(LEN(답안입력!$D13)&gt;=9,VALUE(MID(답안입력!$D13,9,1)),IF(답안입력!M13="","",답안입력!M13)))</f>
        <v/>
      </c>
      <c r="N13" s="72">
        <f>IF($A13="","",IF(LEN(답안입력!$D13)&gt;=10,VALUE(MID(답안입력!$D13,10,1)),IF(답안입력!N13="","",답안입력!N13)))</f>
        <v/>
      </c>
      <c r="O13" s="72">
        <f>IF($A13="","",IF(LEN(답안입력!$D13)&gt;=11,VALUE(MID(답안입력!$D13,11,1)),IF(답안입력!O13="","",답안입력!O13)))</f>
        <v/>
      </c>
      <c r="P13" s="72">
        <f>IF($A13="","",IF(LEN(답안입력!$D13)&gt;=12,VALUE(MID(답안입력!$D13,12,1)),IF(답안입력!P13="","",답안입력!P13)))</f>
        <v/>
      </c>
      <c r="Q13" s="72">
        <f>IF($A13="","",IF(LEN(답안입력!$D13)&gt;=13,VALUE(MID(답안입력!$D13,13,1)),IF(답안입력!Q13="","",답안입력!Q13)))</f>
        <v/>
      </c>
      <c r="R13" s="72">
        <f>IF($A13="","",IF(LEN(답안입력!$D13)&gt;=14,VALUE(MID(답안입력!$D13,14,1)),IF(답안입력!R13="","",답안입력!R13)))</f>
        <v/>
      </c>
      <c r="S13" s="72">
        <f>IF($A13="","",IF(LEN(답안입력!$D13)&gt;=15,VALUE(MID(답안입력!$D13,15,1)),IF(답안입력!S13="","",답안입력!S13)))</f>
        <v/>
      </c>
      <c r="T13" s="72">
        <f>IF($A13="","",IF(LEN(답안입력!$D13)&gt;=16,VALUE(MID(답안입력!$D13,16,1)),IF(답안입력!T13="","",답안입력!T13)))</f>
        <v/>
      </c>
      <c r="U13" s="72">
        <f>IF($A13="","",IF(LEN(답안입력!$D13)&gt;=17,VALUE(MID(답안입력!$D13,17,1)),IF(답안입력!U13="","",답안입력!U13)))</f>
        <v/>
      </c>
      <c r="V13" s="72">
        <f>IF($A13="","",IF(LEN(답안입력!$D13)&gt;=18,VALUE(MID(답안입력!$D13,18,1)),IF(답안입력!V13="","",답안입력!V13)))</f>
        <v/>
      </c>
      <c r="W13" s="72">
        <f>IF($A13="","",IF(LEN(답안입력!$D13)&gt;=19,VALUE(MID(답안입력!$D13,19,1)),IF(답안입력!W13="","",답안입력!W13)))</f>
        <v/>
      </c>
      <c r="X13" s="72">
        <f>IF($A13="","",IF(LEN(답안입력!$D13)&gt;=20,VALUE(MID(답안입력!$D13,20,1)),IF(답안입력!X13="","",답안입력!X13)))</f>
        <v/>
      </c>
      <c r="Y13" s="72">
        <f>IF($A13="","",IF(LEN(답안입력!$D13)&gt;=21,VALUE(MID(답안입력!$D13,21,1)),IF(답안입력!Y13="","",답안입력!Y13)))</f>
        <v/>
      </c>
      <c r="Z13" s="72">
        <f>IF($A13="","",IF(LEN(답안입력!$D13)&gt;=22,VALUE(MID(답안입력!$D13,22,1)),IF(답안입력!Z13="","",답안입력!Z13)))</f>
        <v/>
      </c>
      <c r="AA13" s="72">
        <f>IF($A13="","",IF(LEN(답안입력!$D13)&gt;=23,VALUE(MID(답안입력!$D13,23,1)),IF(답안입력!AA13="","",답안입력!AA13)))</f>
        <v/>
      </c>
      <c r="AB13" s="72">
        <f>IF($A13="","",IF(LEN(답안입력!$D13)&gt;=24,VALUE(MID(답안입력!$D13,24,1)),IF(답안입력!AB13="","",답안입력!AB13)))</f>
        <v/>
      </c>
      <c r="AC13" s="72">
        <f>IF($A13="","",IF(LEN(답안입력!$D13)&gt;=25,VALUE(MID(답안입력!$D13,25,1)),IF(답안입력!AC13="","",답안입력!AC13)))</f>
        <v/>
      </c>
      <c r="AD13" s="72">
        <f>IF($A13="","",IF(LEN(답안입력!$D13)&gt;=26,VALUE(MID(답안입력!$D13,26,1)),IF(답안입력!AD13="","",답안입력!AD13)))</f>
        <v/>
      </c>
      <c r="AE13" s="72">
        <f>IF($A13="","",IF(LEN(답안입력!$D13)&gt;=27,VALUE(MID(답안입력!$D13,27,1)),IF(답안입력!AE13="","",답안입력!AE13)))</f>
        <v/>
      </c>
      <c r="AF13" s="72">
        <f>IF($A13="","",IF(LEN(답안입력!$D13)&gt;=28,VALUE(MID(답안입력!$D13,28,1)),IF(답안입력!AF13="","",답안입력!AF13)))</f>
        <v/>
      </c>
      <c r="AG13" s="72">
        <f>IF($A13="","",IF(LEN(답안입력!$D13)&gt;=29,VALUE(MID(답안입력!$D13,29,1)),IF(답안입력!AG13="","",답안입력!AG13)))</f>
        <v/>
      </c>
      <c r="AH13" s="72">
        <f>IF($A13="","",IF(LEN(답안입력!$D13)&gt;=30,VALUE(MID(답안입력!$D13,30,1)),IF(답안입력!AH13="","",답안입력!AH13)))</f>
        <v/>
      </c>
      <c r="AI13" s="72">
        <f>IF($A13="","",IF(LEN(답안입력!$D13)&gt;=31,VALUE(MID(답안입력!$D13,31,1)),IF(답안입력!AI13="","",답안입력!AI13)))</f>
        <v/>
      </c>
      <c r="AJ13" s="72">
        <f>IF($A13="","",IF(LEN(답안입력!$D13)&gt;=32,VALUE(MID(답안입력!$D13,32,1)),IF(답안입력!AJ13="","",답안입력!AJ13)))</f>
        <v/>
      </c>
      <c r="AK13" s="72">
        <f>IF($A13="","",IF(LEN(답안입력!$D13)&gt;=33,VALUE(MID(답안입력!$D13,33,1)),IF(답안입력!AK13="","",답안입력!AK13)))</f>
        <v/>
      </c>
      <c r="AL13" s="72">
        <f>IF($A13="","",IF(LEN(답안입력!$D13)&gt;=34,VALUE(MID(답안입력!$D13,34,1)),IF(답안입력!AL13="","",답안입력!AL13)))</f>
        <v/>
      </c>
      <c r="AM13" s="72">
        <f>IF($A13="","",IF(LEN(답안입력!$D13)&gt;=35,VALUE(MID(답안입력!$D13,35,1)),IF(답안입력!AM13="","",답안입력!AM13)))</f>
        <v/>
      </c>
      <c r="AN13" s="72">
        <f>IF($A13="","",IF(LEN(답안입력!$D13)&gt;=36,VALUE(MID(답안입력!$D13,36,1)),IF(답안입력!AN13="","",답안입력!AN13)))</f>
        <v/>
      </c>
      <c r="AO13" s="72">
        <f>IF($A13="","",IF(LEN(답안입력!$D13)&gt;=37,VALUE(MID(답안입력!$D13,37,1)),IF(답안입력!AO13="","",답안입력!AO13)))</f>
        <v/>
      </c>
      <c r="AP13" s="72">
        <f>IF($A13="","",IF(LEN(답안입력!$D13)&gt;=38,VALUE(MID(답안입력!$D13,38,1)),IF(답안입력!AP13="","",답안입력!AP13)))</f>
        <v/>
      </c>
      <c r="AQ13" s="72">
        <f>IF($A13="","",IF(LEN(답안입력!$D13)&gt;=39,VALUE(MID(답안입력!$D13,39,1)),IF(답안입력!AQ13="","",답안입력!AQ13)))</f>
        <v/>
      </c>
      <c r="AR13" s="72">
        <f>IF($A13="","",IF(LEN(답안입력!$D13)&gt;=40,VALUE(MID(답안입력!$D13,40,1)),IF(답안입력!AR13="","",답안입력!AR13)))</f>
        <v/>
      </c>
      <c r="AS13" s="72">
        <f>IF($A13="","",IF(LEN(답안입력!$D13)&gt;=41,VALUE(MID(답안입력!$D13,41,1)),IF(답안입력!AS13="","",답안입력!AS13)))</f>
        <v/>
      </c>
      <c r="AT13" s="72">
        <f>IF($A13="","",IF(LEN(답안입력!$D13)&gt;=42,VALUE(MID(답안입력!$D13,42,1)),IF(답안입력!AT13="","",답안입력!AT13)))</f>
        <v/>
      </c>
      <c r="AU13" s="72">
        <f>IF($A13="","",IF(LEN(답안입력!$D13)&gt;=43,VALUE(MID(답안입력!$D13,43,1)),IF(답안입력!AU13="","",답안입력!AU13)))</f>
        <v/>
      </c>
      <c r="AV13" s="72">
        <f>IF($A13="","",IF(LEN(답안입력!$D13)&gt;=44,VALUE(MID(답안입력!$D13,44,1)),IF(답안입력!AV13="","",답안입력!AV13)))</f>
        <v/>
      </c>
      <c r="AW13" s="72">
        <f>IF($A13="","",IF(LEN(답안입력!$D13)&gt;=45,VALUE(MID(답안입력!$D13,45,1)),IF(답안입력!AW13="","",답안입력!AW13)))</f>
        <v/>
      </c>
      <c r="AX13" s="72">
        <f>IF($A13="","",IF(E13="",0,IF(E13=IF($B13="언어와 매체",자동계산!$D$4,자동계산!$B$4),IF($B13="언어와 매체",자동계산!$E$4,자동계산!$C$4),0)))</f>
        <v/>
      </c>
      <c r="AY13" s="72">
        <f>IF($A13="","",IF(F13="",0,IF(F13=IF($B13="언어와 매체",자동계산!$D$5,자동계산!$B$5),IF($B13="언어와 매체",자동계산!$E$5,자동계산!$C$5),0)))</f>
        <v/>
      </c>
      <c r="AZ13" s="72">
        <f>IF($A13="","",IF(G13="",0,IF(G13=IF($B13="언어와 매체",자동계산!$D$6,자동계산!$B$6),IF($B13="언어와 매체",자동계산!$E$6,자동계산!$C$6),0)))</f>
        <v/>
      </c>
      <c r="BA13" s="72">
        <f>IF($A13="","",IF(H13="",0,IF(H13=IF($B13="언어와 매체",자동계산!$D$7,자동계산!$B$7),IF($B13="언어와 매체",자동계산!$E$7,자동계산!$C$7),0)))</f>
        <v/>
      </c>
      <c r="BB13" s="72">
        <f>IF($A13="","",IF(I13="",0,IF(I13=IF($B13="언어와 매체",자동계산!$D$8,자동계산!$B$8),IF($B13="언어와 매체",자동계산!$E$8,자동계산!$C$8),0)))</f>
        <v/>
      </c>
      <c r="BC13" s="72">
        <f>IF($A13="","",IF(J13="",0,IF(J13=IF($B13="언어와 매체",자동계산!$D$9,자동계산!$B$9),IF($B13="언어와 매체",자동계산!$E$9,자동계산!$C$9),0)))</f>
        <v/>
      </c>
      <c r="BD13" s="72">
        <f>IF($A13="","",IF(K13="",0,IF(K13=IF($B13="언어와 매체",자동계산!$D$10,자동계산!$B$10),IF($B13="언어와 매체",자동계산!$E$10,자동계산!$C$10),0)))</f>
        <v/>
      </c>
      <c r="BE13" s="72">
        <f>IF($A13="","",IF(L13="",0,IF(L13=IF($B13="언어와 매체",자동계산!$D$11,자동계산!$B$11),IF($B13="언어와 매체",자동계산!$E$11,자동계산!$C$11),0)))</f>
        <v/>
      </c>
      <c r="BF13" s="72">
        <f>IF($A13="","",IF(M13="",0,IF(M13=IF($B13="언어와 매체",자동계산!$D$12,자동계산!$B$12),IF($B13="언어와 매체",자동계산!$E$12,자동계산!$C$12),0)))</f>
        <v/>
      </c>
      <c r="BG13" s="72">
        <f>IF($A13="","",IF(N13="",0,IF(N13=IF($B13="언어와 매체",자동계산!$D$13,자동계산!$B$13),IF($B13="언어와 매체",자동계산!$E$13,자동계산!$C$13),0)))</f>
        <v/>
      </c>
      <c r="BH13" s="72">
        <f>IF($A13="","",IF(O13="",0,IF(O13=IF($B13="언어와 매체",자동계산!$D$14,자동계산!$B$14),IF($B13="언어와 매체",자동계산!$E$14,자동계산!$C$14),0)))</f>
        <v/>
      </c>
      <c r="BI13" s="72">
        <f>IF($A13="","",IF(P13="",0,IF(P13=IF($B13="언어와 매체",자동계산!$D$15,자동계산!$B$15),IF($B13="언어와 매체",자동계산!$E$15,자동계산!$C$15),0)))</f>
        <v/>
      </c>
      <c r="BJ13" s="72">
        <f>IF($A13="","",IF(Q13="",0,IF(Q13=IF($B13="언어와 매체",자동계산!$D$16,자동계산!$B$16),IF($B13="언어와 매체",자동계산!$E$16,자동계산!$C$16),0)))</f>
        <v/>
      </c>
      <c r="BK13" s="72">
        <f>IF($A13="","",IF(R13="",0,IF(R13=IF($B13="언어와 매체",자동계산!$D$17,자동계산!$B$17),IF($B13="언어와 매체",자동계산!$E$17,자동계산!$C$17),0)))</f>
        <v/>
      </c>
      <c r="BL13" s="72">
        <f>IF($A13="","",IF(S13="",0,IF(S13=IF($B13="언어와 매체",자동계산!$D$18,자동계산!$B$18),IF($B13="언어와 매체",자동계산!$E$18,자동계산!$C$18),0)))</f>
        <v/>
      </c>
      <c r="BM13" s="72">
        <f>IF($A13="","",IF(T13="",0,IF(T13=IF($B13="언어와 매체",자동계산!$D$19,자동계산!$B$19),IF($B13="언어와 매체",자동계산!$E$19,자동계산!$C$19),0)))</f>
        <v/>
      </c>
      <c r="BN13" s="72">
        <f>IF($A13="","",IF(U13="",0,IF(U13=IF($B13="언어와 매체",자동계산!$D$20,자동계산!$B$20),IF($B13="언어와 매체",자동계산!$E$20,자동계산!$C$20),0)))</f>
        <v/>
      </c>
      <c r="BO13" s="72">
        <f>IF($A13="","",IF(V13="",0,IF(V13=IF($B13="언어와 매체",자동계산!$D$21,자동계산!$B$21),IF($B13="언어와 매체",자동계산!$E$21,자동계산!$C$21),0)))</f>
        <v/>
      </c>
      <c r="BP13" s="72">
        <f>IF($A13="","",IF(W13="",0,IF(W13=IF($B13="언어와 매체",자동계산!$D$22,자동계산!$B$22),IF($B13="언어와 매체",자동계산!$E$22,자동계산!$C$22),0)))</f>
        <v/>
      </c>
      <c r="BQ13" s="72">
        <f>IF($A13="","",IF(X13="",0,IF(X13=IF($B13="언어와 매체",자동계산!$D$23,자동계산!$B$23),IF($B13="언어와 매체",자동계산!$E$23,자동계산!$C$23),0)))</f>
        <v/>
      </c>
      <c r="BR13" s="72">
        <f>IF($A13="","",IF(Y13="",0,IF(Y13=IF($B13="언어와 매체",자동계산!$D$24,자동계산!$B$24),IF($B13="언어와 매체",자동계산!$E$24,자동계산!$C$24),0)))</f>
        <v/>
      </c>
      <c r="BS13" s="72">
        <f>IF($A13="","",IF(Z13="",0,IF(Z13=IF($B13="언어와 매체",자동계산!$D$25,자동계산!$B$25),IF($B13="언어와 매체",자동계산!$E$25,자동계산!$C$25),0)))</f>
        <v/>
      </c>
      <c r="BT13" s="72">
        <f>IF($A13="","",IF(AA13="",0,IF(AA13=IF($B13="언어와 매체",자동계산!$D$26,자동계산!$B$26),IF($B13="언어와 매체",자동계산!$E$26,자동계산!$C$26),0)))</f>
        <v/>
      </c>
      <c r="BU13" s="72">
        <f>IF($A13="","",IF(AB13="",0,IF(AB13=IF($B13="언어와 매체",자동계산!$D$27,자동계산!$B$27),IF($B13="언어와 매체",자동계산!$E$27,자동계산!$C$27),0)))</f>
        <v/>
      </c>
      <c r="BV13" s="72">
        <f>IF($A13="","",IF(AC13="",0,IF(AC13=IF($B13="언어와 매체",자동계산!$D$28,자동계산!$B$28),IF($B13="언어와 매체",자동계산!$E$28,자동계산!$C$28),0)))</f>
        <v/>
      </c>
      <c r="BW13" s="72">
        <f>IF($A13="","",IF(AD13="",0,IF(AD13=IF($B13="언어와 매체",자동계산!$D$29,자동계산!$B$29),IF($B13="언어와 매체",자동계산!$E$29,자동계산!$C$29),0)))</f>
        <v/>
      </c>
      <c r="BX13" s="72">
        <f>IF($A13="","",IF(AE13="",0,IF(AE13=IF($B13="언어와 매체",자동계산!$D$30,자동계산!$B$30),IF($B13="언어와 매체",자동계산!$E$30,자동계산!$C$30),0)))</f>
        <v/>
      </c>
      <c r="BY13" s="72">
        <f>IF($A13="","",IF(AF13="",0,IF(AF13=IF($B13="언어와 매체",자동계산!$D$31,자동계산!$B$31),IF($B13="언어와 매체",자동계산!$E$31,자동계산!$C$31),0)))</f>
        <v/>
      </c>
      <c r="BZ13" s="72">
        <f>IF($A13="","",IF(AG13="",0,IF(AG13=IF($B13="언어와 매체",자동계산!$D$32,자동계산!$B$32),IF($B13="언어와 매체",자동계산!$E$32,자동계산!$C$32),0)))</f>
        <v/>
      </c>
      <c r="CA13" s="72">
        <f>IF($A13="","",IF(AH13="",0,IF(AH13=IF($B13="언어와 매체",자동계산!$D$33,자동계산!$B$33),IF($B13="언어와 매체",자동계산!$E$33,자동계산!$C$33),0)))</f>
        <v/>
      </c>
      <c r="CB13" s="72">
        <f>IF($A13="","",IF(AI13="",0,IF(AI13=IF($B13="언어와 매체",자동계산!$D$34,자동계산!$B$34),IF($B13="언어와 매체",자동계산!$E$34,자동계산!$C$34),0)))</f>
        <v/>
      </c>
      <c r="CC13" s="72">
        <f>IF($A13="","",IF(AJ13="",0,IF(AJ13=IF($B13="언어와 매체",자동계산!$D$35,자동계산!$B$35),IF($B13="언어와 매체",자동계산!$E$35,자동계산!$C$35),0)))</f>
        <v/>
      </c>
      <c r="CD13" s="72">
        <f>IF($A13="","",IF(AK13="",0,IF(AK13=IF($B13="언어와 매체",자동계산!$D$36,자동계산!$B$36),IF($B13="언어와 매체",자동계산!$E$36,자동계산!$C$36),0)))</f>
        <v/>
      </c>
      <c r="CE13" s="72">
        <f>IF($A13="","",IF(AL13="",0,IF(AL13=IF($B13="언어와 매체",자동계산!$D$37,자동계산!$B$37),IF($B13="언어와 매체",자동계산!$E$37,자동계산!$C$37),0)))</f>
        <v/>
      </c>
      <c r="CF13" s="72">
        <f>IF($A13="","",IF(AM13="",0,IF(AM13=IF($B13="언어와 매체",자동계산!$D$38,자동계산!$B$38),IF($B13="언어와 매체",자동계산!$E$38,자동계산!$C$38),0)))</f>
        <v/>
      </c>
      <c r="CG13" s="72">
        <f>IF($A13="","",IF(AN13="",0,IF(AN13=IF($B13="언어와 매체",자동계산!$D$39,자동계산!$B$39),IF($B13="언어와 매체",자동계산!$E$39,자동계산!$C$39),0)))</f>
        <v/>
      </c>
      <c r="CH13" s="72">
        <f>IF($A13="","",IF(AO13="",0,IF(AO13=IF($B13="언어와 매체",자동계산!$D$40,자동계산!$B$40),IF($B13="언어와 매체",자동계산!$E$40,자동계산!$C$40),0)))</f>
        <v/>
      </c>
      <c r="CI13" s="72">
        <f>IF($A13="","",IF(AP13="",0,IF(AP13=IF($B13="언어와 매체",자동계산!$D$41,자동계산!$B$41),IF($B13="언어와 매체",자동계산!$E$41,자동계산!$C$41),0)))</f>
        <v/>
      </c>
      <c r="CJ13" s="72">
        <f>IF($A13="","",IF(AQ13="",0,IF(AQ13=IF($B13="언어와 매체",자동계산!$D$42,자동계산!$B$42),IF($B13="언어와 매체",자동계산!$E$42,자동계산!$C$42),0)))</f>
        <v/>
      </c>
      <c r="CK13" s="72">
        <f>IF($A13="","",IF(AR13="",0,IF(AR13=IF($B13="언어와 매체",자동계산!$D$43,자동계산!$B$43),IF($B13="언어와 매체",자동계산!$E$43,자동계산!$C$43),0)))</f>
        <v/>
      </c>
      <c r="CL13" s="72">
        <f>IF($A13="","",IF(AS13="",0,IF(AS13=IF($B13="언어와 매체",자동계산!$D$44,자동계산!$B$44),IF($B13="언어와 매체",자동계산!$E$44,자동계산!$C$44),0)))</f>
        <v/>
      </c>
      <c r="CM13" s="72">
        <f>IF($A13="","",IF(AT13="",0,IF(AT13=IF($B13="언어와 매체",자동계산!$D$45,자동계산!$B$45),IF($B13="언어와 매체",자동계산!$E$45,자동계산!$C$45),0)))</f>
        <v/>
      </c>
      <c r="CN13" s="72">
        <f>IF($A13="","",IF(AU13="",0,IF(AU13=IF($B13="언어와 매체",자동계산!$D$46,자동계산!$B$46),IF($B13="언어와 매체",자동계산!$E$46,자동계산!$C$46),0)))</f>
        <v/>
      </c>
      <c r="CO13" s="72">
        <f>IF($A13="","",IF(AV13="",0,IF(AV13=IF($B13="언어와 매체",자동계산!$D$47,자동계산!$B$47),IF($B13="언어와 매체",자동계산!$E$47,자동계산!$C$47),0)))</f>
        <v/>
      </c>
      <c r="CP13" s="72">
        <f>IF($A13="","",IF(AW13="",0,IF(AW13=IF($B13="언어와 매체",자동계산!$D$48,자동계산!$B$48),IF($B13="언어와 매체",자동계산!$E$48,자동계산!$C$48),0)))</f>
        <v/>
      </c>
    </row>
    <row r="14">
      <c r="A14" s="70">
        <f>IF(답안입력!A14="","",답안입력!A14)</f>
        <v/>
      </c>
      <c r="B14" s="70">
        <f>IF($A14="","",답안입력!C14)</f>
        <v/>
      </c>
      <c r="C14" s="71">
        <f>IF($A14="","",SUM(AX14:CP14))</f>
        <v/>
      </c>
      <c r="D14" s="70">
        <f>IF($A14="","",IF($C14&gt;=IF($B14="언어와 매체",회차설정!$B$9,회차설정!$B$8),"1등급",IF($C14&gt;=IF($B14="언어와 매체",회차설정!$C$9,회차설정!$C$8),"2등급",IF($C14&gt;=IF($B14="언어와 매체",회차설정!$D$9,회차설정!$D$8),"3등급",IF($C14&gt;=IF($B14="언어와 매체",회차설정!$E$9,회차설정!$E$8),"4등급","등급 외")))))</f>
        <v/>
      </c>
      <c r="E14" s="72">
        <f>IF($A14="","",IF(LEN(답안입력!$D14)&gt;=1,VALUE(MID(답안입력!$D14,1,1)),IF(답안입력!E14="","",답안입력!E14)))</f>
        <v/>
      </c>
      <c r="F14" s="72">
        <f>IF($A14="","",IF(LEN(답안입력!$D14)&gt;=2,VALUE(MID(답안입력!$D14,2,1)),IF(답안입력!F14="","",답안입력!F14)))</f>
        <v/>
      </c>
      <c r="G14" s="72">
        <f>IF($A14="","",IF(LEN(답안입력!$D14)&gt;=3,VALUE(MID(답안입력!$D14,3,1)),IF(답안입력!G14="","",답안입력!G14)))</f>
        <v/>
      </c>
      <c r="H14" s="72">
        <f>IF($A14="","",IF(LEN(답안입력!$D14)&gt;=4,VALUE(MID(답안입력!$D14,4,1)),IF(답안입력!H14="","",답안입력!H14)))</f>
        <v/>
      </c>
      <c r="I14" s="72">
        <f>IF($A14="","",IF(LEN(답안입력!$D14)&gt;=5,VALUE(MID(답안입력!$D14,5,1)),IF(답안입력!I14="","",답안입력!I14)))</f>
        <v/>
      </c>
      <c r="J14" s="72">
        <f>IF($A14="","",IF(LEN(답안입력!$D14)&gt;=6,VALUE(MID(답안입력!$D14,6,1)),IF(답안입력!J14="","",답안입력!J14)))</f>
        <v/>
      </c>
      <c r="K14" s="72">
        <f>IF($A14="","",IF(LEN(답안입력!$D14)&gt;=7,VALUE(MID(답안입력!$D14,7,1)),IF(답안입력!K14="","",답안입력!K14)))</f>
        <v/>
      </c>
      <c r="L14" s="72">
        <f>IF($A14="","",IF(LEN(답안입력!$D14)&gt;=8,VALUE(MID(답안입력!$D14,8,1)),IF(답안입력!L14="","",답안입력!L14)))</f>
        <v/>
      </c>
      <c r="M14" s="72">
        <f>IF($A14="","",IF(LEN(답안입력!$D14)&gt;=9,VALUE(MID(답안입력!$D14,9,1)),IF(답안입력!M14="","",답안입력!M14)))</f>
        <v/>
      </c>
      <c r="N14" s="72">
        <f>IF($A14="","",IF(LEN(답안입력!$D14)&gt;=10,VALUE(MID(답안입력!$D14,10,1)),IF(답안입력!N14="","",답안입력!N14)))</f>
        <v/>
      </c>
      <c r="O14" s="72">
        <f>IF($A14="","",IF(LEN(답안입력!$D14)&gt;=11,VALUE(MID(답안입력!$D14,11,1)),IF(답안입력!O14="","",답안입력!O14)))</f>
        <v/>
      </c>
      <c r="P14" s="72">
        <f>IF($A14="","",IF(LEN(답안입력!$D14)&gt;=12,VALUE(MID(답안입력!$D14,12,1)),IF(답안입력!P14="","",답안입력!P14)))</f>
        <v/>
      </c>
      <c r="Q14" s="72">
        <f>IF($A14="","",IF(LEN(답안입력!$D14)&gt;=13,VALUE(MID(답안입력!$D14,13,1)),IF(답안입력!Q14="","",답안입력!Q14)))</f>
        <v/>
      </c>
      <c r="R14" s="72">
        <f>IF($A14="","",IF(LEN(답안입력!$D14)&gt;=14,VALUE(MID(답안입력!$D14,14,1)),IF(답안입력!R14="","",답안입력!R14)))</f>
        <v/>
      </c>
      <c r="S14" s="72">
        <f>IF($A14="","",IF(LEN(답안입력!$D14)&gt;=15,VALUE(MID(답안입력!$D14,15,1)),IF(답안입력!S14="","",답안입력!S14)))</f>
        <v/>
      </c>
      <c r="T14" s="72">
        <f>IF($A14="","",IF(LEN(답안입력!$D14)&gt;=16,VALUE(MID(답안입력!$D14,16,1)),IF(답안입력!T14="","",답안입력!T14)))</f>
        <v/>
      </c>
      <c r="U14" s="72">
        <f>IF($A14="","",IF(LEN(답안입력!$D14)&gt;=17,VALUE(MID(답안입력!$D14,17,1)),IF(답안입력!U14="","",답안입력!U14)))</f>
        <v/>
      </c>
      <c r="V14" s="72">
        <f>IF($A14="","",IF(LEN(답안입력!$D14)&gt;=18,VALUE(MID(답안입력!$D14,18,1)),IF(답안입력!V14="","",답안입력!V14)))</f>
        <v/>
      </c>
      <c r="W14" s="72">
        <f>IF($A14="","",IF(LEN(답안입력!$D14)&gt;=19,VALUE(MID(답안입력!$D14,19,1)),IF(답안입력!W14="","",답안입력!W14)))</f>
        <v/>
      </c>
      <c r="X14" s="72">
        <f>IF($A14="","",IF(LEN(답안입력!$D14)&gt;=20,VALUE(MID(답안입력!$D14,20,1)),IF(답안입력!X14="","",답안입력!X14)))</f>
        <v/>
      </c>
      <c r="Y14" s="72">
        <f>IF($A14="","",IF(LEN(답안입력!$D14)&gt;=21,VALUE(MID(답안입력!$D14,21,1)),IF(답안입력!Y14="","",답안입력!Y14)))</f>
        <v/>
      </c>
      <c r="Z14" s="72">
        <f>IF($A14="","",IF(LEN(답안입력!$D14)&gt;=22,VALUE(MID(답안입력!$D14,22,1)),IF(답안입력!Z14="","",답안입력!Z14)))</f>
        <v/>
      </c>
      <c r="AA14" s="72">
        <f>IF($A14="","",IF(LEN(답안입력!$D14)&gt;=23,VALUE(MID(답안입력!$D14,23,1)),IF(답안입력!AA14="","",답안입력!AA14)))</f>
        <v/>
      </c>
      <c r="AB14" s="72">
        <f>IF($A14="","",IF(LEN(답안입력!$D14)&gt;=24,VALUE(MID(답안입력!$D14,24,1)),IF(답안입력!AB14="","",답안입력!AB14)))</f>
        <v/>
      </c>
      <c r="AC14" s="72">
        <f>IF($A14="","",IF(LEN(답안입력!$D14)&gt;=25,VALUE(MID(답안입력!$D14,25,1)),IF(답안입력!AC14="","",답안입력!AC14)))</f>
        <v/>
      </c>
      <c r="AD14" s="72">
        <f>IF($A14="","",IF(LEN(답안입력!$D14)&gt;=26,VALUE(MID(답안입력!$D14,26,1)),IF(답안입력!AD14="","",답안입력!AD14)))</f>
        <v/>
      </c>
      <c r="AE14" s="72">
        <f>IF($A14="","",IF(LEN(답안입력!$D14)&gt;=27,VALUE(MID(답안입력!$D14,27,1)),IF(답안입력!AE14="","",답안입력!AE14)))</f>
        <v/>
      </c>
      <c r="AF14" s="72">
        <f>IF($A14="","",IF(LEN(답안입력!$D14)&gt;=28,VALUE(MID(답안입력!$D14,28,1)),IF(답안입력!AF14="","",답안입력!AF14)))</f>
        <v/>
      </c>
      <c r="AG14" s="72">
        <f>IF($A14="","",IF(LEN(답안입력!$D14)&gt;=29,VALUE(MID(답안입력!$D14,29,1)),IF(답안입력!AG14="","",답안입력!AG14)))</f>
        <v/>
      </c>
      <c r="AH14" s="72">
        <f>IF($A14="","",IF(LEN(답안입력!$D14)&gt;=30,VALUE(MID(답안입력!$D14,30,1)),IF(답안입력!AH14="","",답안입력!AH14)))</f>
        <v/>
      </c>
      <c r="AI14" s="72">
        <f>IF($A14="","",IF(LEN(답안입력!$D14)&gt;=31,VALUE(MID(답안입력!$D14,31,1)),IF(답안입력!AI14="","",답안입력!AI14)))</f>
        <v/>
      </c>
      <c r="AJ14" s="72">
        <f>IF($A14="","",IF(LEN(답안입력!$D14)&gt;=32,VALUE(MID(답안입력!$D14,32,1)),IF(답안입력!AJ14="","",답안입력!AJ14)))</f>
        <v/>
      </c>
      <c r="AK14" s="72">
        <f>IF($A14="","",IF(LEN(답안입력!$D14)&gt;=33,VALUE(MID(답안입력!$D14,33,1)),IF(답안입력!AK14="","",답안입력!AK14)))</f>
        <v/>
      </c>
      <c r="AL14" s="72">
        <f>IF($A14="","",IF(LEN(답안입력!$D14)&gt;=34,VALUE(MID(답안입력!$D14,34,1)),IF(답안입력!AL14="","",답안입력!AL14)))</f>
        <v/>
      </c>
      <c r="AM14" s="72">
        <f>IF($A14="","",IF(LEN(답안입력!$D14)&gt;=35,VALUE(MID(답안입력!$D14,35,1)),IF(답안입력!AM14="","",답안입력!AM14)))</f>
        <v/>
      </c>
      <c r="AN14" s="72">
        <f>IF($A14="","",IF(LEN(답안입력!$D14)&gt;=36,VALUE(MID(답안입력!$D14,36,1)),IF(답안입력!AN14="","",답안입력!AN14)))</f>
        <v/>
      </c>
      <c r="AO14" s="72">
        <f>IF($A14="","",IF(LEN(답안입력!$D14)&gt;=37,VALUE(MID(답안입력!$D14,37,1)),IF(답안입력!AO14="","",답안입력!AO14)))</f>
        <v/>
      </c>
      <c r="AP14" s="72">
        <f>IF($A14="","",IF(LEN(답안입력!$D14)&gt;=38,VALUE(MID(답안입력!$D14,38,1)),IF(답안입력!AP14="","",답안입력!AP14)))</f>
        <v/>
      </c>
      <c r="AQ14" s="72">
        <f>IF($A14="","",IF(LEN(답안입력!$D14)&gt;=39,VALUE(MID(답안입력!$D14,39,1)),IF(답안입력!AQ14="","",답안입력!AQ14)))</f>
        <v/>
      </c>
      <c r="AR14" s="72">
        <f>IF($A14="","",IF(LEN(답안입력!$D14)&gt;=40,VALUE(MID(답안입력!$D14,40,1)),IF(답안입력!AR14="","",답안입력!AR14)))</f>
        <v/>
      </c>
      <c r="AS14" s="72">
        <f>IF($A14="","",IF(LEN(답안입력!$D14)&gt;=41,VALUE(MID(답안입력!$D14,41,1)),IF(답안입력!AS14="","",답안입력!AS14)))</f>
        <v/>
      </c>
      <c r="AT14" s="72">
        <f>IF($A14="","",IF(LEN(답안입력!$D14)&gt;=42,VALUE(MID(답안입력!$D14,42,1)),IF(답안입력!AT14="","",답안입력!AT14)))</f>
        <v/>
      </c>
      <c r="AU14" s="72">
        <f>IF($A14="","",IF(LEN(답안입력!$D14)&gt;=43,VALUE(MID(답안입력!$D14,43,1)),IF(답안입력!AU14="","",답안입력!AU14)))</f>
        <v/>
      </c>
      <c r="AV14" s="72">
        <f>IF($A14="","",IF(LEN(답안입력!$D14)&gt;=44,VALUE(MID(답안입력!$D14,44,1)),IF(답안입력!AV14="","",답안입력!AV14)))</f>
        <v/>
      </c>
      <c r="AW14" s="72">
        <f>IF($A14="","",IF(LEN(답안입력!$D14)&gt;=45,VALUE(MID(답안입력!$D14,45,1)),IF(답안입력!AW14="","",답안입력!AW14)))</f>
        <v/>
      </c>
      <c r="AX14" s="72">
        <f>IF($A14="","",IF(E14="",0,IF(E14=IF($B14="언어와 매체",자동계산!$D$4,자동계산!$B$4),IF($B14="언어와 매체",자동계산!$E$4,자동계산!$C$4),0)))</f>
        <v/>
      </c>
      <c r="AY14" s="72">
        <f>IF($A14="","",IF(F14="",0,IF(F14=IF($B14="언어와 매체",자동계산!$D$5,자동계산!$B$5),IF($B14="언어와 매체",자동계산!$E$5,자동계산!$C$5),0)))</f>
        <v/>
      </c>
      <c r="AZ14" s="72">
        <f>IF($A14="","",IF(G14="",0,IF(G14=IF($B14="언어와 매체",자동계산!$D$6,자동계산!$B$6),IF($B14="언어와 매체",자동계산!$E$6,자동계산!$C$6),0)))</f>
        <v/>
      </c>
      <c r="BA14" s="72">
        <f>IF($A14="","",IF(H14="",0,IF(H14=IF($B14="언어와 매체",자동계산!$D$7,자동계산!$B$7),IF($B14="언어와 매체",자동계산!$E$7,자동계산!$C$7),0)))</f>
        <v/>
      </c>
      <c r="BB14" s="72">
        <f>IF($A14="","",IF(I14="",0,IF(I14=IF($B14="언어와 매체",자동계산!$D$8,자동계산!$B$8),IF($B14="언어와 매체",자동계산!$E$8,자동계산!$C$8),0)))</f>
        <v/>
      </c>
      <c r="BC14" s="72">
        <f>IF($A14="","",IF(J14="",0,IF(J14=IF($B14="언어와 매체",자동계산!$D$9,자동계산!$B$9),IF($B14="언어와 매체",자동계산!$E$9,자동계산!$C$9),0)))</f>
        <v/>
      </c>
      <c r="BD14" s="72">
        <f>IF($A14="","",IF(K14="",0,IF(K14=IF($B14="언어와 매체",자동계산!$D$10,자동계산!$B$10),IF($B14="언어와 매체",자동계산!$E$10,자동계산!$C$10),0)))</f>
        <v/>
      </c>
      <c r="BE14" s="72">
        <f>IF($A14="","",IF(L14="",0,IF(L14=IF($B14="언어와 매체",자동계산!$D$11,자동계산!$B$11),IF($B14="언어와 매체",자동계산!$E$11,자동계산!$C$11),0)))</f>
        <v/>
      </c>
      <c r="BF14" s="72">
        <f>IF($A14="","",IF(M14="",0,IF(M14=IF($B14="언어와 매체",자동계산!$D$12,자동계산!$B$12),IF($B14="언어와 매체",자동계산!$E$12,자동계산!$C$12),0)))</f>
        <v/>
      </c>
      <c r="BG14" s="72">
        <f>IF($A14="","",IF(N14="",0,IF(N14=IF($B14="언어와 매체",자동계산!$D$13,자동계산!$B$13),IF($B14="언어와 매체",자동계산!$E$13,자동계산!$C$13),0)))</f>
        <v/>
      </c>
      <c r="BH14" s="72">
        <f>IF($A14="","",IF(O14="",0,IF(O14=IF($B14="언어와 매체",자동계산!$D$14,자동계산!$B$14),IF($B14="언어와 매체",자동계산!$E$14,자동계산!$C$14),0)))</f>
        <v/>
      </c>
      <c r="BI14" s="72">
        <f>IF($A14="","",IF(P14="",0,IF(P14=IF($B14="언어와 매체",자동계산!$D$15,자동계산!$B$15),IF($B14="언어와 매체",자동계산!$E$15,자동계산!$C$15),0)))</f>
        <v/>
      </c>
      <c r="BJ14" s="72">
        <f>IF($A14="","",IF(Q14="",0,IF(Q14=IF($B14="언어와 매체",자동계산!$D$16,자동계산!$B$16),IF($B14="언어와 매체",자동계산!$E$16,자동계산!$C$16),0)))</f>
        <v/>
      </c>
      <c r="BK14" s="72">
        <f>IF($A14="","",IF(R14="",0,IF(R14=IF($B14="언어와 매체",자동계산!$D$17,자동계산!$B$17),IF($B14="언어와 매체",자동계산!$E$17,자동계산!$C$17),0)))</f>
        <v/>
      </c>
      <c r="BL14" s="72">
        <f>IF($A14="","",IF(S14="",0,IF(S14=IF($B14="언어와 매체",자동계산!$D$18,자동계산!$B$18),IF($B14="언어와 매체",자동계산!$E$18,자동계산!$C$18),0)))</f>
        <v/>
      </c>
      <c r="BM14" s="72">
        <f>IF($A14="","",IF(T14="",0,IF(T14=IF($B14="언어와 매체",자동계산!$D$19,자동계산!$B$19),IF($B14="언어와 매체",자동계산!$E$19,자동계산!$C$19),0)))</f>
        <v/>
      </c>
      <c r="BN14" s="72">
        <f>IF($A14="","",IF(U14="",0,IF(U14=IF($B14="언어와 매체",자동계산!$D$20,자동계산!$B$20),IF($B14="언어와 매체",자동계산!$E$20,자동계산!$C$20),0)))</f>
        <v/>
      </c>
      <c r="BO14" s="72">
        <f>IF($A14="","",IF(V14="",0,IF(V14=IF($B14="언어와 매체",자동계산!$D$21,자동계산!$B$21),IF($B14="언어와 매체",자동계산!$E$21,자동계산!$C$21),0)))</f>
        <v/>
      </c>
      <c r="BP14" s="72">
        <f>IF($A14="","",IF(W14="",0,IF(W14=IF($B14="언어와 매체",자동계산!$D$22,자동계산!$B$22),IF($B14="언어와 매체",자동계산!$E$22,자동계산!$C$22),0)))</f>
        <v/>
      </c>
      <c r="BQ14" s="72">
        <f>IF($A14="","",IF(X14="",0,IF(X14=IF($B14="언어와 매체",자동계산!$D$23,자동계산!$B$23),IF($B14="언어와 매체",자동계산!$E$23,자동계산!$C$23),0)))</f>
        <v/>
      </c>
      <c r="BR14" s="72">
        <f>IF($A14="","",IF(Y14="",0,IF(Y14=IF($B14="언어와 매체",자동계산!$D$24,자동계산!$B$24),IF($B14="언어와 매체",자동계산!$E$24,자동계산!$C$24),0)))</f>
        <v/>
      </c>
      <c r="BS14" s="72">
        <f>IF($A14="","",IF(Z14="",0,IF(Z14=IF($B14="언어와 매체",자동계산!$D$25,자동계산!$B$25),IF($B14="언어와 매체",자동계산!$E$25,자동계산!$C$25),0)))</f>
        <v/>
      </c>
      <c r="BT14" s="72">
        <f>IF($A14="","",IF(AA14="",0,IF(AA14=IF($B14="언어와 매체",자동계산!$D$26,자동계산!$B$26),IF($B14="언어와 매체",자동계산!$E$26,자동계산!$C$26),0)))</f>
        <v/>
      </c>
      <c r="BU14" s="72">
        <f>IF($A14="","",IF(AB14="",0,IF(AB14=IF($B14="언어와 매체",자동계산!$D$27,자동계산!$B$27),IF($B14="언어와 매체",자동계산!$E$27,자동계산!$C$27),0)))</f>
        <v/>
      </c>
      <c r="BV14" s="72">
        <f>IF($A14="","",IF(AC14="",0,IF(AC14=IF($B14="언어와 매체",자동계산!$D$28,자동계산!$B$28),IF($B14="언어와 매체",자동계산!$E$28,자동계산!$C$28),0)))</f>
        <v/>
      </c>
      <c r="BW14" s="72">
        <f>IF($A14="","",IF(AD14="",0,IF(AD14=IF($B14="언어와 매체",자동계산!$D$29,자동계산!$B$29),IF($B14="언어와 매체",자동계산!$E$29,자동계산!$C$29),0)))</f>
        <v/>
      </c>
      <c r="BX14" s="72">
        <f>IF($A14="","",IF(AE14="",0,IF(AE14=IF($B14="언어와 매체",자동계산!$D$30,자동계산!$B$30),IF($B14="언어와 매체",자동계산!$E$30,자동계산!$C$30),0)))</f>
        <v/>
      </c>
      <c r="BY14" s="72">
        <f>IF($A14="","",IF(AF14="",0,IF(AF14=IF($B14="언어와 매체",자동계산!$D$31,자동계산!$B$31),IF($B14="언어와 매체",자동계산!$E$31,자동계산!$C$31),0)))</f>
        <v/>
      </c>
      <c r="BZ14" s="72">
        <f>IF($A14="","",IF(AG14="",0,IF(AG14=IF($B14="언어와 매체",자동계산!$D$32,자동계산!$B$32),IF($B14="언어와 매체",자동계산!$E$32,자동계산!$C$32),0)))</f>
        <v/>
      </c>
      <c r="CA14" s="72">
        <f>IF($A14="","",IF(AH14="",0,IF(AH14=IF($B14="언어와 매체",자동계산!$D$33,자동계산!$B$33),IF($B14="언어와 매체",자동계산!$E$33,자동계산!$C$33),0)))</f>
        <v/>
      </c>
      <c r="CB14" s="72">
        <f>IF($A14="","",IF(AI14="",0,IF(AI14=IF($B14="언어와 매체",자동계산!$D$34,자동계산!$B$34),IF($B14="언어와 매체",자동계산!$E$34,자동계산!$C$34),0)))</f>
        <v/>
      </c>
      <c r="CC14" s="72">
        <f>IF($A14="","",IF(AJ14="",0,IF(AJ14=IF($B14="언어와 매체",자동계산!$D$35,자동계산!$B$35),IF($B14="언어와 매체",자동계산!$E$35,자동계산!$C$35),0)))</f>
        <v/>
      </c>
      <c r="CD14" s="72">
        <f>IF($A14="","",IF(AK14="",0,IF(AK14=IF($B14="언어와 매체",자동계산!$D$36,자동계산!$B$36),IF($B14="언어와 매체",자동계산!$E$36,자동계산!$C$36),0)))</f>
        <v/>
      </c>
      <c r="CE14" s="72">
        <f>IF($A14="","",IF(AL14="",0,IF(AL14=IF($B14="언어와 매체",자동계산!$D$37,자동계산!$B$37),IF($B14="언어와 매체",자동계산!$E$37,자동계산!$C$37),0)))</f>
        <v/>
      </c>
      <c r="CF14" s="72">
        <f>IF($A14="","",IF(AM14="",0,IF(AM14=IF($B14="언어와 매체",자동계산!$D$38,자동계산!$B$38),IF($B14="언어와 매체",자동계산!$E$38,자동계산!$C$38),0)))</f>
        <v/>
      </c>
      <c r="CG14" s="72">
        <f>IF($A14="","",IF(AN14="",0,IF(AN14=IF($B14="언어와 매체",자동계산!$D$39,자동계산!$B$39),IF($B14="언어와 매체",자동계산!$E$39,자동계산!$C$39),0)))</f>
        <v/>
      </c>
      <c r="CH14" s="72">
        <f>IF($A14="","",IF(AO14="",0,IF(AO14=IF($B14="언어와 매체",자동계산!$D$40,자동계산!$B$40),IF($B14="언어와 매체",자동계산!$E$40,자동계산!$C$40),0)))</f>
        <v/>
      </c>
      <c r="CI14" s="72">
        <f>IF($A14="","",IF(AP14="",0,IF(AP14=IF($B14="언어와 매체",자동계산!$D$41,자동계산!$B$41),IF($B14="언어와 매체",자동계산!$E$41,자동계산!$C$41),0)))</f>
        <v/>
      </c>
      <c r="CJ14" s="72">
        <f>IF($A14="","",IF(AQ14="",0,IF(AQ14=IF($B14="언어와 매체",자동계산!$D$42,자동계산!$B$42),IF($B14="언어와 매체",자동계산!$E$42,자동계산!$C$42),0)))</f>
        <v/>
      </c>
      <c r="CK14" s="72">
        <f>IF($A14="","",IF(AR14="",0,IF(AR14=IF($B14="언어와 매체",자동계산!$D$43,자동계산!$B$43),IF($B14="언어와 매체",자동계산!$E$43,자동계산!$C$43),0)))</f>
        <v/>
      </c>
      <c r="CL14" s="72">
        <f>IF($A14="","",IF(AS14="",0,IF(AS14=IF($B14="언어와 매체",자동계산!$D$44,자동계산!$B$44),IF($B14="언어와 매체",자동계산!$E$44,자동계산!$C$44),0)))</f>
        <v/>
      </c>
      <c r="CM14" s="72">
        <f>IF($A14="","",IF(AT14="",0,IF(AT14=IF($B14="언어와 매체",자동계산!$D$45,자동계산!$B$45),IF($B14="언어와 매체",자동계산!$E$45,자동계산!$C$45),0)))</f>
        <v/>
      </c>
      <c r="CN14" s="72">
        <f>IF($A14="","",IF(AU14="",0,IF(AU14=IF($B14="언어와 매체",자동계산!$D$46,자동계산!$B$46),IF($B14="언어와 매체",자동계산!$E$46,자동계산!$C$46),0)))</f>
        <v/>
      </c>
      <c r="CO14" s="72">
        <f>IF($A14="","",IF(AV14="",0,IF(AV14=IF($B14="언어와 매체",자동계산!$D$47,자동계산!$B$47),IF($B14="언어와 매체",자동계산!$E$47,자동계산!$C$47),0)))</f>
        <v/>
      </c>
      <c r="CP14" s="72">
        <f>IF($A14="","",IF(AW14="",0,IF(AW14=IF($B14="언어와 매체",자동계산!$D$48,자동계산!$B$48),IF($B14="언어와 매체",자동계산!$E$48,자동계산!$C$48),0)))</f>
        <v/>
      </c>
    </row>
    <row r="15">
      <c r="A15" s="70">
        <f>IF(답안입력!A15="","",답안입력!A15)</f>
        <v/>
      </c>
      <c r="B15" s="70">
        <f>IF($A15="","",답안입력!C15)</f>
        <v/>
      </c>
      <c r="C15" s="71">
        <f>IF($A15="","",SUM(AX15:CP15))</f>
        <v/>
      </c>
      <c r="D15" s="70">
        <f>IF($A15="","",IF($C15&gt;=IF($B15="언어와 매체",회차설정!$B$9,회차설정!$B$8),"1등급",IF($C15&gt;=IF($B15="언어와 매체",회차설정!$C$9,회차설정!$C$8),"2등급",IF($C15&gt;=IF($B15="언어와 매체",회차설정!$D$9,회차설정!$D$8),"3등급",IF($C15&gt;=IF($B15="언어와 매체",회차설정!$E$9,회차설정!$E$8),"4등급","등급 외")))))</f>
        <v/>
      </c>
      <c r="E15" s="72">
        <f>IF($A15="","",IF(LEN(답안입력!$D15)&gt;=1,VALUE(MID(답안입력!$D15,1,1)),IF(답안입력!E15="","",답안입력!E15)))</f>
        <v/>
      </c>
      <c r="F15" s="72">
        <f>IF($A15="","",IF(LEN(답안입력!$D15)&gt;=2,VALUE(MID(답안입력!$D15,2,1)),IF(답안입력!F15="","",답안입력!F15)))</f>
        <v/>
      </c>
      <c r="G15" s="72">
        <f>IF($A15="","",IF(LEN(답안입력!$D15)&gt;=3,VALUE(MID(답안입력!$D15,3,1)),IF(답안입력!G15="","",답안입력!G15)))</f>
        <v/>
      </c>
      <c r="H15" s="72">
        <f>IF($A15="","",IF(LEN(답안입력!$D15)&gt;=4,VALUE(MID(답안입력!$D15,4,1)),IF(답안입력!H15="","",답안입력!H15)))</f>
        <v/>
      </c>
      <c r="I15" s="72">
        <f>IF($A15="","",IF(LEN(답안입력!$D15)&gt;=5,VALUE(MID(답안입력!$D15,5,1)),IF(답안입력!I15="","",답안입력!I15)))</f>
        <v/>
      </c>
      <c r="J15" s="72">
        <f>IF($A15="","",IF(LEN(답안입력!$D15)&gt;=6,VALUE(MID(답안입력!$D15,6,1)),IF(답안입력!J15="","",답안입력!J15)))</f>
        <v/>
      </c>
      <c r="K15" s="72">
        <f>IF($A15="","",IF(LEN(답안입력!$D15)&gt;=7,VALUE(MID(답안입력!$D15,7,1)),IF(답안입력!K15="","",답안입력!K15)))</f>
        <v/>
      </c>
      <c r="L15" s="72">
        <f>IF($A15="","",IF(LEN(답안입력!$D15)&gt;=8,VALUE(MID(답안입력!$D15,8,1)),IF(답안입력!L15="","",답안입력!L15)))</f>
        <v/>
      </c>
      <c r="M15" s="72">
        <f>IF($A15="","",IF(LEN(답안입력!$D15)&gt;=9,VALUE(MID(답안입력!$D15,9,1)),IF(답안입력!M15="","",답안입력!M15)))</f>
        <v/>
      </c>
      <c r="N15" s="72">
        <f>IF($A15="","",IF(LEN(답안입력!$D15)&gt;=10,VALUE(MID(답안입력!$D15,10,1)),IF(답안입력!N15="","",답안입력!N15)))</f>
        <v/>
      </c>
      <c r="O15" s="72">
        <f>IF($A15="","",IF(LEN(답안입력!$D15)&gt;=11,VALUE(MID(답안입력!$D15,11,1)),IF(답안입력!O15="","",답안입력!O15)))</f>
        <v/>
      </c>
      <c r="P15" s="72">
        <f>IF($A15="","",IF(LEN(답안입력!$D15)&gt;=12,VALUE(MID(답안입력!$D15,12,1)),IF(답안입력!P15="","",답안입력!P15)))</f>
        <v/>
      </c>
      <c r="Q15" s="72">
        <f>IF($A15="","",IF(LEN(답안입력!$D15)&gt;=13,VALUE(MID(답안입력!$D15,13,1)),IF(답안입력!Q15="","",답안입력!Q15)))</f>
        <v/>
      </c>
      <c r="R15" s="72">
        <f>IF($A15="","",IF(LEN(답안입력!$D15)&gt;=14,VALUE(MID(답안입력!$D15,14,1)),IF(답안입력!R15="","",답안입력!R15)))</f>
        <v/>
      </c>
      <c r="S15" s="72">
        <f>IF($A15="","",IF(LEN(답안입력!$D15)&gt;=15,VALUE(MID(답안입력!$D15,15,1)),IF(답안입력!S15="","",답안입력!S15)))</f>
        <v/>
      </c>
      <c r="T15" s="72">
        <f>IF($A15="","",IF(LEN(답안입력!$D15)&gt;=16,VALUE(MID(답안입력!$D15,16,1)),IF(답안입력!T15="","",답안입력!T15)))</f>
        <v/>
      </c>
      <c r="U15" s="72">
        <f>IF($A15="","",IF(LEN(답안입력!$D15)&gt;=17,VALUE(MID(답안입력!$D15,17,1)),IF(답안입력!U15="","",답안입력!U15)))</f>
        <v/>
      </c>
      <c r="V15" s="72">
        <f>IF($A15="","",IF(LEN(답안입력!$D15)&gt;=18,VALUE(MID(답안입력!$D15,18,1)),IF(답안입력!V15="","",답안입력!V15)))</f>
        <v/>
      </c>
      <c r="W15" s="72">
        <f>IF($A15="","",IF(LEN(답안입력!$D15)&gt;=19,VALUE(MID(답안입력!$D15,19,1)),IF(답안입력!W15="","",답안입력!W15)))</f>
        <v/>
      </c>
      <c r="X15" s="72">
        <f>IF($A15="","",IF(LEN(답안입력!$D15)&gt;=20,VALUE(MID(답안입력!$D15,20,1)),IF(답안입력!X15="","",답안입력!X15)))</f>
        <v/>
      </c>
      <c r="Y15" s="72">
        <f>IF($A15="","",IF(LEN(답안입력!$D15)&gt;=21,VALUE(MID(답안입력!$D15,21,1)),IF(답안입력!Y15="","",답안입력!Y15)))</f>
        <v/>
      </c>
      <c r="Z15" s="72">
        <f>IF($A15="","",IF(LEN(답안입력!$D15)&gt;=22,VALUE(MID(답안입력!$D15,22,1)),IF(답안입력!Z15="","",답안입력!Z15)))</f>
        <v/>
      </c>
      <c r="AA15" s="72">
        <f>IF($A15="","",IF(LEN(답안입력!$D15)&gt;=23,VALUE(MID(답안입력!$D15,23,1)),IF(답안입력!AA15="","",답안입력!AA15)))</f>
        <v/>
      </c>
      <c r="AB15" s="72">
        <f>IF($A15="","",IF(LEN(답안입력!$D15)&gt;=24,VALUE(MID(답안입력!$D15,24,1)),IF(답안입력!AB15="","",답안입력!AB15)))</f>
        <v/>
      </c>
      <c r="AC15" s="72">
        <f>IF($A15="","",IF(LEN(답안입력!$D15)&gt;=25,VALUE(MID(답안입력!$D15,25,1)),IF(답안입력!AC15="","",답안입력!AC15)))</f>
        <v/>
      </c>
      <c r="AD15" s="72">
        <f>IF($A15="","",IF(LEN(답안입력!$D15)&gt;=26,VALUE(MID(답안입력!$D15,26,1)),IF(답안입력!AD15="","",답안입력!AD15)))</f>
        <v/>
      </c>
      <c r="AE15" s="72">
        <f>IF($A15="","",IF(LEN(답안입력!$D15)&gt;=27,VALUE(MID(답안입력!$D15,27,1)),IF(답안입력!AE15="","",답안입력!AE15)))</f>
        <v/>
      </c>
      <c r="AF15" s="72">
        <f>IF($A15="","",IF(LEN(답안입력!$D15)&gt;=28,VALUE(MID(답안입력!$D15,28,1)),IF(답안입력!AF15="","",답안입력!AF15)))</f>
        <v/>
      </c>
      <c r="AG15" s="72">
        <f>IF($A15="","",IF(LEN(답안입력!$D15)&gt;=29,VALUE(MID(답안입력!$D15,29,1)),IF(답안입력!AG15="","",답안입력!AG15)))</f>
        <v/>
      </c>
      <c r="AH15" s="72">
        <f>IF($A15="","",IF(LEN(답안입력!$D15)&gt;=30,VALUE(MID(답안입력!$D15,30,1)),IF(답안입력!AH15="","",답안입력!AH15)))</f>
        <v/>
      </c>
      <c r="AI15" s="72">
        <f>IF($A15="","",IF(LEN(답안입력!$D15)&gt;=31,VALUE(MID(답안입력!$D15,31,1)),IF(답안입력!AI15="","",답안입력!AI15)))</f>
        <v/>
      </c>
      <c r="AJ15" s="72">
        <f>IF($A15="","",IF(LEN(답안입력!$D15)&gt;=32,VALUE(MID(답안입력!$D15,32,1)),IF(답안입력!AJ15="","",답안입력!AJ15)))</f>
        <v/>
      </c>
      <c r="AK15" s="72">
        <f>IF($A15="","",IF(LEN(답안입력!$D15)&gt;=33,VALUE(MID(답안입력!$D15,33,1)),IF(답안입력!AK15="","",답안입력!AK15)))</f>
        <v/>
      </c>
      <c r="AL15" s="72">
        <f>IF($A15="","",IF(LEN(답안입력!$D15)&gt;=34,VALUE(MID(답안입력!$D15,34,1)),IF(답안입력!AL15="","",답안입력!AL15)))</f>
        <v/>
      </c>
      <c r="AM15" s="72">
        <f>IF($A15="","",IF(LEN(답안입력!$D15)&gt;=35,VALUE(MID(답안입력!$D15,35,1)),IF(답안입력!AM15="","",답안입력!AM15)))</f>
        <v/>
      </c>
      <c r="AN15" s="72">
        <f>IF($A15="","",IF(LEN(답안입력!$D15)&gt;=36,VALUE(MID(답안입력!$D15,36,1)),IF(답안입력!AN15="","",답안입력!AN15)))</f>
        <v/>
      </c>
      <c r="AO15" s="72">
        <f>IF($A15="","",IF(LEN(답안입력!$D15)&gt;=37,VALUE(MID(답안입력!$D15,37,1)),IF(답안입력!AO15="","",답안입력!AO15)))</f>
        <v/>
      </c>
      <c r="AP15" s="72">
        <f>IF($A15="","",IF(LEN(답안입력!$D15)&gt;=38,VALUE(MID(답안입력!$D15,38,1)),IF(답안입력!AP15="","",답안입력!AP15)))</f>
        <v/>
      </c>
      <c r="AQ15" s="72">
        <f>IF($A15="","",IF(LEN(답안입력!$D15)&gt;=39,VALUE(MID(답안입력!$D15,39,1)),IF(답안입력!AQ15="","",답안입력!AQ15)))</f>
        <v/>
      </c>
      <c r="AR15" s="72">
        <f>IF($A15="","",IF(LEN(답안입력!$D15)&gt;=40,VALUE(MID(답안입력!$D15,40,1)),IF(답안입력!AR15="","",답안입력!AR15)))</f>
        <v/>
      </c>
      <c r="AS15" s="72">
        <f>IF($A15="","",IF(LEN(답안입력!$D15)&gt;=41,VALUE(MID(답안입력!$D15,41,1)),IF(답안입력!AS15="","",답안입력!AS15)))</f>
        <v/>
      </c>
      <c r="AT15" s="72">
        <f>IF($A15="","",IF(LEN(답안입력!$D15)&gt;=42,VALUE(MID(답안입력!$D15,42,1)),IF(답안입력!AT15="","",답안입력!AT15)))</f>
        <v/>
      </c>
      <c r="AU15" s="72">
        <f>IF($A15="","",IF(LEN(답안입력!$D15)&gt;=43,VALUE(MID(답안입력!$D15,43,1)),IF(답안입력!AU15="","",답안입력!AU15)))</f>
        <v/>
      </c>
      <c r="AV15" s="72">
        <f>IF($A15="","",IF(LEN(답안입력!$D15)&gt;=44,VALUE(MID(답안입력!$D15,44,1)),IF(답안입력!AV15="","",답안입력!AV15)))</f>
        <v/>
      </c>
      <c r="AW15" s="72">
        <f>IF($A15="","",IF(LEN(답안입력!$D15)&gt;=45,VALUE(MID(답안입력!$D15,45,1)),IF(답안입력!AW15="","",답안입력!AW15)))</f>
        <v/>
      </c>
      <c r="AX15" s="72">
        <f>IF($A15="","",IF(E15="",0,IF(E15=IF($B15="언어와 매체",자동계산!$D$4,자동계산!$B$4),IF($B15="언어와 매체",자동계산!$E$4,자동계산!$C$4),0)))</f>
        <v/>
      </c>
      <c r="AY15" s="72">
        <f>IF($A15="","",IF(F15="",0,IF(F15=IF($B15="언어와 매체",자동계산!$D$5,자동계산!$B$5),IF($B15="언어와 매체",자동계산!$E$5,자동계산!$C$5),0)))</f>
        <v/>
      </c>
      <c r="AZ15" s="72">
        <f>IF($A15="","",IF(G15="",0,IF(G15=IF($B15="언어와 매체",자동계산!$D$6,자동계산!$B$6),IF($B15="언어와 매체",자동계산!$E$6,자동계산!$C$6),0)))</f>
        <v/>
      </c>
      <c r="BA15" s="72">
        <f>IF($A15="","",IF(H15="",0,IF(H15=IF($B15="언어와 매체",자동계산!$D$7,자동계산!$B$7),IF($B15="언어와 매체",자동계산!$E$7,자동계산!$C$7),0)))</f>
        <v/>
      </c>
      <c r="BB15" s="72">
        <f>IF($A15="","",IF(I15="",0,IF(I15=IF($B15="언어와 매체",자동계산!$D$8,자동계산!$B$8),IF($B15="언어와 매체",자동계산!$E$8,자동계산!$C$8),0)))</f>
        <v/>
      </c>
      <c r="BC15" s="72">
        <f>IF($A15="","",IF(J15="",0,IF(J15=IF($B15="언어와 매체",자동계산!$D$9,자동계산!$B$9),IF($B15="언어와 매체",자동계산!$E$9,자동계산!$C$9),0)))</f>
        <v/>
      </c>
      <c r="BD15" s="72">
        <f>IF($A15="","",IF(K15="",0,IF(K15=IF($B15="언어와 매체",자동계산!$D$10,자동계산!$B$10),IF($B15="언어와 매체",자동계산!$E$10,자동계산!$C$10),0)))</f>
        <v/>
      </c>
      <c r="BE15" s="72">
        <f>IF($A15="","",IF(L15="",0,IF(L15=IF($B15="언어와 매체",자동계산!$D$11,자동계산!$B$11),IF($B15="언어와 매체",자동계산!$E$11,자동계산!$C$11),0)))</f>
        <v/>
      </c>
      <c r="BF15" s="72">
        <f>IF($A15="","",IF(M15="",0,IF(M15=IF($B15="언어와 매체",자동계산!$D$12,자동계산!$B$12),IF($B15="언어와 매체",자동계산!$E$12,자동계산!$C$12),0)))</f>
        <v/>
      </c>
      <c r="BG15" s="72">
        <f>IF($A15="","",IF(N15="",0,IF(N15=IF($B15="언어와 매체",자동계산!$D$13,자동계산!$B$13),IF($B15="언어와 매체",자동계산!$E$13,자동계산!$C$13),0)))</f>
        <v/>
      </c>
      <c r="BH15" s="72">
        <f>IF($A15="","",IF(O15="",0,IF(O15=IF($B15="언어와 매체",자동계산!$D$14,자동계산!$B$14),IF($B15="언어와 매체",자동계산!$E$14,자동계산!$C$14),0)))</f>
        <v/>
      </c>
      <c r="BI15" s="72">
        <f>IF($A15="","",IF(P15="",0,IF(P15=IF($B15="언어와 매체",자동계산!$D$15,자동계산!$B$15),IF($B15="언어와 매체",자동계산!$E$15,자동계산!$C$15),0)))</f>
        <v/>
      </c>
      <c r="BJ15" s="72">
        <f>IF($A15="","",IF(Q15="",0,IF(Q15=IF($B15="언어와 매체",자동계산!$D$16,자동계산!$B$16),IF($B15="언어와 매체",자동계산!$E$16,자동계산!$C$16),0)))</f>
        <v/>
      </c>
      <c r="BK15" s="72">
        <f>IF($A15="","",IF(R15="",0,IF(R15=IF($B15="언어와 매체",자동계산!$D$17,자동계산!$B$17),IF($B15="언어와 매체",자동계산!$E$17,자동계산!$C$17),0)))</f>
        <v/>
      </c>
      <c r="BL15" s="72">
        <f>IF($A15="","",IF(S15="",0,IF(S15=IF($B15="언어와 매체",자동계산!$D$18,자동계산!$B$18),IF($B15="언어와 매체",자동계산!$E$18,자동계산!$C$18),0)))</f>
        <v/>
      </c>
      <c r="BM15" s="72">
        <f>IF($A15="","",IF(T15="",0,IF(T15=IF($B15="언어와 매체",자동계산!$D$19,자동계산!$B$19),IF($B15="언어와 매체",자동계산!$E$19,자동계산!$C$19),0)))</f>
        <v/>
      </c>
      <c r="BN15" s="72">
        <f>IF($A15="","",IF(U15="",0,IF(U15=IF($B15="언어와 매체",자동계산!$D$20,자동계산!$B$20),IF($B15="언어와 매체",자동계산!$E$20,자동계산!$C$20),0)))</f>
        <v/>
      </c>
      <c r="BO15" s="72">
        <f>IF($A15="","",IF(V15="",0,IF(V15=IF($B15="언어와 매체",자동계산!$D$21,자동계산!$B$21),IF($B15="언어와 매체",자동계산!$E$21,자동계산!$C$21),0)))</f>
        <v/>
      </c>
      <c r="BP15" s="72">
        <f>IF($A15="","",IF(W15="",0,IF(W15=IF($B15="언어와 매체",자동계산!$D$22,자동계산!$B$22),IF($B15="언어와 매체",자동계산!$E$22,자동계산!$C$22),0)))</f>
        <v/>
      </c>
      <c r="BQ15" s="72">
        <f>IF($A15="","",IF(X15="",0,IF(X15=IF($B15="언어와 매체",자동계산!$D$23,자동계산!$B$23),IF($B15="언어와 매체",자동계산!$E$23,자동계산!$C$23),0)))</f>
        <v/>
      </c>
      <c r="BR15" s="72">
        <f>IF($A15="","",IF(Y15="",0,IF(Y15=IF($B15="언어와 매체",자동계산!$D$24,자동계산!$B$24),IF($B15="언어와 매체",자동계산!$E$24,자동계산!$C$24),0)))</f>
        <v/>
      </c>
      <c r="BS15" s="72">
        <f>IF($A15="","",IF(Z15="",0,IF(Z15=IF($B15="언어와 매체",자동계산!$D$25,자동계산!$B$25),IF($B15="언어와 매체",자동계산!$E$25,자동계산!$C$25),0)))</f>
        <v/>
      </c>
      <c r="BT15" s="72">
        <f>IF($A15="","",IF(AA15="",0,IF(AA15=IF($B15="언어와 매체",자동계산!$D$26,자동계산!$B$26),IF($B15="언어와 매체",자동계산!$E$26,자동계산!$C$26),0)))</f>
        <v/>
      </c>
      <c r="BU15" s="72">
        <f>IF($A15="","",IF(AB15="",0,IF(AB15=IF($B15="언어와 매체",자동계산!$D$27,자동계산!$B$27),IF($B15="언어와 매체",자동계산!$E$27,자동계산!$C$27),0)))</f>
        <v/>
      </c>
      <c r="BV15" s="72">
        <f>IF($A15="","",IF(AC15="",0,IF(AC15=IF($B15="언어와 매체",자동계산!$D$28,자동계산!$B$28),IF($B15="언어와 매체",자동계산!$E$28,자동계산!$C$28),0)))</f>
        <v/>
      </c>
      <c r="BW15" s="72">
        <f>IF($A15="","",IF(AD15="",0,IF(AD15=IF($B15="언어와 매체",자동계산!$D$29,자동계산!$B$29),IF($B15="언어와 매체",자동계산!$E$29,자동계산!$C$29),0)))</f>
        <v/>
      </c>
      <c r="BX15" s="72">
        <f>IF($A15="","",IF(AE15="",0,IF(AE15=IF($B15="언어와 매체",자동계산!$D$30,자동계산!$B$30),IF($B15="언어와 매체",자동계산!$E$30,자동계산!$C$30),0)))</f>
        <v/>
      </c>
      <c r="BY15" s="72">
        <f>IF($A15="","",IF(AF15="",0,IF(AF15=IF($B15="언어와 매체",자동계산!$D$31,자동계산!$B$31),IF($B15="언어와 매체",자동계산!$E$31,자동계산!$C$31),0)))</f>
        <v/>
      </c>
      <c r="BZ15" s="72">
        <f>IF($A15="","",IF(AG15="",0,IF(AG15=IF($B15="언어와 매체",자동계산!$D$32,자동계산!$B$32),IF($B15="언어와 매체",자동계산!$E$32,자동계산!$C$32),0)))</f>
        <v/>
      </c>
      <c r="CA15" s="72">
        <f>IF($A15="","",IF(AH15="",0,IF(AH15=IF($B15="언어와 매체",자동계산!$D$33,자동계산!$B$33),IF($B15="언어와 매체",자동계산!$E$33,자동계산!$C$33),0)))</f>
        <v/>
      </c>
      <c r="CB15" s="72">
        <f>IF($A15="","",IF(AI15="",0,IF(AI15=IF($B15="언어와 매체",자동계산!$D$34,자동계산!$B$34),IF($B15="언어와 매체",자동계산!$E$34,자동계산!$C$34),0)))</f>
        <v/>
      </c>
      <c r="CC15" s="72">
        <f>IF($A15="","",IF(AJ15="",0,IF(AJ15=IF($B15="언어와 매체",자동계산!$D$35,자동계산!$B$35),IF($B15="언어와 매체",자동계산!$E$35,자동계산!$C$35),0)))</f>
        <v/>
      </c>
      <c r="CD15" s="72">
        <f>IF($A15="","",IF(AK15="",0,IF(AK15=IF($B15="언어와 매체",자동계산!$D$36,자동계산!$B$36),IF($B15="언어와 매체",자동계산!$E$36,자동계산!$C$36),0)))</f>
        <v/>
      </c>
      <c r="CE15" s="72">
        <f>IF($A15="","",IF(AL15="",0,IF(AL15=IF($B15="언어와 매체",자동계산!$D$37,자동계산!$B$37),IF($B15="언어와 매체",자동계산!$E$37,자동계산!$C$37),0)))</f>
        <v/>
      </c>
      <c r="CF15" s="72">
        <f>IF($A15="","",IF(AM15="",0,IF(AM15=IF($B15="언어와 매체",자동계산!$D$38,자동계산!$B$38),IF($B15="언어와 매체",자동계산!$E$38,자동계산!$C$38),0)))</f>
        <v/>
      </c>
      <c r="CG15" s="72">
        <f>IF($A15="","",IF(AN15="",0,IF(AN15=IF($B15="언어와 매체",자동계산!$D$39,자동계산!$B$39),IF($B15="언어와 매체",자동계산!$E$39,자동계산!$C$39),0)))</f>
        <v/>
      </c>
      <c r="CH15" s="72">
        <f>IF($A15="","",IF(AO15="",0,IF(AO15=IF($B15="언어와 매체",자동계산!$D$40,자동계산!$B$40),IF($B15="언어와 매체",자동계산!$E$40,자동계산!$C$40),0)))</f>
        <v/>
      </c>
      <c r="CI15" s="72">
        <f>IF($A15="","",IF(AP15="",0,IF(AP15=IF($B15="언어와 매체",자동계산!$D$41,자동계산!$B$41),IF($B15="언어와 매체",자동계산!$E$41,자동계산!$C$41),0)))</f>
        <v/>
      </c>
      <c r="CJ15" s="72">
        <f>IF($A15="","",IF(AQ15="",0,IF(AQ15=IF($B15="언어와 매체",자동계산!$D$42,자동계산!$B$42),IF($B15="언어와 매체",자동계산!$E$42,자동계산!$C$42),0)))</f>
        <v/>
      </c>
      <c r="CK15" s="72">
        <f>IF($A15="","",IF(AR15="",0,IF(AR15=IF($B15="언어와 매체",자동계산!$D$43,자동계산!$B$43),IF($B15="언어와 매체",자동계산!$E$43,자동계산!$C$43),0)))</f>
        <v/>
      </c>
      <c r="CL15" s="72">
        <f>IF($A15="","",IF(AS15="",0,IF(AS15=IF($B15="언어와 매체",자동계산!$D$44,자동계산!$B$44),IF($B15="언어와 매체",자동계산!$E$44,자동계산!$C$44),0)))</f>
        <v/>
      </c>
      <c r="CM15" s="72">
        <f>IF($A15="","",IF(AT15="",0,IF(AT15=IF($B15="언어와 매체",자동계산!$D$45,자동계산!$B$45),IF($B15="언어와 매체",자동계산!$E$45,자동계산!$C$45),0)))</f>
        <v/>
      </c>
      <c r="CN15" s="72">
        <f>IF($A15="","",IF(AU15="",0,IF(AU15=IF($B15="언어와 매체",자동계산!$D$46,자동계산!$B$46),IF($B15="언어와 매체",자동계산!$E$46,자동계산!$C$46),0)))</f>
        <v/>
      </c>
      <c r="CO15" s="72">
        <f>IF($A15="","",IF(AV15="",0,IF(AV15=IF($B15="언어와 매체",자동계산!$D$47,자동계산!$B$47),IF($B15="언어와 매체",자동계산!$E$47,자동계산!$C$47),0)))</f>
        <v/>
      </c>
      <c r="CP15" s="72">
        <f>IF($A15="","",IF(AW15="",0,IF(AW15=IF($B15="언어와 매체",자동계산!$D$48,자동계산!$B$48),IF($B15="언어와 매체",자동계산!$E$48,자동계산!$C$48),0)))</f>
        <v/>
      </c>
    </row>
    <row r="16">
      <c r="A16" s="70">
        <f>IF(답안입력!A16="","",답안입력!A16)</f>
        <v/>
      </c>
      <c r="B16" s="70">
        <f>IF($A16="","",답안입력!C16)</f>
        <v/>
      </c>
      <c r="C16" s="71">
        <f>IF($A16="","",SUM(AX16:CP16))</f>
        <v/>
      </c>
      <c r="D16" s="70">
        <f>IF($A16="","",IF($C16&gt;=IF($B16="언어와 매체",회차설정!$B$9,회차설정!$B$8),"1등급",IF($C16&gt;=IF($B16="언어와 매체",회차설정!$C$9,회차설정!$C$8),"2등급",IF($C16&gt;=IF($B16="언어와 매체",회차설정!$D$9,회차설정!$D$8),"3등급",IF($C16&gt;=IF($B16="언어와 매체",회차설정!$E$9,회차설정!$E$8),"4등급","등급 외")))))</f>
        <v/>
      </c>
      <c r="E16" s="72">
        <f>IF($A16="","",IF(LEN(답안입력!$D16)&gt;=1,VALUE(MID(답안입력!$D16,1,1)),IF(답안입력!E16="","",답안입력!E16)))</f>
        <v/>
      </c>
      <c r="F16" s="72">
        <f>IF($A16="","",IF(LEN(답안입력!$D16)&gt;=2,VALUE(MID(답안입력!$D16,2,1)),IF(답안입력!F16="","",답안입력!F16)))</f>
        <v/>
      </c>
      <c r="G16" s="72">
        <f>IF($A16="","",IF(LEN(답안입력!$D16)&gt;=3,VALUE(MID(답안입력!$D16,3,1)),IF(답안입력!G16="","",답안입력!G16)))</f>
        <v/>
      </c>
      <c r="H16" s="72">
        <f>IF($A16="","",IF(LEN(답안입력!$D16)&gt;=4,VALUE(MID(답안입력!$D16,4,1)),IF(답안입력!H16="","",답안입력!H16)))</f>
        <v/>
      </c>
      <c r="I16" s="72">
        <f>IF($A16="","",IF(LEN(답안입력!$D16)&gt;=5,VALUE(MID(답안입력!$D16,5,1)),IF(답안입력!I16="","",답안입력!I16)))</f>
        <v/>
      </c>
      <c r="J16" s="72">
        <f>IF($A16="","",IF(LEN(답안입력!$D16)&gt;=6,VALUE(MID(답안입력!$D16,6,1)),IF(답안입력!J16="","",답안입력!J16)))</f>
        <v/>
      </c>
      <c r="K16" s="72">
        <f>IF($A16="","",IF(LEN(답안입력!$D16)&gt;=7,VALUE(MID(답안입력!$D16,7,1)),IF(답안입력!K16="","",답안입력!K16)))</f>
        <v/>
      </c>
      <c r="L16" s="72">
        <f>IF($A16="","",IF(LEN(답안입력!$D16)&gt;=8,VALUE(MID(답안입력!$D16,8,1)),IF(답안입력!L16="","",답안입력!L16)))</f>
        <v/>
      </c>
      <c r="M16" s="72">
        <f>IF($A16="","",IF(LEN(답안입력!$D16)&gt;=9,VALUE(MID(답안입력!$D16,9,1)),IF(답안입력!M16="","",답안입력!M16)))</f>
        <v/>
      </c>
      <c r="N16" s="72">
        <f>IF($A16="","",IF(LEN(답안입력!$D16)&gt;=10,VALUE(MID(답안입력!$D16,10,1)),IF(답안입력!N16="","",답안입력!N16)))</f>
        <v/>
      </c>
      <c r="O16" s="72">
        <f>IF($A16="","",IF(LEN(답안입력!$D16)&gt;=11,VALUE(MID(답안입력!$D16,11,1)),IF(답안입력!O16="","",답안입력!O16)))</f>
        <v/>
      </c>
      <c r="P16" s="72">
        <f>IF($A16="","",IF(LEN(답안입력!$D16)&gt;=12,VALUE(MID(답안입력!$D16,12,1)),IF(답안입력!P16="","",답안입력!P16)))</f>
        <v/>
      </c>
      <c r="Q16" s="72">
        <f>IF($A16="","",IF(LEN(답안입력!$D16)&gt;=13,VALUE(MID(답안입력!$D16,13,1)),IF(답안입력!Q16="","",답안입력!Q16)))</f>
        <v/>
      </c>
      <c r="R16" s="72">
        <f>IF($A16="","",IF(LEN(답안입력!$D16)&gt;=14,VALUE(MID(답안입력!$D16,14,1)),IF(답안입력!R16="","",답안입력!R16)))</f>
        <v/>
      </c>
      <c r="S16" s="72">
        <f>IF($A16="","",IF(LEN(답안입력!$D16)&gt;=15,VALUE(MID(답안입력!$D16,15,1)),IF(답안입력!S16="","",답안입력!S16)))</f>
        <v/>
      </c>
      <c r="T16" s="72">
        <f>IF($A16="","",IF(LEN(답안입력!$D16)&gt;=16,VALUE(MID(답안입력!$D16,16,1)),IF(답안입력!T16="","",답안입력!T16)))</f>
        <v/>
      </c>
      <c r="U16" s="72">
        <f>IF($A16="","",IF(LEN(답안입력!$D16)&gt;=17,VALUE(MID(답안입력!$D16,17,1)),IF(답안입력!U16="","",답안입력!U16)))</f>
        <v/>
      </c>
      <c r="V16" s="72">
        <f>IF($A16="","",IF(LEN(답안입력!$D16)&gt;=18,VALUE(MID(답안입력!$D16,18,1)),IF(답안입력!V16="","",답안입력!V16)))</f>
        <v/>
      </c>
      <c r="W16" s="72">
        <f>IF($A16="","",IF(LEN(답안입력!$D16)&gt;=19,VALUE(MID(답안입력!$D16,19,1)),IF(답안입력!W16="","",답안입력!W16)))</f>
        <v/>
      </c>
      <c r="X16" s="72">
        <f>IF($A16="","",IF(LEN(답안입력!$D16)&gt;=20,VALUE(MID(답안입력!$D16,20,1)),IF(답안입력!X16="","",답안입력!X16)))</f>
        <v/>
      </c>
      <c r="Y16" s="72">
        <f>IF($A16="","",IF(LEN(답안입력!$D16)&gt;=21,VALUE(MID(답안입력!$D16,21,1)),IF(답안입력!Y16="","",답안입력!Y16)))</f>
        <v/>
      </c>
      <c r="Z16" s="72">
        <f>IF($A16="","",IF(LEN(답안입력!$D16)&gt;=22,VALUE(MID(답안입력!$D16,22,1)),IF(답안입력!Z16="","",답안입력!Z16)))</f>
        <v/>
      </c>
      <c r="AA16" s="72">
        <f>IF($A16="","",IF(LEN(답안입력!$D16)&gt;=23,VALUE(MID(답안입력!$D16,23,1)),IF(답안입력!AA16="","",답안입력!AA16)))</f>
        <v/>
      </c>
      <c r="AB16" s="72">
        <f>IF($A16="","",IF(LEN(답안입력!$D16)&gt;=24,VALUE(MID(답안입력!$D16,24,1)),IF(답안입력!AB16="","",답안입력!AB16)))</f>
        <v/>
      </c>
      <c r="AC16" s="72">
        <f>IF($A16="","",IF(LEN(답안입력!$D16)&gt;=25,VALUE(MID(답안입력!$D16,25,1)),IF(답안입력!AC16="","",답안입력!AC16)))</f>
        <v/>
      </c>
      <c r="AD16" s="72">
        <f>IF($A16="","",IF(LEN(답안입력!$D16)&gt;=26,VALUE(MID(답안입력!$D16,26,1)),IF(답안입력!AD16="","",답안입력!AD16)))</f>
        <v/>
      </c>
      <c r="AE16" s="72">
        <f>IF($A16="","",IF(LEN(답안입력!$D16)&gt;=27,VALUE(MID(답안입력!$D16,27,1)),IF(답안입력!AE16="","",답안입력!AE16)))</f>
        <v/>
      </c>
      <c r="AF16" s="72">
        <f>IF($A16="","",IF(LEN(답안입력!$D16)&gt;=28,VALUE(MID(답안입력!$D16,28,1)),IF(답안입력!AF16="","",답안입력!AF16)))</f>
        <v/>
      </c>
      <c r="AG16" s="72">
        <f>IF($A16="","",IF(LEN(답안입력!$D16)&gt;=29,VALUE(MID(답안입력!$D16,29,1)),IF(답안입력!AG16="","",답안입력!AG16)))</f>
        <v/>
      </c>
      <c r="AH16" s="72">
        <f>IF($A16="","",IF(LEN(답안입력!$D16)&gt;=30,VALUE(MID(답안입력!$D16,30,1)),IF(답안입력!AH16="","",답안입력!AH16)))</f>
        <v/>
      </c>
      <c r="AI16" s="72">
        <f>IF($A16="","",IF(LEN(답안입력!$D16)&gt;=31,VALUE(MID(답안입력!$D16,31,1)),IF(답안입력!AI16="","",답안입력!AI16)))</f>
        <v/>
      </c>
      <c r="AJ16" s="72">
        <f>IF($A16="","",IF(LEN(답안입력!$D16)&gt;=32,VALUE(MID(답안입력!$D16,32,1)),IF(답안입력!AJ16="","",답안입력!AJ16)))</f>
        <v/>
      </c>
      <c r="AK16" s="72">
        <f>IF($A16="","",IF(LEN(답안입력!$D16)&gt;=33,VALUE(MID(답안입력!$D16,33,1)),IF(답안입력!AK16="","",답안입력!AK16)))</f>
        <v/>
      </c>
      <c r="AL16" s="72">
        <f>IF($A16="","",IF(LEN(답안입력!$D16)&gt;=34,VALUE(MID(답안입력!$D16,34,1)),IF(답안입력!AL16="","",답안입력!AL16)))</f>
        <v/>
      </c>
      <c r="AM16" s="72">
        <f>IF($A16="","",IF(LEN(답안입력!$D16)&gt;=35,VALUE(MID(답안입력!$D16,35,1)),IF(답안입력!AM16="","",답안입력!AM16)))</f>
        <v/>
      </c>
      <c r="AN16" s="72">
        <f>IF($A16="","",IF(LEN(답안입력!$D16)&gt;=36,VALUE(MID(답안입력!$D16,36,1)),IF(답안입력!AN16="","",답안입력!AN16)))</f>
        <v/>
      </c>
      <c r="AO16" s="72">
        <f>IF($A16="","",IF(LEN(답안입력!$D16)&gt;=37,VALUE(MID(답안입력!$D16,37,1)),IF(답안입력!AO16="","",답안입력!AO16)))</f>
        <v/>
      </c>
      <c r="AP16" s="72">
        <f>IF($A16="","",IF(LEN(답안입력!$D16)&gt;=38,VALUE(MID(답안입력!$D16,38,1)),IF(답안입력!AP16="","",답안입력!AP16)))</f>
        <v/>
      </c>
      <c r="AQ16" s="72">
        <f>IF($A16="","",IF(LEN(답안입력!$D16)&gt;=39,VALUE(MID(답안입력!$D16,39,1)),IF(답안입력!AQ16="","",답안입력!AQ16)))</f>
        <v/>
      </c>
      <c r="AR16" s="72">
        <f>IF($A16="","",IF(LEN(답안입력!$D16)&gt;=40,VALUE(MID(답안입력!$D16,40,1)),IF(답안입력!AR16="","",답안입력!AR16)))</f>
        <v/>
      </c>
      <c r="AS16" s="72">
        <f>IF($A16="","",IF(LEN(답안입력!$D16)&gt;=41,VALUE(MID(답안입력!$D16,41,1)),IF(답안입력!AS16="","",답안입력!AS16)))</f>
        <v/>
      </c>
      <c r="AT16" s="72">
        <f>IF($A16="","",IF(LEN(답안입력!$D16)&gt;=42,VALUE(MID(답안입력!$D16,42,1)),IF(답안입력!AT16="","",답안입력!AT16)))</f>
        <v/>
      </c>
      <c r="AU16" s="72">
        <f>IF($A16="","",IF(LEN(답안입력!$D16)&gt;=43,VALUE(MID(답안입력!$D16,43,1)),IF(답안입력!AU16="","",답안입력!AU16)))</f>
        <v/>
      </c>
      <c r="AV16" s="72">
        <f>IF($A16="","",IF(LEN(답안입력!$D16)&gt;=44,VALUE(MID(답안입력!$D16,44,1)),IF(답안입력!AV16="","",답안입력!AV16)))</f>
        <v/>
      </c>
      <c r="AW16" s="72">
        <f>IF($A16="","",IF(LEN(답안입력!$D16)&gt;=45,VALUE(MID(답안입력!$D16,45,1)),IF(답안입력!AW16="","",답안입력!AW16)))</f>
        <v/>
      </c>
      <c r="AX16" s="72">
        <f>IF($A16="","",IF(E16="",0,IF(E16=IF($B16="언어와 매체",자동계산!$D$4,자동계산!$B$4),IF($B16="언어와 매체",자동계산!$E$4,자동계산!$C$4),0)))</f>
        <v/>
      </c>
      <c r="AY16" s="72">
        <f>IF($A16="","",IF(F16="",0,IF(F16=IF($B16="언어와 매체",자동계산!$D$5,자동계산!$B$5),IF($B16="언어와 매체",자동계산!$E$5,자동계산!$C$5),0)))</f>
        <v/>
      </c>
      <c r="AZ16" s="72">
        <f>IF($A16="","",IF(G16="",0,IF(G16=IF($B16="언어와 매체",자동계산!$D$6,자동계산!$B$6),IF($B16="언어와 매체",자동계산!$E$6,자동계산!$C$6),0)))</f>
        <v/>
      </c>
      <c r="BA16" s="72">
        <f>IF($A16="","",IF(H16="",0,IF(H16=IF($B16="언어와 매체",자동계산!$D$7,자동계산!$B$7),IF($B16="언어와 매체",자동계산!$E$7,자동계산!$C$7),0)))</f>
        <v/>
      </c>
      <c r="BB16" s="72">
        <f>IF($A16="","",IF(I16="",0,IF(I16=IF($B16="언어와 매체",자동계산!$D$8,자동계산!$B$8),IF($B16="언어와 매체",자동계산!$E$8,자동계산!$C$8),0)))</f>
        <v/>
      </c>
      <c r="BC16" s="72">
        <f>IF($A16="","",IF(J16="",0,IF(J16=IF($B16="언어와 매체",자동계산!$D$9,자동계산!$B$9),IF($B16="언어와 매체",자동계산!$E$9,자동계산!$C$9),0)))</f>
        <v/>
      </c>
      <c r="BD16" s="72">
        <f>IF($A16="","",IF(K16="",0,IF(K16=IF($B16="언어와 매체",자동계산!$D$10,자동계산!$B$10),IF($B16="언어와 매체",자동계산!$E$10,자동계산!$C$10),0)))</f>
        <v/>
      </c>
      <c r="BE16" s="72">
        <f>IF($A16="","",IF(L16="",0,IF(L16=IF($B16="언어와 매체",자동계산!$D$11,자동계산!$B$11),IF($B16="언어와 매체",자동계산!$E$11,자동계산!$C$11),0)))</f>
        <v/>
      </c>
      <c r="BF16" s="72">
        <f>IF($A16="","",IF(M16="",0,IF(M16=IF($B16="언어와 매체",자동계산!$D$12,자동계산!$B$12),IF($B16="언어와 매체",자동계산!$E$12,자동계산!$C$12),0)))</f>
        <v/>
      </c>
      <c r="BG16" s="72">
        <f>IF($A16="","",IF(N16="",0,IF(N16=IF($B16="언어와 매체",자동계산!$D$13,자동계산!$B$13),IF($B16="언어와 매체",자동계산!$E$13,자동계산!$C$13),0)))</f>
        <v/>
      </c>
      <c r="BH16" s="72">
        <f>IF($A16="","",IF(O16="",0,IF(O16=IF($B16="언어와 매체",자동계산!$D$14,자동계산!$B$14),IF($B16="언어와 매체",자동계산!$E$14,자동계산!$C$14),0)))</f>
        <v/>
      </c>
      <c r="BI16" s="72">
        <f>IF($A16="","",IF(P16="",0,IF(P16=IF($B16="언어와 매체",자동계산!$D$15,자동계산!$B$15),IF($B16="언어와 매체",자동계산!$E$15,자동계산!$C$15),0)))</f>
        <v/>
      </c>
      <c r="BJ16" s="72">
        <f>IF($A16="","",IF(Q16="",0,IF(Q16=IF($B16="언어와 매체",자동계산!$D$16,자동계산!$B$16),IF($B16="언어와 매체",자동계산!$E$16,자동계산!$C$16),0)))</f>
        <v/>
      </c>
      <c r="BK16" s="72">
        <f>IF($A16="","",IF(R16="",0,IF(R16=IF($B16="언어와 매체",자동계산!$D$17,자동계산!$B$17),IF($B16="언어와 매체",자동계산!$E$17,자동계산!$C$17),0)))</f>
        <v/>
      </c>
      <c r="BL16" s="72">
        <f>IF($A16="","",IF(S16="",0,IF(S16=IF($B16="언어와 매체",자동계산!$D$18,자동계산!$B$18),IF($B16="언어와 매체",자동계산!$E$18,자동계산!$C$18),0)))</f>
        <v/>
      </c>
      <c r="BM16" s="72">
        <f>IF($A16="","",IF(T16="",0,IF(T16=IF($B16="언어와 매체",자동계산!$D$19,자동계산!$B$19),IF($B16="언어와 매체",자동계산!$E$19,자동계산!$C$19),0)))</f>
        <v/>
      </c>
      <c r="BN16" s="72">
        <f>IF($A16="","",IF(U16="",0,IF(U16=IF($B16="언어와 매체",자동계산!$D$20,자동계산!$B$20),IF($B16="언어와 매체",자동계산!$E$20,자동계산!$C$20),0)))</f>
        <v/>
      </c>
      <c r="BO16" s="72">
        <f>IF($A16="","",IF(V16="",0,IF(V16=IF($B16="언어와 매체",자동계산!$D$21,자동계산!$B$21),IF($B16="언어와 매체",자동계산!$E$21,자동계산!$C$21),0)))</f>
        <v/>
      </c>
      <c r="BP16" s="72">
        <f>IF($A16="","",IF(W16="",0,IF(W16=IF($B16="언어와 매체",자동계산!$D$22,자동계산!$B$22),IF($B16="언어와 매체",자동계산!$E$22,자동계산!$C$22),0)))</f>
        <v/>
      </c>
      <c r="BQ16" s="72">
        <f>IF($A16="","",IF(X16="",0,IF(X16=IF($B16="언어와 매체",자동계산!$D$23,자동계산!$B$23),IF($B16="언어와 매체",자동계산!$E$23,자동계산!$C$23),0)))</f>
        <v/>
      </c>
      <c r="BR16" s="72">
        <f>IF($A16="","",IF(Y16="",0,IF(Y16=IF($B16="언어와 매체",자동계산!$D$24,자동계산!$B$24),IF($B16="언어와 매체",자동계산!$E$24,자동계산!$C$24),0)))</f>
        <v/>
      </c>
      <c r="BS16" s="72">
        <f>IF($A16="","",IF(Z16="",0,IF(Z16=IF($B16="언어와 매체",자동계산!$D$25,자동계산!$B$25),IF($B16="언어와 매체",자동계산!$E$25,자동계산!$C$25),0)))</f>
        <v/>
      </c>
      <c r="BT16" s="72">
        <f>IF($A16="","",IF(AA16="",0,IF(AA16=IF($B16="언어와 매체",자동계산!$D$26,자동계산!$B$26),IF($B16="언어와 매체",자동계산!$E$26,자동계산!$C$26),0)))</f>
        <v/>
      </c>
      <c r="BU16" s="72">
        <f>IF($A16="","",IF(AB16="",0,IF(AB16=IF($B16="언어와 매체",자동계산!$D$27,자동계산!$B$27),IF($B16="언어와 매체",자동계산!$E$27,자동계산!$C$27),0)))</f>
        <v/>
      </c>
      <c r="BV16" s="72">
        <f>IF($A16="","",IF(AC16="",0,IF(AC16=IF($B16="언어와 매체",자동계산!$D$28,자동계산!$B$28),IF($B16="언어와 매체",자동계산!$E$28,자동계산!$C$28),0)))</f>
        <v/>
      </c>
      <c r="BW16" s="72">
        <f>IF($A16="","",IF(AD16="",0,IF(AD16=IF($B16="언어와 매체",자동계산!$D$29,자동계산!$B$29),IF($B16="언어와 매체",자동계산!$E$29,자동계산!$C$29),0)))</f>
        <v/>
      </c>
      <c r="BX16" s="72">
        <f>IF($A16="","",IF(AE16="",0,IF(AE16=IF($B16="언어와 매체",자동계산!$D$30,자동계산!$B$30),IF($B16="언어와 매체",자동계산!$E$30,자동계산!$C$30),0)))</f>
        <v/>
      </c>
      <c r="BY16" s="72">
        <f>IF($A16="","",IF(AF16="",0,IF(AF16=IF($B16="언어와 매체",자동계산!$D$31,자동계산!$B$31),IF($B16="언어와 매체",자동계산!$E$31,자동계산!$C$31),0)))</f>
        <v/>
      </c>
      <c r="BZ16" s="72">
        <f>IF($A16="","",IF(AG16="",0,IF(AG16=IF($B16="언어와 매체",자동계산!$D$32,자동계산!$B$32),IF($B16="언어와 매체",자동계산!$E$32,자동계산!$C$32),0)))</f>
        <v/>
      </c>
      <c r="CA16" s="72">
        <f>IF($A16="","",IF(AH16="",0,IF(AH16=IF($B16="언어와 매체",자동계산!$D$33,자동계산!$B$33),IF($B16="언어와 매체",자동계산!$E$33,자동계산!$C$33),0)))</f>
        <v/>
      </c>
      <c r="CB16" s="72">
        <f>IF($A16="","",IF(AI16="",0,IF(AI16=IF($B16="언어와 매체",자동계산!$D$34,자동계산!$B$34),IF($B16="언어와 매체",자동계산!$E$34,자동계산!$C$34),0)))</f>
        <v/>
      </c>
      <c r="CC16" s="72">
        <f>IF($A16="","",IF(AJ16="",0,IF(AJ16=IF($B16="언어와 매체",자동계산!$D$35,자동계산!$B$35),IF($B16="언어와 매체",자동계산!$E$35,자동계산!$C$35),0)))</f>
        <v/>
      </c>
      <c r="CD16" s="72">
        <f>IF($A16="","",IF(AK16="",0,IF(AK16=IF($B16="언어와 매체",자동계산!$D$36,자동계산!$B$36),IF($B16="언어와 매체",자동계산!$E$36,자동계산!$C$36),0)))</f>
        <v/>
      </c>
      <c r="CE16" s="72">
        <f>IF($A16="","",IF(AL16="",0,IF(AL16=IF($B16="언어와 매체",자동계산!$D$37,자동계산!$B$37),IF($B16="언어와 매체",자동계산!$E$37,자동계산!$C$37),0)))</f>
        <v/>
      </c>
      <c r="CF16" s="72">
        <f>IF($A16="","",IF(AM16="",0,IF(AM16=IF($B16="언어와 매체",자동계산!$D$38,자동계산!$B$38),IF($B16="언어와 매체",자동계산!$E$38,자동계산!$C$38),0)))</f>
        <v/>
      </c>
      <c r="CG16" s="72">
        <f>IF($A16="","",IF(AN16="",0,IF(AN16=IF($B16="언어와 매체",자동계산!$D$39,자동계산!$B$39),IF($B16="언어와 매체",자동계산!$E$39,자동계산!$C$39),0)))</f>
        <v/>
      </c>
      <c r="CH16" s="72">
        <f>IF($A16="","",IF(AO16="",0,IF(AO16=IF($B16="언어와 매체",자동계산!$D$40,자동계산!$B$40),IF($B16="언어와 매체",자동계산!$E$40,자동계산!$C$40),0)))</f>
        <v/>
      </c>
      <c r="CI16" s="72">
        <f>IF($A16="","",IF(AP16="",0,IF(AP16=IF($B16="언어와 매체",자동계산!$D$41,자동계산!$B$41),IF($B16="언어와 매체",자동계산!$E$41,자동계산!$C$41),0)))</f>
        <v/>
      </c>
      <c r="CJ16" s="72">
        <f>IF($A16="","",IF(AQ16="",0,IF(AQ16=IF($B16="언어와 매체",자동계산!$D$42,자동계산!$B$42),IF($B16="언어와 매체",자동계산!$E$42,자동계산!$C$42),0)))</f>
        <v/>
      </c>
      <c r="CK16" s="72">
        <f>IF($A16="","",IF(AR16="",0,IF(AR16=IF($B16="언어와 매체",자동계산!$D$43,자동계산!$B$43),IF($B16="언어와 매체",자동계산!$E$43,자동계산!$C$43),0)))</f>
        <v/>
      </c>
      <c r="CL16" s="72">
        <f>IF($A16="","",IF(AS16="",0,IF(AS16=IF($B16="언어와 매체",자동계산!$D$44,자동계산!$B$44),IF($B16="언어와 매체",자동계산!$E$44,자동계산!$C$44),0)))</f>
        <v/>
      </c>
      <c r="CM16" s="72">
        <f>IF($A16="","",IF(AT16="",0,IF(AT16=IF($B16="언어와 매체",자동계산!$D$45,자동계산!$B$45),IF($B16="언어와 매체",자동계산!$E$45,자동계산!$C$45),0)))</f>
        <v/>
      </c>
      <c r="CN16" s="72">
        <f>IF($A16="","",IF(AU16="",0,IF(AU16=IF($B16="언어와 매체",자동계산!$D$46,자동계산!$B$46),IF($B16="언어와 매체",자동계산!$E$46,자동계산!$C$46),0)))</f>
        <v/>
      </c>
      <c r="CO16" s="72">
        <f>IF($A16="","",IF(AV16="",0,IF(AV16=IF($B16="언어와 매체",자동계산!$D$47,자동계산!$B$47),IF($B16="언어와 매체",자동계산!$E$47,자동계산!$C$47),0)))</f>
        <v/>
      </c>
      <c r="CP16" s="72">
        <f>IF($A16="","",IF(AW16="",0,IF(AW16=IF($B16="언어와 매체",자동계산!$D$48,자동계산!$B$48),IF($B16="언어와 매체",자동계산!$E$48,자동계산!$C$48),0)))</f>
        <v/>
      </c>
    </row>
    <row r="17">
      <c r="A17" s="70">
        <f>IF(답안입력!A17="","",답안입력!A17)</f>
        <v/>
      </c>
      <c r="B17" s="70">
        <f>IF($A17="","",답안입력!C17)</f>
        <v/>
      </c>
      <c r="C17" s="71">
        <f>IF($A17="","",SUM(AX17:CP17))</f>
        <v/>
      </c>
      <c r="D17" s="70">
        <f>IF($A17="","",IF($C17&gt;=IF($B17="언어와 매체",회차설정!$B$9,회차설정!$B$8),"1등급",IF($C17&gt;=IF($B17="언어와 매체",회차설정!$C$9,회차설정!$C$8),"2등급",IF($C17&gt;=IF($B17="언어와 매체",회차설정!$D$9,회차설정!$D$8),"3등급",IF($C17&gt;=IF($B17="언어와 매체",회차설정!$E$9,회차설정!$E$8),"4등급","등급 외")))))</f>
        <v/>
      </c>
      <c r="E17" s="72">
        <f>IF($A17="","",IF(LEN(답안입력!$D17)&gt;=1,VALUE(MID(답안입력!$D17,1,1)),IF(답안입력!E17="","",답안입력!E17)))</f>
        <v/>
      </c>
      <c r="F17" s="72">
        <f>IF($A17="","",IF(LEN(답안입력!$D17)&gt;=2,VALUE(MID(답안입력!$D17,2,1)),IF(답안입력!F17="","",답안입력!F17)))</f>
        <v/>
      </c>
      <c r="G17" s="72">
        <f>IF($A17="","",IF(LEN(답안입력!$D17)&gt;=3,VALUE(MID(답안입력!$D17,3,1)),IF(답안입력!G17="","",답안입력!G17)))</f>
        <v/>
      </c>
      <c r="H17" s="72">
        <f>IF($A17="","",IF(LEN(답안입력!$D17)&gt;=4,VALUE(MID(답안입력!$D17,4,1)),IF(답안입력!H17="","",답안입력!H17)))</f>
        <v/>
      </c>
      <c r="I17" s="72">
        <f>IF($A17="","",IF(LEN(답안입력!$D17)&gt;=5,VALUE(MID(답안입력!$D17,5,1)),IF(답안입력!I17="","",답안입력!I17)))</f>
        <v/>
      </c>
      <c r="J17" s="72">
        <f>IF($A17="","",IF(LEN(답안입력!$D17)&gt;=6,VALUE(MID(답안입력!$D17,6,1)),IF(답안입력!J17="","",답안입력!J17)))</f>
        <v/>
      </c>
      <c r="K17" s="72">
        <f>IF($A17="","",IF(LEN(답안입력!$D17)&gt;=7,VALUE(MID(답안입력!$D17,7,1)),IF(답안입력!K17="","",답안입력!K17)))</f>
        <v/>
      </c>
      <c r="L17" s="72">
        <f>IF($A17="","",IF(LEN(답안입력!$D17)&gt;=8,VALUE(MID(답안입력!$D17,8,1)),IF(답안입력!L17="","",답안입력!L17)))</f>
        <v/>
      </c>
      <c r="M17" s="72">
        <f>IF($A17="","",IF(LEN(답안입력!$D17)&gt;=9,VALUE(MID(답안입력!$D17,9,1)),IF(답안입력!M17="","",답안입력!M17)))</f>
        <v/>
      </c>
      <c r="N17" s="72">
        <f>IF($A17="","",IF(LEN(답안입력!$D17)&gt;=10,VALUE(MID(답안입력!$D17,10,1)),IF(답안입력!N17="","",답안입력!N17)))</f>
        <v/>
      </c>
      <c r="O17" s="72">
        <f>IF($A17="","",IF(LEN(답안입력!$D17)&gt;=11,VALUE(MID(답안입력!$D17,11,1)),IF(답안입력!O17="","",답안입력!O17)))</f>
        <v/>
      </c>
      <c r="P17" s="72">
        <f>IF($A17="","",IF(LEN(답안입력!$D17)&gt;=12,VALUE(MID(답안입력!$D17,12,1)),IF(답안입력!P17="","",답안입력!P17)))</f>
        <v/>
      </c>
      <c r="Q17" s="72">
        <f>IF($A17="","",IF(LEN(답안입력!$D17)&gt;=13,VALUE(MID(답안입력!$D17,13,1)),IF(답안입력!Q17="","",답안입력!Q17)))</f>
        <v/>
      </c>
      <c r="R17" s="72">
        <f>IF($A17="","",IF(LEN(답안입력!$D17)&gt;=14,VALUE(MID(답안입력!$D17,14,1)),IF(답안입력!R17="","",답안입력!R17)))</f>
        <v/>
      </c>
      <c r="S17" s="72">
        <f>IF($A17="","",IF(LEN(답안입력!$D17)&gt;=15,VALUE(MID(답안입력!$D17,15,1)),IF(답안입력!S17="","",답안입력!S17)))</f>
        <v/>
      </c>
      <c r="T17" s="72">
        <f>IF($A17="","",IF(LEN(답안입력!$D17)&gt;=16,VALUE(MID(답안입력!$D17,16,1)),IF(답안입력!T17="","",답안입력!T17)))</f>
        <v/>
      </c>
      <c r="U17" s="72">
        <f>IF($A17="","",IF(LEN(답안입력!$D17)&gt;=17,VALUE(MID(답안입력!$D17,17,1)),IF(답안입력!U17="","",답안입력!U17)))</f>
        <v/>
      </c>
      <c r="V17" s="72">
        <f>IF($A17="","",IF(LEN(답안입력!$D17)&gt;=18,VALUE(MID(답안입력!$D17,18,1)),IF(답안입력!V17="","",답안입력!V17)))</f>
        <v/>
      </c>
      <c r="W17" s="72">
        <f>IF($A17="","",IF(LEN(답안입력!$D17)&gt;=19,VALUE(MID(답안입력!$D17,19,1)),IF(답안입력!W17="","",답안입력!W17)))</f>
        <v/>
      </c>
      <c r="X17" s="72">
        <f>IF($A17="","",IF(LEN(답안입력!$D17)&gt;=20,VALUE(MID(답안입력!$D17,20,1)),IF(답안입력!X17="","",답안입력!X17)))</f>
        <v/>
      </c>
      <c r="Y17" s="72">
        <f>IF($A17="","",IF(LEN(답안입력!$D17)&gt;=21,VALUE(MID(답안입력!$D17,21,1)),IF(답안입력!Y17="","",답안입력!Y17)))</f>
        <v/>
      </c>
      <c r="Z17" s="72">
        <f>IF($A17="","",IF(LEN(답안입력!$D17)&gt;=22,VALUE(MID(답안입력!$D17,22,1)),IF(답안입력!Z17="","",답안입력!Z17)))</f>
        <v/>
      </c>
      <c r="AA17" s="72">
        <f>IF($A17="","",IF(LEN(답안입력!$D17)&gt;=23,VALUE(MID(답안입력!$D17,23,1)),IF(답안입력!AA17="","",답안입력!AA17)))</f>
        <v/>
      </c>
      <c r="AB17" s="72">
        <f>IF($A17="","",IF(LEN(답안입력!$D17)&gt;=24,VALUE(MID(답안입력!$D17,24,1)),IF(답안입력!AB17="","",답안입력!AB17)))</f>
        <v/>
      </c>
      <c r="AC17" s="72">
        <f>IF($A17="","",IF(LEN(답안입력!$D17)&gt;=25,VALUE(MID(답안입력!$D17,25,1)),IF(답안입력!AC17="","",답안입력!AC17)))</f>
        <v/>
      </c>
      <c r="AD17" s="72">
        <f>IF($A17="","",IF(LEN(답안입력!$D17)&gt;=26,VALUE(MID(답안입력!$D17,26,1)),IF(답안입력!AD17="","",답안입력!AD17)))</f>
        <v/>
      </c>
      <c r="AE17" s="72">
        <f>IF($A17="","",IF(LEN(답안입력!$D17)&gt;=27,VALUE(MID(답안입력!$D17,27,1)),IF(답안입력!AE17="","",답안입력!AE17)))</f>
        <v/>
      </c>
      <c r="AF17" s="72">
        <f>IF($A17="","",IF(LEN(답안입력!$D17)&gt;=28,VALUE(MID(답안입력!$D17,28,1)),IF(답안입력!AF17="","",답안입력!AF17)))</f>
        <v/>
      </c>
      <c r="AG17" s="72">
        <f>IF($A17="","",IF(LEN(답안입력!$D17)&gt;=29,VALUE(MID(답안입력!$D17,29,1)),IF(답안입력!AG17="","",답안입력!AG17)))</f>
        <v/>
      </c>
      <c r="AH17" s="72">
        <f>IF($A17="","",IF(LEN(답안입력!$D17)&gt;=30,VALUE(MID(답안입력!$D17,30,1)),IF(답안입력!AH17="","",답안입력!AH17)))</f>
        <v/>
      </c>
      <c r="AI17" s="72">
        <f>IF($A17="","",IF(LEN(답안입력!$D17)&gt;=31,VALUE(MID(답안입력!$D17,31,1)),IF(답안입력!AI17="","",답안입력!AI17)))</f>
        <v/>
      </c>
      <c r="AJ17" s="72">
        <f>IF($A17="","",IF(LEN(답안입력!$D17)&gt;=32,VALUE(MID(답안입력!$D17,32,1)),IF(답안입력!AJ17="","",답안입력!AJ17)))</f>
        <v/>
      </c>
      <c r="AK17" s="72">
        <f>IF($A17="","",IF(LEN(답안입력!$D17)&gt;=33,VALUE(MID(답안입력!$D17,33,1)),IF(답안입력!AK17="","",답안입력!AK17)))</f>
        <v/>
      </c>
      <c r="AL17" s="72">
        <f>IF($A17="","",IF(LEN(답안입력!$D17)&gt;=34,VALUE(MID(답안입력!$D17,34,1)),IF(답안입력!AL17="","",답안입력!AL17)))</f>
        <v/>
      </c>
      <c r="AM17" s="72">
        <f>IF($A17="","",IF(LEN(답안입력!$D17)&gt;=35,VALUE(MID(답안입력!$D17,35,1)),IF(답안입력!AM17="","",답안입력!AM17)))</f>
        <v/>
      </c>
      <c r="AN17" s="72">
        <f>IF($A17="","",IF(LEN(답안입력!$D17)&gt;=36,VALUE(MID(답안입력!$D17,36,1)),IF(답안입력!AN17="","",답안입력!AN17)))</f>
        <v/>
      </c>
      <c r="AO17" s="72">
        <f>IF($A17="","",IF(LEN(답안입력!$D17)&gt;=37,VALUE(MID(답안입력!$D17,37,1)),IF(답안입력!AO17="","",답안입력!AO17)))</f>
        <v/>
      </c>
      <c r="AP17" s="72">
        <f>IF($A17="","",IF(LEN(답안입력!$D17)&gt;=38,VALUE(MID(답안입력!$D17,38,1)),IF(답안입력!AP17="","",답안입력!AP17)))</f>
        <v/>
      </c>
      <c r="AQ17" s="72">
        <f>IF($A17="","",IF(LEN(답안입력!$D17)&gt;=39,VALUE(MID(답안입력!$D17,39,1)),IF(답안입력!AQ17="","",답안입력!AQ17)))</f>
        <v/>
      </c>
      <c r="AR17" s="72">
        <f>IF($A17="","",IF(LEN(답안입력!$D17)&gt;=40,VALUE(MID(답안입력!$D17,40,1)),IF(답안입력!AR17="","",답안입력!AR17)))</f>
        <v/>
      </c>
      <c r="AS17" s="72">
        <f>IF($A17="","",IF(LEN(답안입력!$D17)&gt;=41,VALUE(MID(답안입력!$D17,41,1)),IF(답안입력!AS17="","",답안입력!AS17)))</f>
        <v/>
      </c>
      <c r="AT17" s="72">
        <f>IF($A17="","",IF(LEN(답안입력!$D17)&gt;=42,VALUE(MID(답안입력!$D17,42,1)),IF(답안입력!AT17="","",답안입력!AT17)))</f>
        <v/>
      </c>
      <c r="AU17" s="72">
        <f>IF($A17="","",IF(LEN(답안입력!$D17)&gt;=43,VALUE(MID(답안입력!$D17,43,1)),IF(답안입력!AU17="","",답안입력!AU17)))</f>
        <v/>
      </c>
      <c r="AV17" s="72">
        <f>IF($A17="","",IF(LEN(답안입력!$D17)&gt;=44,VALUE(MID(답안입력!$D17,44,1)),IF(답안입력!AV17="","",답안입력!AV17)))</f>
        <v/>
      </c>
      <c r="AW17" s="72">
        <f>IF($A17="","",IF(LEN(답안입력!$D17)&gt;=45,VALUE(MID(답안입력!$D17,45,1)),IF(답안입력!AW17="","",답안입력!AW17)))</f>
        <v/>
      </c>
      <c r="AX17" s="72">
        <f>IF($A17="","",IF(E17="",0,IF(E17=IF($B17="언어와 매체",자동계산!$D$4,자동계산!$B$4),IF($B17="언어와 매체",자동계산!$E$4,자동계산!$C$4),0)))</f>
        <v/>
      </c>
      <c r="AY17" s="72">
        <f>IF($A17="","",IF(F17="",0,IF(F17=IF($B17="언어와 매체",자동계산!$D$5,자동계산!$B$5),IF($B17="언어와 매체",자동계산!$E$5,자동계산!$C$5),0)))</f>
        <v/>
      </c>
      <c r="AZ17" s="72">
        <f>IF($A17="","",IF(G17="",0,IF(G17=IF($B17="언어와 매체",자동계산!$D$6,자동계산!$B$6),IF($B17="언어와 매체",자동계산!$E$6,자동계산!$C$6),0)))</f>
        <v/>
      </c>
      <c r="BA17" s="72">
        <f>IF($A17="","",IF(H17="",0,IF(H17=IF($B17="언어와 매체",자동계산!$D$7,자동계산!$B$7),IF($B17="언어와 매체",자동계산!$E$7,자동계산!$C$7),0)))</f>
        <v/>
      </c>
      <c r="BB17" s="72">
        <f>IF($A17="","",IF(I17="",0,IF(I17=IF($B17="언어와 매체",자동계산!$D$8,자동계산!$B$8),IF($B17="언어와 매체",자동계산!$E$8,자동계산!$C$8),0)))</f>
        <v/>
      </c>
      <c r="BC17" s="72">
        <f>IF($A17="","",IF(J17="",0,IF(J17=IF($B17="언어와 매체",자동계산!$D$9,자동계산!$B$9),IF($B17="언어와 매체",자동계산!$E$9,자동계산!$C$9),0)))</f>
        <v/>
      </c>
      <c r="BD17" s="72">
        <f>IF($A17="","",IF(K17="",0,IF(K17=IF($B17="언어와 매체",자동계산!$D$10,자동계산!$B$10),IF($B17="언어와 매체",자동계산!$E$10,자동계산!$C$10),0)))</f>
        <v/>
      </c>
      <c r="BE17" s="72">
        <f>IF($A17="","",IF(L17="",0,IF(L17=IF($B17="언어와 매체",자동계산!$D$11,자동계산!$B$11),IF($B17="언어와 매체",자동계산!$E$11,자동계산!$C$11),0)))</f>
        <v/>
      </c>
      <c r="BF17" s="72">
        <f>IF($A17="","",IF(M17="",0,IF(M17=IF($B17="언어와 매체",자동계산!$D$12,자동계산!$B$12),IF($B17="언어와 매체",자동계산!$E$12,자동계산!$C$12),0)))</f>
        <v/>
      </c>
      <c r="BG17" s="72">
        <f>IF($A17="","",IF(N17="",0,IF(N17=IF($B17="언어와 매체",자동계산!$D$13,자동계산!$B$13),IF($B17="언어와 매체",자동계산!$E$13,자동계산!$C$13),0)))</f>
        <v/>
      </c>
      <c r="BH17" s="72">
        <f>IF($A17="","",IF(O17="",0,IF(O17=IF($B17="언어와 매체",자동계산!$D$14,자동계산!$B$14),IF($B17="언어와 매체",자동계산!$E$14,자동계산!$C$14),0)))</f>
        <v/>
      </c>
      <c r="BI17" s="72">
        <f>IF($A17="","",IF(P17="",0,IF(P17=IF($B17="언어와 매체",자동계산!$D$15,자동계산!$B$15),IF($B17="언어와 매체",자동계산!$E$15,자동계산!$C$15),0)))</f>
        <v/>
      </c>
      <c r="BJ17" s="72">
        <f>IF($A17="","",IF(Q17="",0,IF(Q17=IF($B17="언어와 매체",자동계산!$D$16,자동계산!$B$16),IF($B17="언어와 매체",자동계산!$E$16,자동계산!$C$16),0)))</f>
        <v/>
      </c>
      <c r="BK17" s="72">
        <f>IF($A17="","",IF(R17="",0,IF(R17=IF($B17="언어와 매체",자동계산!$D$17,자동계산!$B$17),IF($B17="언어와 매체",자동계산!$E$17,자동계산!$C$17),0)))</f>
        <v/>
      </c>
      <c r="BL17" s="72">
        <f>IF($A17="","",IF(S17="",0,IF(S17=IF($B17="언어와 매체",자동계산!$D$18,자동계산!$B$18),IF($B17="언어와 매체",자동계산!$E$18,자동계산!$C$18),0)))</f>
        <v/>
      </c>
      <c r="BM17" s="72">
        <f>IF($A17="","",IF(T17="",0,IF(T17=IF($B17="언어와 매체",자동계산!$D$19,자동계산!$B$19),IF($B17="언어와 매체",자동계산!$E$19,자동계산!$C$19),0)))</f>
        <v/>
      </c>
      <c r="BN17" s="72">
        <f>IF($A17="","",IF(U17="",0,IF(U17=IF($B17="언어와 매체",자동계산!$D$20,자동계산!$B$20),IF($B17="언어와 매체",자동계산!$E$20,자동계산!$C$20),0)))</f>
        <v/>
      </c>
      <c r="BO17" s="72">
        <f>IF($A17="","",IF(V17="",0,IF(V17=IF($B17="언어와 매체",자동계산!$D$21,자동계산!$B$21),IF($B17="언어와 매체",자동계산!$E$21,자동계산!$C$21),0)))</f>
        <v/>
      </c>
      <c r="BP17" s="72">
        <f>IF($A17="","",IF(W17="",0,IF(W17=IF($B17="언어와 매체",자동계산!$D$22,자동계산!$B$22),IF($B17="언어와 매체",자동계산!$E$22,자동계산!$C$22),0)))</f>
        <v/>
      </c>
      <c r="BQ17" s="72">
        <f>IF($A17="","",IF(X17="",0,IF(X17=IF($B17="언어와 매체",자동계산!$D$23,자동계산!$B$23),IF($B17="언어와 매체",자동계산!$E$23,자동계산!$C$23),0)))</f>
        <v/>
      </c>
      <c r="BR17" s="72">
        <f>IF($A17="","",IF(Y17="",0,IF(Y17=IF($B17="언어와 매체",자동계산!$D$24,자동계산!$B$24),IF($B17="언어와 매체",자동계산!$E$24,자동계산!$C$24),0)))</f>
        <v/>
      </c>
      <c r="BS17" s="72">
        <f>IF($A17="","",IF(Z17="",0,IF(Z17=IF($B17="언어와 매체",자동계산!$D$25,자동계산!$B$25),IF($B17="언어와 매체",자동계산!$E$25,자동계산!$C$25),0)))</f>
        <v/>
      </c>
      <c r="BT17" s="72">
        <f>IF($A17="","",IF(AA17="",0,IF(AA17=IF($B17="언어와 매체",자동계산!$D$26,자동계산!$B$26),IF($B17="언어와 매체",자동계산!$E$26,자동계산!$C$26),0)))</f>
        <v/>
      </c>
      <c r="BU17" s="72">
        <f>IF($A17="","",IF(AB17="",0,IF(AB17=IF($B17="언어와 매체",자동계산!$D$27,자동계산!$B$27),IF($B17="언어와 매체",자동계산!$E$27,자동계산!$C$27),0)))</f>
        <v/>
      </c>
      <c r="BV17" s="72">
        <f>IF($A17="","",IF(AC17="",0,IF(AC17=IF($B17="언어와 매체",자동계산!$D$28,자동계산!$B$28),IF($B17="언어와 매체",자동계산!$E$28,자동계산!$C$28),0)))</f>
        <v/>
      </c>
      <c r="BW17" s="72">
        <f>IF($A17="","",IF(AD17="",0,IF(AD17=IF($B17="언어와 매체",자동계산!$D$29,자동계산!$B$29),IF($B17="언어와 매체",자동계산!$E$29,자동계산!$C$29),0)))</f>
        <v/>
      </c>
      <c r="BX17" s="72">
        <f>IF($A17="","",IF(AE17="",0,IF(AE17=IF($B17="언어와 매체",자동계산!$D$30,자동계산!$B$30),IF($B17="언어와 매체",자동계산!$E$30,자동계산!$C$30),0)))</f>
        <v/>
      </c>
      <c r="BY17" s="72">
        <f>IF($A17="","",IF(AF17="",0,IF(AF17=IF($B17="언어와 매체",자동계산!$D$31,자동계산!$B$31),IF($B17="언어와 매체",자동계산!$E$31,자동계산!$C$31),0)))</f>
        <v/>
      </c>
      <c r="BZ17" s="72">
        <f>IF($A17="","",IF(AG17="",0,IF(AG17=IF($B17="언어와 매체",자동계산!$D$32,자동계산!$B$32),IF($B17="언어와 매체",자동계산!$E$32,자동계산!$C$32),0)))</f>
        <v/>
      </c>
      <c r="CA17" s="72">
        <f>IF($A17="","",IF(AH17="",0,IF(AH17=IF($B17="언어와 매체",자동계산!$D$33,자동계산!$B$33),IF($B17="언어와 매체",자동계산!$E$33,자동계산!$C$33),0)))</f>
        <v/>
      </c>
      <c r="CB17" s="72">
        <f>IF($A17="","",IF(AI17="",0,IF(AI17=IF($B17="언어와 매체",자동계산!$D$34,자동계산!$B$34),IF($B17="언어와 매체",자동계산!$E$34,자동계산!$C$34),0)))</f>
        <v/>
      </c>
      <c r="CC17" s="72">
        <f>IF($A17="","",IF(AJ17="",0,IF(AJ17=IF($B17="언어와 매체",자동계산!$D$35,자동계산!$B$35),IF($B17="언어와 매체",자동계산!$E$35,자동계산!$C$35),0)))</f>
        <v/>
      </c>
      <c r="CD17" s="72">
        <f>IF($A17="","",IF(AK17="",0,IF(AK17=IF($B17="언어와 매체",자동계산!$D$36,자동계산!$B$36),IF($B17="언어와 매체",자동계산!$E$36,자동계산!$C$36),0)))</f>
        <v/>
      </c>
      <c r="CE17" s="72">
        <f>IF($A17="","",IF(AL17="",0,IF(AL17=IF($B17="언어와 매체",자동계산!$D$37,자동계산!$B$37),IF($B17="언어와 매체",자동계산!$E$37,자동계산!$C$37),0)))</f>
        <v/>
      </c>
      <c r="CF17" s="72">
        <f>IF($A17="","",IF(AM17="",0,IF(AM17=IF($B17="언어와 매체",자동계산!$D$38,자동계산!$B$38),IF($B17="언어와 매체",자동계산!$E$38,자동계산!$C$38),0)))</f>
        <v/>
      </c>
      <c r="CG17" s="72">
        <f>IF($A17="","",IF(AN17="",0,IF(AN17=IF($B17="언어와 매체",자동계산!$D$39,자동계산!$B$39),IF($B17="언어와 매체",자동계산!$E$39,자동계산!$C$39),0)))</f>
        <v/>
      </c>
      <c r="CH17" s="72">
        <f>IF($A17="","",IF(AO17="",0,IF(AO17=IF($B17="언어와 매체",자동계산!$D$40,자동계산!$B$40),IF($B17="언어와 매체",자동계산!$E$40,자동계산!$C$40),0)))</f>
        <v/>
      </c>
      <c r="CI17" s="72">
        <f>IF($A17="","",IF(AP17="",0,IF(AP17=IF($B17="언어와 매체",자동계산!$D$41,자동계산!$B$41),IF($B17="언어와 매체",자동계산!$E$41,자동계산!$C$41),0)))</f>
        <v/>
      </c>
      <c r="CJ17" s="72">
        <f>IF($A17="","",IF(AQ17="",0,IF(AQ17=IF($B17="언어와 매체",자동계산!$D$42,자동계산!$B$42),IF($B17="언어와 매체",자동계산!$E$42,자동계산!$C$42),0)))</f>
        <v/>
      </c>
      <c r="CK17" s="72">
        <f>IF($A17="","",IF(AR17="",0,IF(AR17=IF($B17="언어와 매체",자동계산!$D$43,자동계산!$B$43),IF($B17="언어와 매체",자동계산!$E$43,자동계산!$C$43),0)))</f>
        <v/>
      </c>
      <c r="CL17" s="72">
        <f>IF($A17="","",IF(AS17="",0,IF(AS17=IF($B17="언어와 매체",자동계산!$D$44,자동계산!$B$44),IF($B17="언어와 매체",자동계산!$E$44,자동계산!$C$44),0)))</f>
        <v/>
      </c>
      <c r="CM17" s="72">
        <f>IF($A17="","",IF(AT17="",0,IF(AT17=IF($B17="언어와 매체",자동계산!$D$45,자동계산!$B$45),IF($B17="언어와 매체",자동계산!$E$45,자동계산!$C$45),0)))</f>
        <v/>
      </c>
      <c r="CN17" s="72">
        <f>IF($A17="","",IF(AU17="",0,IF(AU17=IF($B17="언어와 매체",자동계산!$D$46,자동계산!$B$46),IF($B17="언어와 매체",자동계산!$E$46,자동계산!$C$46),0)))</f>
        <v/>
      </c>
      <c r="CO17" s="72">
        <f>IF($A17="","",IF(AV17="",0,IF(AV17=IF($B17="언어와 매체",자동계산!$D$47,자동계산!$B$47),IF($B17="언어와 매체",자동계산!$E$47,자동계산!$C$47),0)))</f>
        <v/>
      </c>
      <c r="CP17" s="72">
        <f>IF($A17="","",IF(AW17="",0,IF(AW17=IF($B17="언어와 매체",자동계산!$D$48,자동계산!$B$48),IF($B17="언어와 매체",자동계산!$E$48,자동계산!$C$48),0)))</f>
        <v/>
      </c>
    </row>
    <row r="18">
      <c r="A18" s="70">
        <f>IF(답안입력!A18="","",답안입력!A18)</f>
        <v/>
      </c>
      <c r="B18" s="70">
        <f>IF($A18="","",답안입력!C18)</f>
        <v/>
      </c>
      <c r="C18" s="71">
        <f>IF($A18="","",SUM(AX18:CP18))</f>
        <v/>
      </c>
      <c r="D18" s="70">
        <f>IF($A18="","",IF($C18&gt;=IF($B18="언어와 매체",회차설정!$B$9,회차설정!$B$8),"1등급",IF($C18&gt;=IF($B18="언어와 매체",회차설정!$C$9,회차설정!$C$8),"2등급",IF($C18&gt;=IF($B18="언어와 매체",회차설정!$D$9,회차설정!$D$8),"3등급",IF($C18&gt;=IF($B18="언어와 매체",회차설정!$E$9,회차설정!$E$8),"4등급","등급 외")))))</f>
        <v/>
      </c>
      <c r="E18" s="72">
        <f>IF($A18="","",IF(LEN(답안입력!$D18)&gt;=1,VALUE(MID(답안입력!$D18,1,1)),IF(답안입력!E18="","",답안입력!E18)))</f>
        <v/>
      </c>
      <c r="F18" s="72">
        <f>IF($A18="","",IF(LEN(답안입력!$D18)&gt;=2,VALUE(MID(답안입력!$D18,2,1)),IF(답안입력!F18="","",답안입력!F18)))</f>
        <v/>
      </c>
      <c r="G18" s="72">
        <f>IF($A18="","",IF(LEN(답안입력!$D18)&gt;=3,VALUE(MID(답안입력!$D18,3,1)),IF(답안입력!G18="","",답안입력!G18)))</f>
        <v/>
      </c>
      <c r="H18" s="72">
        <f>IF($A18="","",IF(LEN(답안입력!$D18)&gt;=4,VALUE(MID(답안입력!$D18,4,1)),IF(답안입력!H18="","",답안입력!H18)))</f>
        <v/>
      </c>
      <c r="I18" s="72">
        <f>IF($A18="","",IF(LEN(답안입력!$D18)&gt;=5,VALUE(MID(답안입력!$D18,5,1)),IF(답안입력!I18="","",답안입력!I18)))</f>
        <v/>
      </c>
      <c r="J18" s="72">
        <f>IF($A18="","",IF(LEN(답안입력!$D18)&gt;=6,VALUE(MID(답안입력!$D18,6,1)),IF(답안입력!J18="","",답안입력!J18)))</f>
        <v/>
      </c>
      <c r="K18" s="72">
        <f>IF($A18="","",IF(LEN(답안입력!$D18)&gt;=7,VALUE(MID(답안입력!$D18,7,1)),IF(답안입력!K18="","",답안입력!K18)))</f>
        <v/>
      </c>
      <c r="L18" s="72">
        <f>IF($A18="","",IF(LEN(답안입력!$D18)&gt;=8,VALUE(MID(답안입력!$D18,8,1)),IF(답안입력!L18="","",답안입력!L18)))</f>
        <v/>
      </c>
      <c r="M18" s="72">
        <f>IF($A18="","",IF(LEN(답안입력!$D18)&gt;=9,VALUE(MID(답안입력!$D18,9,1)),IF(답안입력!M18="","",답안입력!M18)))</f>
        <v/>
      </c>
      <c r="N18" s="72">
        <f>IF($A18="","",IF(LEN(답안입력!$D18)&gt;=10,VALUE(MID(답안입력!$D18,10,1)),IF(답안입력!N18="","",답안입력!N18)))</f>
        <v/>
      </c>
      <c r="O18" s="72">
        <f>IF($A18="","",IF(LEN(답안입력!$D18)&gt;=11,VALUE(MID(답안입력!$D18,11,1)),IF(답안입력!O18="","",답안입력!O18)))</f>
        <v/>
      </c>
      <c r="P18" s="72">
        <f>IF($A18="","",IF(LEN(답안입력!$D18)&gt;=12,VALUE(MID(답안입력!$D18,12,1)),IF(답안입력!P18="","",답안입력!P18)))</f>
        <v/>
      </c>
      <c r="Q18" s="72">
        <f>IF($A18="","",IF(LEN(답안입력!$D18)&gt;=13,VALUE(MID(답안입력!$D18,13,1)),IF(답안입력!Q18="","",답안입력!Q18)))</f>
        <v/>
      </c>
      <c r="R18" s="72">
        <f>IF($A18="","",IF(LEN(답안입력!$D18)&gt;=14,VALUE(MID(답안입력!$D18,14,1)),IF(답안입력!R18="","",답안입력!R18)))</f>
        <v/>
      </c>
      <c r="S18" s="72">
        <f>IF($A18="","",IF(LEN(답안입력!$D18)&gt;=15,VALUE(MID(답안입력!$D18,15,1)),IF(답안입력!S18="","",답안입력!S18)))</f>
        <v/>
      </c>
      <c r="T18" s="72">
        <f>IF($A18="","",IF(LEN(답안입력!$D18)&gt;=16,VALUE(MID(답안입력!$D18,16,1)),IF(답안입력!T18="","",답안입력!T18)))</f>
        <v/>
      </c>
      <c r="U18" s="72">
        <f>IF($A18="","",IF(LEN(답안입력!$D18)&gt;=17,VALUE(MID(답안입력!$D18,17,1)),IF(답안입력!U18="","",답안입력!U18)))</f>
        <v/>
      </c>
      <c r="V18" s="72">
        <f>IF($A18="","",IF(LEN(답안입력!$D18)&gt;=18,VALUE(MID(답안입력!$D18,18,1)),IF(답안입력!V18="","",답안입력!V18)))</f>
        <v/>
      </c>
      <c r="W18" s="72">
        <f>IF($A18="","",IF(LEN(답안입력!$D18)&gt;=19,VALUE(MID(답안입력!$D18,19,1)),IF(답안입력!W18="","",답안입력!W18)))</f>
        <v/>
      </c>
      <c r="X18" s="72">
        <f>IF($A18="","",IF(LEN(답안입력!$D18)&gt;=20,VALUE(MID(답안입력!$D18,20,1)),IF(답안입력!X18="","",답안입력!X18)))</f>
        <v/>
      </c>
      <c r="Y18" s="72">
        <f>IF($A18="","",IF(LEN(답안입력!$D18)&gt;=21,VALUE(MID(답안입력!$D18,21,1)),IF(답안입력!Y18="","",답안입력!Y18)))</f>
        <v/>
      </c>
      <c r="Z18" s="72">
        <f>IF($A18="","",IF(LEN(답안입력!$D18)&gt;=22,VALUE(MID(답안입력!$D18,22,1)),IF(답안입력!Z18="","",답안입력!Z18)))</f>
        <v/>
      </c>
      <c r="AA18" s="72">
        <f>IF($A18="","",IF(LEN(답안입력!$D18)&gt;=23,VALUE(MID(답안입력!$D18,23,1)),IF(답안입력!AA18="","",답안입력!AA18)))</f>
        <v/>
      </c>
      <c r="AB18" s="72">
        <f>IF($A18="","",IF(LEN(답안입력!$D18)&gt;=24,VALUE(MID(답안입력!$D18,24,1)),IF(답안입력!AB18="","",답안입력!AB18)))</f>
        <v/>
      </c>
      <c r="AC18" s="72">
        <f>IF($A18="","",IF(LEN(답안입력!$D18)&gt;=25,VALUE(MID(답안입력!$D18,25,1)),IF(답안입력!AC18="","",답안입력!AC18)))</f>
        <v/>
      </c>
      <c r="AD18" s="72">
        <f>IF($A18="","",IF(LEN(답안입력!$D18)&gt;=26,VALUE(MID(답안입력!$D18,26,1)),IF(답안입력!AD18="","",답안입력!AD18)))</f>
        <v/>
      </c>
      <c r="AE18" s="72">
        <f>IF($A18="","",IF(LEN(답안입력!$D18)&gt;=27,VALUE(MID(답안입력!$D18,27,1)),IF(답안입력!AE18="","",답안입력!AE18)))</f>
        <v/>
      </c>
      <c r="AF18" s="72">
        <f>IF($A18="","",IF(LEN(답안입력!$D18)&gt;=28,VALUE(MID(답안입력!$D18,28,1)),IF(답안입력!AF18="","",답안입력!AF18)))</f>
        <v/>
      </c>
      <c r="AG18" s="72">
        <f>IF($A18="","",IF(LEN(답안입력!$D18)&gt;=29,VALUE(MID(답안입력!$D18,29,1)),IF(답안입력!AG18="","",답안입력!AG18)))</f>
        <v/>
      </c>
      <c r="AH18" s="72">
        <f>IF($A18="","",IF(LEN(답안입력!$D18)&gt;=30,VALUE(MID(답안입력!$D18,30,1)),IF(답안입력!AH18="","",답안입력!AH18)))</f>
        <v/>
      </c>
      <c r="AI18" s="72">
        <f>IF($A18="","",IF(LEN(답안입력!$D18)&gt;=31,VALUE(MID(답안입력!$D18,31,1)),IF(답안입력!AI18="","",답안입력!AI18)))</f>
        <v/>
      </c>
      <c r="AJ18" s="72">
        <f>IF($A18="","",IF(LEN(답안입력!$D18)&gt;=32,VALUE(MID(답안입력!$D18,32,1)),IF(답안입력!AJ18="","",답안입력!AJ18)))</f>
        <v/>
      </c>
      <c r="AK18" s="72">
        <f>IF($A18="","",IF(LEN(답안입력!$D18)&gt;=33,VALUE(MID(답안입력!$D18,33,1)),IF(답안입력!AK18="","",답안입력!AK18)))</f>
        <v/>
      </c>
      <c r="AL18" s="72">
        <f>IF($A18="","",IF(LEN(답안입력!$D18)&gt;=34,VALUE(MID(답안입력!$D18,34,1)),IF(답안입력!AL18="","",답안입력!AL18)))</f>
        <v/>
      </c>
      <c r="AM18" s="72">
        <f>IF($A18="","",IF(LEN(답안입력!$D18)&gt;=35,VALUE(MID(답안입력!$D18,35,1)),IF(답안입력!AM18="","",답안입력!AM18)))</f>
        <v/>
      </c>
      <c r="AN18" s="72">
        <f>IF($A18="","",IF(LEN(답안입력!$D18)&gt;=36,VALUE(MID(답안입력!$D18,36,1)),IF(답안입력!AN18="","",답안입력!AN18)))</f>
        <v/>
      </c>
      <c r="AO18" s="72">
        <f>IF($A18="","",IF(LEN(답안입력!$D18)&gt;=37,VALUE(MID(답안입력!$D18,37,1)),IF(답안입력!AO18="","",답안입력!AO18)))</f>
        <v/>
      </c>
      <c r="AP18" s="72">
        <f>IF($A18="","",IF(LEN(답안입력!$D18)&gt;=38,VALUE(MID(답안입력!$D18,38,1)),IF(답안입력!AP18="","",답안입력!AP18)))</f>
        <v/>
      </c>
      <c r="AQ18" s="72">
        <f>IF($A18="","",IF(LEN(답안입력!$D18)&gt;=39,VALUE(MID(답안입력!$D18,39,1)),IF(답안입력!AQ18="","",답안입력!AQ18)))</f>
        <v/>
      </c>
      <c r="AR18" s="72">
        <f>IF($A18="","",IF(LEN(답안입력!$D18)&gt;=40,VALUE(MID(답안입력!$D18,40,1)),IF(답안입력!AR18="","",답안입력!AR18)))</f>
        <v/>
      </c>
      <c r="AS18" s="72">
        <f>IF($A18="","",IF(LEN(답안입력!$D18)&gt;=41,VALUE(MID(답안입력!$D18,41,1)),IF(답안입력!AS18="","",답안입력!AS18)))</f>
        <v/>
      </c>
      <c r="AT18" s="72">
        <f>IF($A18="","",IF(LEN(답안입력!$D18)&gt;=42,VALUE(MID(답안입력!$D18,42,1)),IF(답안입력!AT18="","",답안입력!AT18)))</f>
        <v/>
      </c>
      <c r="AU18" s="72">
        <f>IF($A18="","",IF(LEN(답안입력!$D18)&gt;=43,VALUE(MID(답안입력!$D18,43,1)),IF(답안입력!AU18="","",답안입력!AU18)))</f>
        <v/>
      </c>
      <c r="AV18" s="72">
        <f>IF($A18="","",IF(LEN(답안입력!$D18)&gt;=44,VALUE(MID(답안입력!$D18,44,1)),IF(답안입력!AV18="","",답안입력!AV18)))</f>
        <v/>
      </c>
      <c r="AW18" s="72">
        <f>IF($A18="","",IF(LEN(답안입력!$D18)&gt;=45,VALUE(MID(답안입력!$D18,45,1)),IF(답안입력!AW18="","",답안입력!AW18)))</f>
        <v/>
      </c>
      <c r="AX18" s="72">
        <f>IF($A18="","",IF(E18="",0,IF(E18=IF($B18="언어와 매체",자동계산!$D$4,자동계산!$B$4),IF($B18="언어와 매체",자동계산!$E$4,자동계산!$C$4),0)))</f>
        <v/>
      </c>
      <c r="AY18" s="72">
        <f>IF($A18="","",IF(F18="",0,IF(F18=IF($B18="언어와 매체",자동계산!$D$5,자동계산!$B$5),IF($B18="언어와 매체",자동계산!$E$5,자동계산!$C$5),0)))</f>
        <v/>
      </c>
      <c r="AZ18" s="72">
        <f>IF($A18="","",IF(G18="",0,IF(G18=IF($B18="언어와 매체",자동계산!$D$6,자동계산!$B$6),IF($B18="언어와 매체",자동계산!$E$6,자동계산!$C$6),0)))</f>
        <v/>
      </c>
      <c r="BA18" s="72">
        <f>IF($A18="","",IF(H18="",0,IF(H18=IF($B18="언어와 매체",자동계산!$D$7,자동계산!$B$7),IF($B18="언어와 매체",자동계산!$E$7,자동계산!$C$7),0)))</f>
        <v/>
      </c>
      <c r="BB18" s="72">
        <f>IF($A18="","",IF(I18="",0,IF(I18=IF($B18="언어와 매체",자동계산!$D$8,자동계산!$B$8),IF($B18="언어와 매체",자동계산!$E$8,자동계산!$C$8),0)))</f>
        <v/>
      </c>
      <c r="BC18" s="72">
        <f>IF($A18="","",IF(J18="",0,IF(J18=IF($B18="언어와 매체",자동계산!$D$9,자동계산!$B$9),IF($B18="언어와 매체",자동계산!$E$9,자동계산!$C$9),0)))</f>
        <v/>
      </c>
      <c r="BD18" s="72">
        <f>IF($A18="","",IF(K18="",0,IF(K18=IF($B18="언어와 매체",자동계산!$D$10,자동계산!$B$10),IF($B18="언어와 매체",자동계산!$E$10,자동계산!$C$10),0)))</f>
        <v/>
      </c>
      <c r="BE18" s="72">
        <f>IF($A18="","",IF(L18="",0,IF(L18=IF($B18="언어와 매체",자동계산!$D$11,자동계산!$B$11),IF($B18="언어와 매체",자동계산!$E$11,자동계산!$C$11),0)))</f>
        <v/>
      </c>
      <c r="BF18" s="72">
        <f>IF($A18="","",IF(M18="",0,IF(M18=IF($B18="언어와 매체",자동계산!$D$12,자동계산!$B$12),IF($B18="언어와 매체",자동계산!$E$12,자동계산!$C$12),0)))</f>
        <v/>
      </c>
      <c r="BG18" s="72">
        <f>IF($A18="","",IF(N18="",0,IF(N18=IF($B18="언어와 매체",자동계산!$D$13,자동계산!$B$13),IF($B18="언어와 매체",자동계산!$E$13,자동계산!$C$13),0)))</f>
        <v/>
      </c>
      <c r="BH18" s="72">
        <f>IF($A18="","",IF(O18="",0,IF(O18=IF($B18="언어와 매체",자동계산!$D$14,자동계산!$B$14),IF($B18="언어와 매체",자동계산!$E$14,자동계산!$C$14),0)))</f>
        <v/>
      </c>
      <c r="BI18" s="72">
        <f>IF($A18="","",IF(P18="",0,IF(P18=IF($B18="언어와 매체",자동계산!$D$15,자동계산!$B$15),IF($B18="언어와 매체",자동계산!$E$15,자동계산!$C$15),0)))</f>
        <v/>
      </c>
      <c r="BJ18" s="72">
        <f>IF($A18="","",IF(Q18="",0,IF(Q18=IF($B18="언어와 매체",자동계산!$D$16,자동계산!$B$16),IF($B18="언어와 매체",자동계산!$E$16,자동계산!$C$16),0)))</f>
        <v/>
      </c>
      <c r="BK18" s="72">
        <f>IF($A18="","",IF(R18="",0,IF(R18=IF($B18="언어와 매체",자동계산!$D$17,자동계산!$B$17),IF($B18="언어와 매체",자동계산!$E$17,자동계산!$C$17),0)))</f>
        <v/>
      </c>
      <c r="BL18" s="72">
        <f>IF($A18="","",IF(S18="",0,IF(S18=IF($B18="언어와 매체",자동계산!$D$18,자동계산!$B$18),IF($B18="언어와 매체",자동계산!$E$18,자동계산!$C$18),0)))</f>
        <v/>
      </c>
      <c r="BM18" s="72">
        <f>IF($A18="","",IF(T18="",0,IF(T18=IF($B18="언어와 매체",자동계산!$D$19,자동계산!$B$19),IF($B18="언어와 매체",자동계산!$E$19,자동계산!$C$19),0)))</f>
        <v/>
      </c>
      <c r="BN18" s="72">
        <f>IF($A18="","",IF(U18="",0,IF(U18=IF($B18="언어와 매체",자동계산!$D$20,자동계산!$B$20),IF($B18="언어와 매체",자동계산!$E$20,자동계산!$C$20),0)))</f>
        <v/>
      </c>
      <c r="BO18" s="72">
        <f>IF($A18="","",IF(V18="",0,IF(V18=IF($B18="언어와 매체",자동계산!$D$21,자동계산!$B$21),IF($B18="언어와 매체",자동계산!$E$21,자동계산!$C$21),0)))</f>
        <v/>
      </c>
      <c r="BP18" s="72">
        <f>IF($A18="","",IF(W18="",0,IF(W18=IF($B18="언어와 매체",자동계산!$D$22,자동계산!$B$22),IF($B18="언어와 매체",자동계산!$E$22,자동계산!$C$22),0)))</f>
        <v/>
      </c>
      <c r="BQ18" s="72">
        <f>IF($A18="","",IF(X18="",0,IF(X18=IF($B18="언어와 매체",자동계산!$D$23,자동계산!$B$23),IF($B18="언어와 매체",자동계산!$E$23,자동계산!$C$23),0)))</f>
        <v/>
      </c>
      <c r="BR18" s="72">
        <f>IF($A18="","",IF(Y18="",0,IF(Y18=IF($B18="언어와 매체",자동계산!$D$24,자동계산!$B$24),IF($B18="언어와 매체",자동계산!$E$24,자동계산!$C$24),0)))</f>
        <v/>
      </c>
      <c r="BS18" s="72">
        <f>IF($A18="","",IF(Z18="",0,IF(Z18=IF($B18="언어와 매체",자동계산!$D$25,자동계산!$B$25),IF($B18="언어와 매체",자동계산!$E$25,자동계산!$C$25),0)))</f>
        <v/>
      </c>
      <c r="BT18" s="72">
        <f>IF($A18="","",IF(AA18="",0,IF(AA18=IF($B18="언어와 매체",자동계산!$D$26,자동계산!$B$26),IF($B18="언어와 매체",자동계산!$E$26,자동계산!$C$26),0)))</f>
        <v/>
      </c>
      <c r="BU18" s="72">
        <f>IF($A18="","",IF(AB18="",0,IF(AB18=IF($B18="언어와 매체",자동계산!$D$27,자동계산!$B$27),IF($B18="언어와 매체",자동계산!$E$27,자동계산!$C$27),0)))</f>
        <v/>
      </c>
      <c r="BV18" s="72">
        <f>IF($A18="","",IF(AC18="",0,IF(AC18=IF($B18="언어와 매체",자동계산!$D$28,자동계산!$B$28),IF($B18="언어와 매체",자동계산!$E$28,자동계산!$C$28),0)))</f>
        <v/>
      </c>
      <c r="BW18" s="72">
        <f>IF($A18="","",IF(AD18="",0,IF(AD18=IF($B18="언어와 매체",자동계산!$D$29,자동계산!$B$29),IF($B18="언어와 매체",자동계산!$E$29,자동계산!$C$29),0)))</f>
        <v/>
      </c>
      <c r="BX18" s="72">
        <f>IF($A18="","",IF(AE18="",0,IF(AE18=IF($B18="언어와 매체",자동계산!$D$30,자동계산!$B$30),IF($B18="언어와 매체",자동계산!$E$30,자동계산!$C$30),0)))</f>
        <v/>
      </c>
      <c r="BY18" s="72">
        <f>IF($A18="","",IF(AF18="",0,IF(AF18=IF($B18="언어와 매체",자동계산!$D$31,자동계산!$B$31),IF($B18="언어와 매체",자동계산!$E$31,자동계산!$C$31),0)))</f>
        <v/>
      </c>
      <c r="BZ18" s="72">
        <f>IF($A18="","",IF(AG18="",0,IF(AG18=IF($B18="언어와 매체",자동계산!$D$32,자동계산!$B$32),IF($B18="언어와 매체",자동계산!$E$32,자동계산!$C$32),0)))</f>
        <v/>
      </c>
      <c r="CA18" s="72">
        <f>IF($A18="","",IF(AH18="",0,IF(AH18=IF($B18="언어와 매체",자동계산!$D$33,자동계산!$B$33),IF($B18="언어와 매체",자동계산!$E$33,자동계산!$C$33),0)))</f>
        <v/>
      </c>
      <c r="CB18" s="72">
        <f>IF($A18="","",IF(AI18="",0,IF(AI18=IF($B18="언어와 매체",자동계산!$D$34,자동계산!$B$34),IF($B18="언어와 매체",자동계산!$E$34,자동계산!$C$34),0)))</f>
        <v/>
      </c>
      <c r="CC18" s="72">
        <f>IF($A18="","",IF(AJ18="",0,IF(AJ18=IF($B18="언어와 매체",자동계산!$D$35,자동계산!$B$35),IF($B18="언어와 매체",자동계산!$E$35,자동계산!$C$35),0)))</f>
        <v/>
      </c>
      <c r="CD18" s="72">
        <f>IF($A18="","",IF(AK18="",0,IF(AK18=IF($B18="언어와 매체",자동계산!$D$36,자동계산!$B$36),IF($B18="언어와 매체",자동계산!$E$36,자동계산!$C$36),0)))</f>
        <v/>
      </c>
      <c r="CE18" s="72">
        <f>IF($A18="","",IF(AL18="",0,IF(AL18=IF($B18="언어와 매체",자동계산!$D$37,자동계산!$B$37),IF($B18="언어와 매체",자동계산!$E$37,자동계산!$C$37),0)))</f>
        <v/>
      </c>
      <c r="CF18" s="72">
        <f>IF($A18="","",IF(AM18="",0,IF(AM18=IF($B18="언어와 매체",자동계산!$D$38,자동계산!$B$38),IF($B18="언어와 매체",자동계산!$E$38,자동계산!$C$38),0)))</f>
        <v/>
      </c>
      <c r="CG18" s="72">
        <f>IF($A18="","",IF(AN18="",0,IF(AN18=IF($B18="언어와 매체",자동계산!$D$39,자동계산!$B$39),IF($B18="언어와 매체",자동계산!$E$39,자동계산!$C$39),0)))</f>
        <v/>
      </c>
      <c r="CH18" s="72">
        <f>IF($A18="","",IF(AO18="",0,IF(AO18=IF($B18="언어와 매체",자동계산!$D$40,자동계산!$B$40),IF($B18="언어와 매체",자동계산!$E$40,자동계산!$C$40),0)))</f>
        <v/>
      </c>
      <c r="CI18" s="72">
        <f>IF($A18="","",IF(AP18="",0,IF(AP18=IF($B18="언어와 매체",자동계산!$D$41,자동계산!$B$41),IF($B18="언어와 매체",자동계산!$E$41,자동계산!$C$41),0)))</f>
        <v/>
      </c>
      <c r="CJ18" s="72">
        <f>IF($A18="","",IF(AQ18="",0,IF(AQ18=IF($B18="언어와 매체",자동계산!$D$42,자동계산!$B$42),IF($B18="언어와 매체",자동계산!$E$42,자동계산!$C$42),0)))</f>
        <v/>
      </c>
      <c r="CK18" s="72">
        <f>IF($A18="","",IF(AR18="",0,IF(AR18=IF($B18="언어와 매체",자동계산!$D$43,자동계산!$B$43),IF($B18="언어와 매체",자동계산!$E$43,자동계산!$C$43),0)))</f>
        <v/>
      </c>
      <c r="CL18" s="72">
        <f>IF($A18="","",IF(AS18="",0,IF(AS18=IF($B18="언어와 매체",자동계산!$D$44,자동계산!$B$44),IF($B18="언어와 매체",자동계산!$E$44,자동계산!$C$44),0)))</f>
        <v/>
      </c>
      <c r="CM18" s="72">
        <f>IF($A18="","",IF(AT18="",0,IF(AT18=IF($B18="언어와 매체",자동계산!$D$45,자동계산!$B$45),IF($B18="언어와 매체",자동계산!$E$45,자동계산!$C$45),0)))</f>
        <v/>
      </c>
      <c r="CN18" s="72">
        <f>IF($A18="","",IF(AU18="",0,IF(AU18=IF($B18="언어와 매체",자동계산!$D$46,자동계산!$B$46),IF($B18="언어와 매체",자동계산!$E$46,자동계산!$C$46),0)))</f>
        <v/>
      </c>
      <c r="CO18" s="72">
        <f>IF($A18="","",IF(AV18="",0,IF(AV18=IF($B18="언어와 매체",자동계산!$D$47,자동계산!$B$47),IF($B18="언어와 매체",자동계산!$E$47,자동계산!$C$47),0)))</f>
        <v/>
      </c>
      <c r="CP18" s="72">
        <f>IF($A18="","",IF(AW18="",0,IF(AW18=IF($B18="언어와 매체",자동계산!$D$48,자동계산!$B$48),IF($B18="언어와 매체",자동계산!$E$48,자동계산!$C$48),0)))</f>
        <v/>
      </c>
    </row>
    <row r="19">
      <c r="A19" s="70">
        <f>IF(답안입력!A19="","",답안입력!A19)</f>
        <v/>
      </c>
      <c r="B19" s="70">
        <f>IF($A19="","",답안입력!C19)</f>
        <v/>
      </c>
      <c r="C19" s="71">
        <f>IF($A19="","",SUM(AX19:CP19))</f>
        <v/>
      </c>
      <c r="D19" s="70">
        <f>IF($A19="","",IF($C19&gt;=IF($B19="언어와 매체",회차설정!$B$9,회차설정!$B$8),"1등급",IF($C19&gt;=IF($B19="언어와 매체",회차설정!$C$9,회차설정!$C$8),"2등급",IF($C19&gt;=IF($B19="언어와 매체",회차설정!$D$9,회차설정!$D$8),"3등급",IF($C19&gt;=IF($B19="언어와 매체",회차설정!$E$9,회차설정!$E$8),"4등급","등급 외")))))</f>
        <v/>
      </c>
      <c r="E19" s="72">
        <f>IF($A19="","",IF(LEN(답안입력!$D19)&gt;=1,VALUE(MID(답안입력!$D19,1,1)),IF(답안입력!E19="","",답안입력!E19)))</f>
        <v/>
      </c>
      <c r="F19" s="72">
        <f>IF($A19="","",IF(LEN(답안입력!$D19)&gt;=2,VALUE(MID(답안입력!$D19,2,1)),IF(답안입력!F19="","",답안입력!F19)))</f>
        <v/>
      </c>
      <c r="G19" s="72">
        <f>IF($A19="","",IF(LEN(답안입력!$D19)&gt;=3,VALUE(MID(답안입력!$D19,3,1)),IF(답안입력!G19="","",답안입력!G19)))</f>
        <v/>
      </c>
      <c r="H19" s="72">
        <f>IF($A19="","",IF(LEN(답안입력!$D19)&gt;=4,VALUE(MID(답안입력!$D19,4,1)),IF(답안입력!H19="","",답안입력!H19)))</f>
        <v/>
      </c>
      <c r="I19" s="72">
        <f>IF($A19="","",IF(LEN(답안입력!$D19)&gt;=5,VALUE(MID(답안입력!$D19,5,1)),IF(답안입력!I19="","",답안입력!I19)))</f>
        <v/>
      </c>
      <c r="J19" s="72">
        <f>IF($A19="","",IF(LEN(답안입력!$D19)&gt;=6,VALUE(MID(답안입력!$D19,6,1)),IF(답안입력!J19="","",답안입력!J19)))</f>
        <v/>
      </c>
      <c r="K19" s="72">
        <f>IF($A19="","",IF(LEN(답안입력!$D19)&gt;=7,VALUE(MID(답안입력!$D19,7,1)),IF(답안입력!K19="","",답안입력!K19)))</f>
        <v/>
      </c>
      <c r="L19" s="72">
        <f>IF($A19="","",IF(LEN(답안입력!$D19)&gt;=8,VALUE(MID(답안입력!$D19,8,1)),IF(답안입력!L19="","",답안입력!L19)))</f>
        <v/>
      </c>
      <c r="M19" s="72">
        <f>IF($A19="","",IF(LEN(답안입력!$D19)&gt;=9,VALUE(MID(답안입력!$D19,9,1)),IF(답안입력!M19="","",답안입력!M19)))</f>
        <v/>
      </c>
      <c r="N19" s="72">
        <f>IF($A19="","",IF(LEN(답안입력!$D19)&gt;=10,VALUE(MID(답안입력!$D19,10,1)),IF(답안입력!N19="","",답안입력!N19)))</f>
        <v/>
      </c>
      <c r="O19" s="72">
        <f>IF($A19="","",IF(LEN(답안입력!$D19)&gt;=11,VALUE(MID(답안입력!$D19,11,1)),IF(답안입력!O19="","",답안입력!O19)))</f>
        <v/>
      </c>
      <c r="P19" s="72">
        <f>IF($A19="","",IF(LEN(답안입력!$D19)&gt;=12,VALUE(MID(답안입력!$D19,12,1)),IF(답안입력!P19="","",답안입력!P19)))</f>
        <v/>
      </c>
      <c r="Q19" s="72">
        <f>IF($A19="","",IF(LEN(답안입력!$D19)&gt;=13,VALUE(MID(답안입력!$D19,13,1)),IF(답안입력!Q19="","",답안입력!Q19)))</f>
        <v/>
      </c>
      <c r="R19" s="72">
        <f>IF($A19="","",IF(LEN(답안입력!$D19)&gt;=14,VALUE(MID(답안입력!$D19,14,1)),IF(답안입력!R19="","",답안입력!R19)))</f>
        <v/>
      </c>
      <c r="S19" s="72">
        <f>IF($A19="","",IF(LEN(답안입력!$D19)&gt;=15,VALUE(MID(답안입력!$D19,15,1)),IF(답안입력!S19="","",답안입력!S19)))</f>
        <v/>
      </c>
      <c r="T19" s="72">
        <f>IF($A19="","",IF(LEN(답안입력!$D19)&gt;=16,VALUE(MID(답안입력!$D19,16,1)),IF(답안입력!T19="","",답안입력!T19)))</f>
        <v/>
      </c>
      <c r="U19" s="72">
        <f>IF($A19="","",IF(LEN(답안입력!$D19)&gt;=17,VALUE(MID(답안입력!$D19,17,1)),IF(답안입력!U19="","",답안입력!U19)))</f>
        <v/>
      </c>
      <c r="V19" s="72">
        <f>IF($A19="","",IF(LEN(답안입력!$D19)&gt;=18,VALUE(MID(답안입력!$D19,18,1)),IF(답안입력!V19="","",답안입력!V19)))</f>
        <v/>
      </c>
      <c r="W19" s="72">
        <f>IF($A19="","",IF(LEN(답안입력!$D19)&gt;=19,VALUE(MID(답안입력!$D19,19,1)),IF(답안입력!W19="","",답안입력!W19)))</f>
        <v/>
      </c>
      <c r="X19" s="72">
        <f>IF($A19="","",IF(LEN(답안입력!$D19)&gt;=20,VALUE(MID(답안입력!$D19,20,1)),IF(답안입력!X19="","",답안입력!X19)))</f>
        <v/>
      </c>
      <c r="Y19" s="72">
        <f>IF($A19="","",IF(LEN(답안입력!$D19)&gt;=21,VALUE(MID(답안입력!$D19,21,1)),IF(답안입력!Y19="","",답안입력!Y19)))</f>
        <v/>
      </c>
      <c r="Z19" s="72">
        <f>IF($A19="","",IF(LEN(답안입력!$D19)&gt;=22,VALUE(MID(답안입력!$D19,22,1)),IF(답안입력!Z19="","",답안입력!Z19)))</f>
        <v/>
      </c>
      <c r="AA19" s="72">
        <f>IF($A19="","",IF(LEN(답안입력!$D19)&gt;=23,VALUE(MID(답안입력!$D19,23,1)),IF(답안입력!AA19="","",답안입력!AA19)))</f>
        <v/>
      </c>
      <c r="AB19" s="72">
        <f>IF($A19="","",IF(LEN(답안입력!$D19)&gt;=24,VALUE(MID(답안입력!$D19,24,1)),IF(답안입력!AB19="","",답안입력!AB19)))</f>
        <v/>
      </c>
      <c r="AC19" s="72">
        <f>IF($A19="","",IF(LEN(답안입력!$D19)&gt;=25,VALUE(MID(답안입력!$D19,25,1)),IF(답안입력!AC19="","",답안입력!AC19)))</f>
        <v/>
      </c>
      <c r="AD19" s="72">
        <f>IF($A19="","",IF(LEN(답안입력!$D19)&gt;=26,VALUE(MID(답안입력!$D19,26,1)),IF(답안입력!AD19="","",답안입력!AD19)))</f>
        <v/>
      </c>
      <c r="AE19" s="72">
        <f>IF($A19="","",IF(LEN(답안입력!$D19)&gt;=27,VALUE(MID(답안입력!$D19,27,1)),IF(답안입력!AE19="","",답안입력!AE19)))</f>
        <v/>
      </c>
      <c r="AF19" s="72">
        <f>IF($A19="","",IF(LEN(답안입력!$D19)&gt;=28,VALUE(MID(답안입력!$D19,28,1)),IF(답안입력!AF19="","",답안입력!AF19)))</f>
        <v/>
      </c>
      <c r="AG19" s="72">
        <f>IF($A19="","",IF(LEN(답안입력!$D19)&gt;=29,VALUE(MID(답안입력!$D19,29,1)),IF(답안입력!AG19="","",답안입력!AG19)))</f>
        <v/>
      </c>
      <c r="AH19" s="72">
        <f>IF($A19="","",IF(LEN(답안입력!$D19)&gt;=30,VALUE(MID(답안입력!$D19,30,1)),IF(답안입력!AH19="","",답안입력!AH19)))</f>
        <v/>
      </c>
      <c r="AI19" s="72">
        <f>IF($A19="","",IF(LEN(답안입력!$D19)&gt;=31,VALUE(MID(답안입력!$D19,31,1)),IF(답안입력!AI19="","",답안입력!AI19)))</f>
        <v/>
      </c>
      <c r="AJ19" s="72">
        <f>IF($A19="","",IF(LEN(답안입력!$D19)&gt;=32,VALUE(MID(답안입력!$D19,32,1)),IF(답안입력!AJ19="","",답안입력!AJ19)))</f>
        <v/>
      </c>
      <c r="AK19" s="72">
        <f>IF($A19="","",IF(LEN(답안입력!$D19)&gt;=33,VALUE(MID(답안입력!$D19,33,1)),IF(답안입력!AK19="","",답안입력!AK19)))</f>
        <v/>
      </c>
      <c r="AL19" s="72">
        <f>IF($A19="","",IF(LEN(답안입력!$D19)&gt;=34,VALUE(MID(답안입력!$D19,34,1)),IF(답안입력!AL19="","",답안입력!AL19)))</f>
        <v/>
      </c>
      <c r="AM19" s="72">
        <f>IF($A19="","",IF(LEN(답안입력!$D19)&gt;=35,VALUE(MID(답안입력!$D19,35,1)),IF(답안입력!AM19="","",답안입력!AM19)))</f>
        <v/>
      </c>
      <c r="AN19" s="72">
        <f>IF($A19="","",IF(LEN(답안입력!$D19)&gt;=36,VALUE(MID(답안입력!$D19,36,1)),IF(답안입력!AN19="","",답안입력!AN19)))</f>
        <v/>
      </c>
      <c r="AO19" s="72">
        <f>IF($A19="","",IF(LEN(답안입력!$D19)&gt;=37,VALUE(MID(답안입력!$D19,37,1)),IF(답안입력!AO19="","",답안입력!AO19)))</f>
        <v/>
      </c>
      <c r="AP19" s="72">
        <f>IF($A19="","",IF(LEN(답안입력!$D19)&gt;=38,VALUE(MID(답안입력!$D19,38,1)),IF(답안입력!AP19="","",답안입력!AP19)))</f>
        <v/>
      </c>
      <c r="AQ19" s="72">
        <f>IF($A19="","",IF(LEN(답안입력!$D19)&gt;=39,VALUE(MID(답안입력!$D19,39,1)),IF(답안입력!AQ19="","",답안입력!AQ19)))</f>
        <v/>
      </c>
      <c r="AR19" s="72">
        <f>IF($A19="","",IF(LEN(답안입력!$D19)&gt;=40,VALUE(MID(답안입력!$D19,40,1)),IF(답안입력!AR19="","",답안입력!AR19)))</f>
        <v/>
      </c>
      <c r="AS19" s="72">
        <f>IF($A19="","",IF(LEN(답안입력!$D19)&gt;=41,VALUE(MID(답안입력!$D19,41,1)),IF(답안입력!AS19="","",답안입력!AS19)))</f>
        <v/>
      </c>
      <c r="AT19" s="72">
        <f>IF($A19="","",IF(LEN(답안입력!$D19)&gt;=42,VALUE(MID(답안입력!$D19,42,1)),IF(답안입력!AT19="","",답안입력!AT19)))</f>
        <v/>
      </c>
      <c r="AU19" s="72">
        <f>IF($A19="","",IF(LEN(답안입력!$D19)&gt;=43,VALUE(MID(답안입력!$D19,43,1)),IF(답안입력!AU19="","",답안입력!AU19)))</f>
        <v/>
      </c>
      <c r="AV19" s="72">
        <f>IF($A19="","",IF(LEN(답안입력!$D19)&gt;=44,VALUE(MID(답안입력!$D19,44,1)),IF(답안입력!AV19="","",답안입력!AV19)))</f>
        <v/>
      </c>
      <c r="AW19" s="72">
        <f>IF($A19="","",IF(LEN(답안입력!$D19)&gt;=45,VALUE(MID(답안입력!$D19,45,1)),IF(답안입력!AW19="","",답안입력!AW19)))</f>
        <v/>
      </c>
      <c r="AX19" s="72">
        <f>IF($A19="","",IF(E19="",0,IF(E19=IF($B19="언어와 매체",자동계산!$D$4,자동계산!$B$4),IF($B19="언어와 매체",자동계산!$E$4,자동계산!$C$4),0)))</f>
        <v/>
      </c>
      <c r="AY19" s="72">
        <f>IF($A19="","",IF(F19="",0,IF(F19=IF($B19="언어와 매체",자동계산!$D$5,자동계산!$B$5),IF($B19="언어와 매체",자동계산!$E$5,자동계산!$C$5),0)))</f>
        <v/>
      </c>
      <c r="AZ19" s="72">
        <f>IF($A19="","",IF(G19="",0,IF(G19=IF($B19="언어와 매체",자동계산!$D$6,자동계산!$B$6),IF($B19="언어와 매체",자동계산!$E$6,자동계산!$C$6),0)))</f>
        <v/>
      </c>
      <c r="BA19" s="72">
        <f>IF($A19="","",IF(H19="",0,IF(H19=IF($B19="언어와 매체",자동계산!$D$7,자동계산!$B$7),IF($B19="언어와 매체",자동계산!$E$7,자동계산!$C$7),0)))</f>
        <v/>
      </c>
      <c r="BB19" s="72">
        <f>IF($A19="","",IF(I19="",0,IF(I19=IF($B19="언어와 매체",자동계산!$D$8,자동계산!$B$8),IF($B19="언어와 매체",자동계산!$E$8,자동계산!$C$8),0)))</f>
        <v/>
      </c>
      <c r="BC19" s="72">
        <f>IF($A19="","",IF(J19="",0,IF(J19=IF($B19="언어와 매체",자동계산!$D$9,자동계산!$B$9),IF($B19="언어와 매체",자동계산!$E$9,자동계산!$C$9),0)))</f>
        <v/>
      </c>
      <c r="BD19" s="72">
        <f>IF($A19="","",IF(K19="",0,IF(K19=IF($B19="언어와 매체",자동계산!$D$10,자동계산!$B$10),IF($B19="언어와 매체",자동계산!$E$10,자동계산!$C$10),0)))</f>
        <v/>
      </c>
      <c r="BE19" s="72">
        <f>IF($A19="","",IF(L19="",0,IF(L19=IF($B19="언어와 매체",자동계산!$D$11,자동계산!$B$11),IF($B19="언어와 매체",자동계산!$E$11,자동계산!$C$11),0)))</f>
        <v/>
      </c>
      <c r="BF19" s="72">
        <f>IF($A19="","",IF(M19="",0,IF(M19=IF($B19="언어와 매체",자동계산!$D$12,자동계산!$B$12),IF($B19="언어와 매체",자동계산!$E$12,자동계산!$C$12),0)))</f>
        <v/>
      </c>
      <c r="BG19" s="72">
        <f>IF($A19="","",IF(N19="",0,IF(N19=IF($B19="언어와 매체",자동계산!$D$13,자동계산!$B$13),IF($B19="언어와 매체",자동계산!$E$13,자동계산!$C$13),0)))</f>
        <v/>
      </c>
      <c r="BH19" s="72">
        <f>IF($A19="","",IF(O19="",0,IF(O19=IF($B19="언어와 매체",자동계산!$D$14,자동계산!$B$14),IF($B19="언어와 매체",자동계산!$E$14,자동계산!$C$14),0)))</f>
        <v/>
      </c>
      <c r="BI19" s="72">
        <f>IF($A19="","",IF(P19="",0,IF(P19=IF($B19="언어와 매체",자동계산!$D$15,자동계산!$B$15),IF($B19="언어와 매체",자동계산!$E$15,자동계산!$C$15),0)))</f>
        <v/>
      </c>
      <c r="BJ19" s="72">
        <f>IF($A19="","",IF(Q19="",0,IF(Q19=IF($B19="언어와 매체",자동계산!$D$16,자동계산!$B$16),IF($B19="언어와 매체",자동계산!$E$16,자동계산!$C$16),0)))</f>
        <v/>
      </c>
      <c r="BK19" s="72">
        <f>IF($A19="","",IF(R19="",0,IF(R19=IF($B19="언어와 매체",자동계산!$D$17,자동계산!$B$17),IF($B19="언어와 매체",자동계산!$E$17,자동계산!$C$17),0)))</f>
        <v/>
      </c>
      <c r="BL19" s="72">
        <f>IF($A19="","",IF(S19="",0,IF(S19=IF($B19="언어와 매체",자동계산!$D$18,자동계산!$B$18),IF($B19="언어와 매체",자동계산!$E$18,자동계산!$C$18),0)))</f>
        <v/>
      </c>
      <c r="BM19" s="72">
        <f>IF($A19="","",IF(T19="",0,IF(T19=IF($B19="언어와 매체",자동계산!$D$19,자동계산!$B$19),IF($B19="언어와 매체",자동계산!$E$19,자동계산!$C$19),0)))</f>
        <v/>
      </c>
      <c r="BN19" s="72">
        <f>IF($A19="","",IF(U19="",0,IF(U19=IF($B19="언어와 매체",자동계산!$D$20,자동계산!$B$20),IF($B19="언어와 매체",자동계산!$E$20,자동계산!$C$20),0)))</f>
        <v/>
      </c>
      <c r="BO19" s="72">
        <f>IF($A19="","",IF(V19="",0,IF(V19=IF($B19="언어와 매체",자동계산!$D$21,자동계산!$B$21),IF($B19="언어와 매체",자동계산!$E$21,자동계산!$C$21),0)))</f>
        <v/>
      </c>
      <c r="BP19" s="72">
        <f>IF($A19="","",IF(W19="",0,IF(W19=IF($B19="언어와 매체",자동계산!$D$22,자동계산!$B$22),IF($B19="언어와 매체",자동계산!$E$22,자동계산!$C$22),0)))</f>
        <v/>
      </c>
      <c r="BQ19" s="72">
        <f>IF($A19="","",IF(X19="",0,IF(X19=IF($B19="언어와 매체",자동계산!$D$23,자동계산!$B$23),IF($B19="언어와 매체",자동계산!$E$23,자동계산!$C$23),0)))</f>
        <v/>
      </c>
      <c r="BR19" s="72">
        <f>IF($A19="","",IF(Y19="",0,IF(Y19=IF($B19="언어와 매체",자동계산!$D$24,자동계산!$B$24),IF($B19="언어와 매체",자동계산!$E$24,자동계산!$C$24),0)))</f>
        <v/>
      </c>
      <c r="BS19" s="72">
        <f>IF($A19="","",IF(Z19="",0,IF(Z19=IF($B19="언어와 매체",자동계산!$D$25,자동계산!$B$25),IF($B19="언어와 매체",자동계산!$E$25,자동계산!$C$25),0)))</f>
        <v/>
      </c>
      <c r="BT19" s="72">
        <f>IF($A19="","",IF(AA19="",0,IF(AA19=IF($B19="언어와 매체",자동계산!$D$26,자동계산!$B$26),IF($B19="언어와 매체",자동계산!$E$26,자동계산!$C$26),0)))</f>
        <v/>
      </c>
      <c r="BU19" s="72">
        <f>IF($A19="","",IF(AB19="",0,IF(AB19=IF($B19="언어와 매체",자동계산!$D$27,자동계산!$B$27),IF($B19="언어와 매체",자동계산!$E$27,자동계산!$C$27),0)))</f>
        <v/>
      </c>
      <c r="BV19" s="72">
        <f>IF($A19="","",IF(AC19="",0,IF(AC19=IF($B19="언어와 매체",자동계산!$D$28,자동계산!$B$28),IF($B19="언어와 매체",자동계산!$E$28,자동계산!$C$28),0)))</f>
        <v/>
      </c>
      <c r="BW19" s="72">
        <f>IF($A19="","",IF(AD19="",0,IF(AD19=IF($B19="언어와 매체",자동계산!$D$29,자동계산!$B$29),IF($B19="언어와 매체",자동계산!$E$29,자동계산!$C$29),0)))</f>
        <v/>
      </c>
      <c r="BX19" s="72">
        <f>IF($A19="","",IF(AE19="",0,IF(AE19=IF($B19="언어와 매체",자동계산!$D$30,자동계산!$B$30),IF($B19="언어와 매체",자동계산!$E$30,자동계산!$C$30),0)))</f>
        <v/>
      </c>
      <c r="BY19" s="72">
        <f>IF($A19="","",IF(AF19="",0,IF(AF19=IF($B19="언어와 매체",자동계산!$D$31,자동계산!$B$31),IF($B19="언어와 매체",자동계산!$E$31,자동계산!$C$31),0)))</f>
        <v/>
      </c>
      <c r="BZ19" s="72">
        <f>IF($A19="","",IF(AG19="",0,IF(AG19=IF($B19="언어와 매체",자동계산!$D$32,자동계산!$B$32),IF($B19="언어와 매체",자동계산!$E$32,자동계산!$C$32),0)))</f>
        <v/>
      </c>
      <c r="CA19" s="72">
        <f>IF($A19="","",IF(AH19="",0,IF(AH19=IF($B19="언어와 매체",자동계산!$D$33,자동계산!$B$33),IF($B19="언어와 매체",자동계산!$E$33,자동계산!$C$33),0)))</f>
        <v/>
      </c>
      <c r="CB19" s="72">
        <f>IF($A19="","",IF(AI19="",0,IF(AI19=IF($B19="언어와 매체",자동계산!$D$34,자동계산!$B$34),IF($B19="언어와 매체",자동계산!$E$34,자동계산!$C$34),0)))</f>
        <v/>
      </c>
      <c r="CC19" s="72">
        <f>IF($A19="","",IF(AJ19="",0,IF(AJ19=IF($B19="언어와 매체",자동계산!$D$35,자동계산!$B$35),IF($B19="언어와 매체",자동계산!$E$35,자동계산!$C$35),0)))</f>
        <v/>
      </c>
      <c r="CD19" s="72">
        <f>IF($A19="","",IF(AK19="",0,IF(AK19=IF($B19="언어와 매체",자동계산!$D$36,자동계산!$B$36),IF($B19="언어와 매체",자동계산!$E$36,자동계산!$C$36),0)))</f>
        <v/>
      </c>
      <c r="CE19" s="72">
        <f>IF($A19="","",IF(AL19="",0,IF(AL19=IF($B19="언어와 매체",자동계산!$D$37,자동계산!$B$37),IF($B19="언어와 매체",자동계산!$E$37,자동계산!$C$37),0)))</f>
        <v/>
      </c>
      <c r="CF19" s="72">
        <f>IF($A19="","",IF(AM19="",0,IF(AM19=IF($B19="언어와 매체",자동계산!$D$38,자동계산!$B$38),IF($B19="언어와 매체",자동계산!$E$38,자동계산!$C$38),0)))</f>
        <v/>
      </c>
      <c r="CG19" s="72">
        <f>IF($A19="","",IF(AN19="",0,IF(AN19=IF($B19="언어와 매체",자동계산!$D$39,자동계산!$B$39),IF($B19="언어와 매체",자동계산!$E$39,자동계산!$C$39),0)))</f>
        <v/>
      </c>
      <c r="CH19" s="72">
        <f>IF($A19="","",IF(AO19="",0,IF(AO19=IF($B19="언어와 매체",자동계산!$D$40,자동계산!$B$40),IF($B19="언어와 매체",자동계산!$E$40,자동계산!$C$40),0)))</f>
        <v/>
      </c>
      <c r="CI19" s="72">
        <f>IF($A19="","",IF(AP19="",0,IF(AP19=IF($B19="언어와 매체",자동계산!$D$41,자동계산!$B$41),IF($B19="언어와 매체",자동계산!$E$41,자동계산!$C$41),0)))</f>
        <v/>
      </c>
      <c r="CJ19" s="72">
        <f>IF($A19="","",IF(AQ19="",0,IF(AQ19=IF($B19="언어와 매체",자동계산!$D$42,자동계산!$B$42),IF($B19="언어와 매체",자동계산!$E$42,자동계산!$C$42),0)))</f>
        <v/>
      </c>
      <c r="CK19" s="72">
        <f>IF($A19="","",IF(AR19="",0,IF(AR19=IF($B19="언어와 매체",자동계산!$D$43,자동계산!$B$43),IF($B19="언어와 매체",자동계산!$E$43,자동계산!$C$43),0)))</f>
        <v/>
      </c>
      <c r="CL19" s="72">
        <f>IF($A19="","",IF(AS19="",0,IF(AS19=IF($B19="언어와 매체",자동계산!$D$44,자동계산!$B$44),IF($B19="언어와 매체",자동계산!$E$44,자동계산!$C$44),0)))</f>
        <v/>
      </c>
      <c r="CM19" s="72">
        <f>IF($A19="","",IF(AT19="",0,IF(AT19=IF($B19="언어와 매체",자동계산!$D$45,자동계산!$B$45),IF($B19="언어와 매체",자동계산!$E$45,자동계산!$C$45),0)))</f>
        <v/>
      </c>
      <c r="CN19" s="72">
        <f>IF($A19="","",IF(AU19="",0,IF(AU19=IF($B19="언어와 매체",자동계산!$D$46,자동계산!$B$46),IF($B19="언어와 매체",자동계산!$E$46,자동계산!$C$46),0)))</f>
        <v/>
      </c>
      <c r="CO19" s="72">
        <f>IF($A19="","",IF(AV19="",0,IF(AV19=IF($B19="언어와 매체",자동계산!$D$47,자동계산!$B$47),IF($B19="언어와 매체",자동계산!$E$47,자동계산!$C$47),0)))</f>
        <v/>
      </c>
      <c r="CP19" s="72">
        <f>IF($A19="","",IF(AW19="",0,IF(AW19=IF($B19="언어와 매체",자동계산!$D$48,자동계산!$B$48),IF($B19="언어와 매체",자동계산!$E$48,자동계산!$C$48),0)))</f>
        <v/>
      </c>
    </row>
    <row r="20">
      <c r="A20" s="70">
        <f>IF(답안입력!A20="","",답안입력!A20)</f>
        <v/>
      </c>
      <c r="B20" s="70">
        <f>IF($A20="","",답안입력!C20)</f>
        <v/>
      </c>
      <c r="C20" s="71">
        <f>IF($A20="","",SUM(AX20:CP20))</f>
        <v/>
      </c>
      <c r="D20" s="70">
        <f>IF($A20="","",IF($C20&gt;=IF($B20="언어와 매체",회차설정!$B$9,회차설정!$B$8),"1등급",IF($C20&gt;=IF($B20="언어와 매체",회차설정!$C$9,회차설정!$C$8),"2등급",IF($C20&gt;=IF($B20="언어와 매체",회차설정!$D$9,회차설정!$D$8),"3등급",IF($C20&gt;=IF($B20="언어와 매체",회차설정!$E$9,회차설정!$E$8),"4등급","등급 외")))))</f>
        <v/>
      </c>
      <c r="E20" s="72">
        <f>IF($A20="","",IF(LEN(답안입력!$D20)&gt;=1,VALUE(MID(답안입력!$D20,1,1)),IF(답안입력!E20="","",답안입력!E20)))</f>
        <v/>
      </c>
      <c r="F20" s="72">
        <f>IF($A20="","",IF(LEN(답안입력!$D20)&gt;=2,VALUE(MID(답안입력!$D20,2,1)),IF(답안입력!F20="","",답안입력!F20)))</f>
        <v/>
      </c>
      <c r="G20" s="72">
        <f>IF($A20="","",IF(LEN(답안입력!$D20)&gt;=3,VALUE(MID(답안입력!$D20,3,1)),IF(답안입력!G20="","",답안입력!G20)))</f>
        <v/>
      </c>
      <c r="H20" s="72">
        <f>IF($A20="","",IF(LEN(답안입력!$D20)&gt;=4,VALUE(MID(답안입력!$D20,4,1)),IF(답안입력!H20="","",답안입력!H20)))</f>
        <v/>
      </c>
      <c r="I20" s="72">
        <f>IF($A20="","",IF(LEN(답안입력!$D20)&gt;=5,VALUE(MID(답안입력!$D20,5,1)),IF(답안입력!I20="","",답안입력!I20)))</f>
        <v/>
      </c>
      <c r="J20" s="72">
        <f>IF($A20="","",IF(LEN(답안입력!$D20)&gt;=6,VALUE(MID(답안입력!$D20,6,1)),IF(답안입력!J20="","",답안입력!J20)))</f>
        <v/>
      </c>
      <c r="K20" s="72">
        <f>IF($A20="","",IF(LEN(답안입력!$D20)&gt;=7,VALUE(MID(답안입력!$D20,7,1)),IF(답안입력!K20="","",답안입력!K20)))</f>
        <v/>
      </c>
      <c r="L20" s="72">
        <f>IF($A20="","",IF(LEN(답안입력!$D20)&gt;=8,VALUE(MID(답안입력!$D20,8,1)),IF(답안입력!L20="","",답안입력!L20)))</f>
        <v/>
      </c>
      <c r="M20" s="72">
        <f>IF($A20="","",IF(LEN(답안입력!$D20)&gt;=9,VALUE(MID(답안입력!$D20,9,1)),IF(답안입력!M20="","",답안입력!M20)))</f>
        <v/>
      </c>
      <c r="N20" s="72">
        <f>IF($A20="","",IF(LEN(답안입력!$D20)&gt;=10,VALUE(MID(답안입력!$D20,10,1)),IF(답안입력!N20="","",답안입력!N20)))</f>
        <v/>
      </c>
      <c r="O20" s="72">
        <f>IF($A20="","",IF(LEN(답안입력!$D20)&gt;=11,VALUE(MID(답안입력!$D20,11,1)),IF(답안입력!O20="","",답안입력!O20)))</f>
        <v/>
      </c>
      <c r="P20" s="72">
        <f>IF($A20="","",IF(LEN(답안입력!$D20)&gt;=12,VALUE(MID(답안입력!$D20,12,1)),IF(답안입력!P20="","",답안입력!P20)))</f>
        <v/>
      </c>
      <c r="Q20" s="72">
        <f>IF($A20="","",IF(LEN(답안입력!$D20)&gt;=13,VALUE(MID(답안입력!$D20,13,1)),IF(답안입력!Q20="","",답안입력!Q20)))</f>
        <v/>
      </c>
      <c r="R20" s="72">
        <f>IF($A20="","",IF(LEN(답안입력!$D20)&gt;=14,VALUE(MID(답안입력!$D20,14,1)),IF(답안입력!R20="","",답안입력!R20)))</f>
        <v/>
      </c>
      <c r="S20" s="72">
        <f>IF($A20="","",IF(LEN(답안입력!$D20)&gt;=15,VALUE(MID(답안입력!$D20,15,1)),IF(답안입력!S20="","",답안입력!S20)))</f>
        <v/>
      </c>
      <c r="T20" s="72">
        <f>IF($A20="","",IF(LEN(답안입력!$D20)&gt;=16,VALUE(MID(답안입력!$D20,16,1)),IF(답안입력!T20="","",답안입력!T20)))</f>
        <v/>
      </c>
      <c r="U20" s="72">
        <f>IF($A20="","",IF(LEN(답안입력!$D20)&gt;=17,VALUE(MID(답안입력!$D20,17,1)),IF(답안입력!U20="","",답안입력!U20)))</f>
        <v/>
      </c>
      <c r="V20" s="72">
        <f>IF($A20="","",IF(LEN(답안입력!$D20)&gt;=18,VALUE(MID(답안입력!$D20,18,1)),IF(답안입력!V20="","",답안입력!V20)))</f>
        <v/>
      </c>
      <c r="W20" s="72">
        <f>IF($A20="","",IF(LEN(답안입력!$D20)&gt;=19,VALUE(MID(답안입력!$D20,19,1)),IF(답안입력!W20="","",답안입력!W20)))</f>
        <v/>
      </c>
      <c r="X20" s="72">
        <f>IF($A20="","",IF(LEN(답안입력!$D20)&gt;=20,VALUE(MID(답안입력!$D20,20,1)),IF(답안입력!X20="","",답안입력!X20)))</f>
        <v/>
      </c>
      <c r="Y20" s="72">
        <f>IF($A20="","",IF(LEN(답안입력!$D20)&gt;=21,VALUE(MID(답안입력!$D20,21,1)),IF(답안입력!Y20="","",답안입력!Y20)))</f>
        <v/>
      </c>
      <c r="Z20" s="72">
        <f>IF($A20="","",IF(LEN(답안입력!$D20)&gt;=22,VALUE(MID(답안입력!$D20,22,1)),IF(답안입력!Z20="","",답안입력!Z20)))</f>
        <v/>
      </c>
      <c r="AA20" s="72">
        <f>IF($A20="","",IF(LEN(답안입력!$D20)&gt;=23,VALUE(MID(답안입력!$D20,23,1)),IF(답안입력!AA20="","",답안입력!AA20)))</f>
        <v/>
      </c>
      <c r="AB20" s="72">
        <f>IF($A20="","",IF(LEN(답안입력!$D20)&gt;=24,VALUE(MID(답안입력!$D20,24,1)),IF(답안입력!AB20="","",답안입력!AB20)))</f>
        <v/>
      </c>
      <c r="AC20" s="72">
        <f>IF($A20="","",IF(LEN(답안입력!$D20)&gt;=25,VALUE(MID(답안입력!$D20,25,1)),IF(답안입력!AC20="","",답안입력!AC20)))</f>
        <v/>
      </c>
      <c r="AD20" s="72">
        <f>IF($A20="","",IF(LEN(답안입력!$D20)&gt;=26,VALUE(MID(답안입력!$D20,26,1)),IF(답안입력!AD20="","",답안입력!AD20)))</f>
        <v/>
      </c>
      <c r="AE20" s="72">
        <f>IF($A20="","",IF(LEN(답안입력!$D20)&gt;=27,VALUE(MID(답안입력!$D20,27,1)),IF(답안입력!AE20="","",답안입력!AE20)))</f>
        <v/>
      </c>
      <c r="AF20" s="72">
        <f>IF($A20="","",IF(LEN(답안입력!$D20)&gt;=28,VALUE(MID(답안입력!$D20,28,1)),IF(답안입력!AF20="","",답안입력!AF20)))</f>
        <v/>
      </c>
      <c r="AG20" s="72">
        <f>IF($A20="","",IF(LEN(답안입력!$D20)&gt;=29,VALUE(MID(답안입력!$D20,29,1)),IF(답안입력!AG20="","",답안입력!AG20)))</f>
        <v/>
      </c>
      <c r="AH20" s="72">
        <f>IF($A20="","",IF(LEN(답안입력!$D20)&gt;=30,VALUE(MID(답안입력!$D20,30,1)),IF(답안입력!AH20="","",답안입력!AH20)))</f>
        <v/>
      </c>
      <c r="AI20" s="72">
        <f>IF($A20="","",IF(LEN(답안입력!$D20)&gt;=31,VALUE(MID(답안입력!$D20,31,1)),IF(답안입력!AI20="","",답안입력!AI20)))</f>
        <v/>
      </c>
      <c r="AJ20" s="72">
        <f>IF($A20="","",IF(LEN(답안입력!$D20)&gt;=32,VALUE(MID(답안입력!$D20,32,1)),IF(답안입력!AJ20="","",답안입력!AJ20)))</f>
        <v/>
      </c>
      <c r="AK20" s="72">
        <f>IF($A20="","",IF(LEN(답안입력!$D20)&gt;=33,VALUE(MID(답안입력!$D20,33,1)),IF(답안입력!AK20="","",답안입력!AK20)))</f>
        <v/>
      </c>
      <c r="AL20" s="72">
        <f>IF($A20="","",IF(LEN(답안입력!$D20)&gt;=34,VALUE(MID(답안입력!$D20,34,1)),IF(답안입력!AL20="","",답안입력!AL20)))</f>
        <v/>
      </c>
      <c r="AM20" s="72">
        <f>IF($A20="","",IF(LEN(답안입력!$D20)&gt;=35,VALUE(MID(답안입력!$D20,35,1)),IF(답안입력!AM20="","",답안입력!AM20)))</f>
        <v/>
      </c>
      <c r="AN20" s="72">
        <f>IF($A20="","",IF(LEN(답안입력!$D20)&gt;=36,VALUE(MID(답안입력!$D20,36,1)),IF(답안입력!AN20="","",답안입력!AN20)))</f>
        <v/>
      </c>
      <c r="AO20" s="72">
        <f>IF($A20="","",IF(LEN(답안입력!$D20)&gt;=37,VALUE(MID(답안입력!$D20,37,1)),IF(답안입력!AO20="","",답안입력!AO20)))</f>
        <v/>
      </c>
      <c r="AP20" s="72">
        <f>IF($A20="","",IF(LEN(답안입력!$D20)&gt;=38,VALUE(MID(답안입력!$D20,38,1)),IF(답안입력!AP20="","",답안입력!AP20)))</f>
        <v/>
      </c>
      <c r="AQ20" s="72">
        <f>IF($A20="","",IF(LEN(답안입력!$D20)&gt;=39,VALUE(MID(답안입력!$D20,39,1)),IF(답안입력!AQ20="","",답안입력!AQ20)))</f>
        <v/>
      </c>
      <c r="AR20" s="72">
        <f>IF($A20="","",IF(LEN(답안입력!$D20)&gt;=40,VALUE(MID(답안입력!$D20,40,1)),IF(답안입력!AR20="","",답안입력!AR20)))</f>
        <v/>
      </c>
      <c r="AS20" s="72">
        <f>IF($A20="","",IF(LEN(답안입력!$D20)&gt;=41,VALUE(MID(답안입력!$D20,41,1)),IF(답안입력!AS20="","",답안입력!AS20)))</f>
        <v/>
      </c>
      <c r="AT20" s="72">
        <f>IF($A20="","",IF(LEN(답안입력!$D20)&gt;=42,VALUE(MID(답안입력!$D20,42,1)),IF(답안입력!AT20="","",답안입력!AT20)))</f>
        <v/>
      </c>
      <c r="AU20" s="72">
        <f>IF($A20="","",IF(LEN(답안입력!$D20)&gt;=43,VALUE(MID(답안입력!$D20,43,1)),IF(답안입력!AU20="","",답안입력!AU20)))</f>
        <v/>
      </c>
      <c r="AV20" s="72">
        <f>IF($A20="","",IF(LEN(답안입력!$D20)&gt;=44,VALUE(MID(답안입력!$D20,44,1)),IF(답안입력!AV20="","",답안입력!AV20)))</f>
        <v/>
      </c>
      <c r="AW20" s="72">
        <f>IF($A20="","",IF(LEN(답안입력!$D20)&gt;=45,VALUE(MID(답안입력!$D20,45,1)),IF(답안입력!AW20="","",답안입력!AW20)))</f>
        <v/>
      </c>
      <c r="AX20" s="72">
        <f>IF($A20="","",IF(E20="",0,IF(E20=IF($B20="언어와 매체",자동계산!$D$4,자동계산!$B$4),IF($B20="언어와 매체",자동계산!$E$4,자동계산!$C$4),0)))</f>
        <v/>
      </c>
      <c r="AY20" s="72">
        <f>IF($A20="","",IF(F20="",0,IF(F20=IF($B20="언어와 매체",자동계산!$D$5,자동계산!$B$5),IF($B20="언어와 매체",자동계산!$E$5,자동계산!$C$5),0)))</f>
        <v/>
      </c>
      <c r="AZ20" s="72">
        <f>IF($A20="","",IF(G20="",0,IF(G20=IF($B20="언어와 매체",자동계산!$D$6,자동계산!$B$6),IF($B20="언어와 매체",자동계산!$E$6,자동계산!$C$6),0)))</f>
        <v/>
      </c>
      <c r="BA20" s="72">
        <f>IF($A20="","",IF(H20="",0,IF(H20=IF($B20="언어와 매체",자동계산!$D$7,자동계산!$B$7),IF($B20="언어와 매체",자동계산!$E$7,자동계산!$C$7),0)))</f>
        <v/>
      </c>
      <c r="BB20" s="72">
        <f>IF($A20="","",IF(I20="",0,IF(I20=IF($B20="언어와 매체",자동계산!$D$8,자동계산!$B$8),IF($B20="언어와 매체",자동계산!$E$8,자동계산!$C$8),0)))</f>
        <v/>
      </c>
      <c r="BC20" s="72">
        <f>IF($A20="","",IF(J20="",0,IF(J20=IF($B20="언어와 매체",자동계산!$D$9,자동계산!$B$9),IF($B20="언어와 매체",자동계산!$E$9,자동계산!$C$9),0)))</f>
        <v/>
      </c>
      <c r="BD20" s="72">
        <f>IF($A20="","",IF(K20="",0,IF(K20=IF($B20="언어와 매체",자동계산!$D$10,자동계산!$B$10),IF($B20="언어와 매체",자동계산!$E$10,자동계산!$C$10),0)))</f>
        <v/>
      </c>
      <c r="BE20" s="72">
        <f>IF($A20="","",IF(L20="",0,IF(L20=IF($B20="언어와 매체",자동계산!$D$11,자동계산!$B$11),IF($B20="언어와 매체",자동계산!$E$11,자동계산!$C$11),0)))</f>
        <v/>
      </c>
      <c r="BF20" s="72">
        <f>IF($A20="","",IF(M20="",0,IF(M20=IF($B20="언어와 매체",자동계산!$D$12,자동계산!$B$12),IF($B20="언어와 매체",자동계산!$E$12,자동계산!$C$12),0)))</f>
        <v/>
      </c>
      <c r="BG20" s="72">
        <f>IF($A20="","",IF(N20="",0,IF(N20=IF($B20="언어와 매체",자동계산!$D$13,자동계산!$B$13),IF($B20="언어와 매체",자동계산!$E$13,자동계산!$C$13),0)))</f>
        <v/>
      </c>
      <c r="BH20" s="72">
        <f>IF($A20="","",IF(O20="",0,IF(O20=IF($B20="언어와 매체",자동계산!$D$14,자동계산!$B$14),IF($B20="언어와 매체",자동계산!$E$14,자동계산!$C$14),0)))</f>
        <v/>
      </c>
      <c r="BI20" s="72">
        <f>IF($A20="","",IF(P20="",0,IF(P20=IF($B20="언어와 매체",자동계산!$D$15,자동계산!$B$15),IF($B20="언어와 매체",자동계산!$E$15,자동계산!$C$15),0)))</f>
        <v/>
      </c>
      <c r="BJ20" s="72">
        <f>IF($A20="","",IF(Q20="",0,IF(Q20=IF($B20="언어와 매체",자동계산!$D$16,자동계산!$B$16),IF($B20="언어와 매체",자동계산!$E$16,자동계산!$C$16),0)))</f>
        <v/>
      </c>
      <c r="BK20" s="72">
        <f>IF($A20="","",IF(R20="",0,IF(R20=IF($B20="언어와 매체",자동계산!$D$17,자동계산!$B$17),IF($B20="언어와 매체",자동계산!$E$17,자동계산!$C$17),0)))</f>
        <v/>
      </c>
      <c r="BL20" s="72">
        <f>IF($A20="","",IF(S20="",0,IF(S20=IF($B20="언어와 매체",자동계산!$D$18,자동계산!$B$18),IF($B20="언어와 매체",자동계산!$E$18,자동계산!$C$18),0)))</f>
        <v/>
      </c>
      <c r="BM20" s="72">
        <f>IF($A20="","",IF(T20="",0,IF(T20=IF($B20="언어와 매체",자동계산!$D$19,자동계산!$B$19),IF($B20="언어와 매체",자동계산!$E$19,자동계산!$C$19),0)))</f>
        <v/>
      </c>
      <c r="BN20" s="72">
        <f>IF($A20="","",IF(U20="",0,IF(U20=IF($B20="언어와 매체",자동계산!$D$20,자동계산!$B$20),IF($B20="언어와 매체",자동계산!$E$20,자동계산!$C$20),0)))</f>
        <v/>
      </c>
      <c r="BO20" s="72">
        <f>IF($A20="","",IF(V20="",0,IF(V20=IF($B20="언어와 매체",자동계산!$D$21,자동계산!$B$21),IF($B20="언어와 매체",자동계산!$E$21,자동계산!$C$21),0)))</f>
        <v/>
      </c>
      <c r="BP20" s="72">
        <f>IF($A20="","",IF(W20="",0,IF(W20=IF($B20="언어와 매체",자동계산!$D$22,자동계산!$B$22),IF($B20="언어와 매체",자동계산!$E$22,자동계산!$C$22),0)))</f>
        <v/>
      </c>
      <c r="BQ20" s="72">
        <f>IF($A20="","",IF(X20="",0,IF(X20=IF($B20="언어와 매체",자동계산!$D$23,자동계산!$B$23),IF($B20="언어와 매체",자동계산!$E$23,자동계산!$C$23),0)))</f>
        <v/>
      </c>
      <c r="BR20" s="72">
        <f>IF($A20="","",IF(Y20="",0,IF(Y20=IF($B20="언어와 매체",자동계산!$D$24,자동계산!$B$24),IF($B20="언어와 매체",자동계산!$E$24,자동계산!$C$24),0)))</f>
        <v/>
      </c>
      <c r="BS20" s="72">
        <f>IF($A20="","",IF(Z20="",0,IF(Z20=IF($B20="언어와 매체",자동계산!$D$25,자동계산!$B$25),IF($B20="언어와 매체",자동계산!$E$25,자동계산!$C$25),0)))</f>
        <v/>
      </c>
      <c r="BT20" s="72">
        <f>IF($A20="","",IF(AA20="",0,IF(AA20=IF($B20="언어와 매체",자동계산!$D$26,자동계산!$B$26),IF($B20="언어와 매체",자동계산!$E$26,자동계산!$C$26),0)))</f>
        <v/>
      </c>
      <c r="BU20" s="72">
        <f>IF($A20="","",IF(AB20="",0,IF(AB20=IF($B20="언어와 매체",자동계산!$D$27,자동계산!$B$27),IF($B20="언어와 매체",자동계산!$E$27,자동계산!$C$27),0)))</f>
        <v/>
      </c>
      <c r="BV20" s="72">
        <f>IF($A20="","",IF(AC20="",0,IF(AC20=IF($B20="언어와 매체",자동계산!$D$28,자동계산!$B$28),IF($B20="언어와 매체",자동계산!$E$28,자동계산!$C$28),0)))</f>
        <v/>
      </c>
      <c r="BW20" s="72">
        <f>IF($A20="","",IF(AD20="",0,IF(AD20=IF($B20="언어와 매체",자동계산!$D$29,자동계산!$B$29),IF($B20="언어와 매체",자동계산!$E$29,자동계산!$C$29),0)))</f>
        <v/>
      </c>
      <c r="BX20" s="72">
        <f>IF($A20="","",IF(AE20="",0,IF(AE20=IF($B20="언어와 매체",자동계산!$D$30,자동계산!$B$30),IF($B20="언어와 매체",자동계산!$E$30,자동계산!$C$30),0)))</f>
        <v/>
      </c>
      <c r="BY20" s="72">
        <f>IF($A20="","",IF(AF20="",0,IF(AF20=IF($B20="언어와 매체",자동계산!$D$31,자동계산!$B$31),IF($B20="언어와 매체",자동계산!$E$31,자동계산!$C$31),0)))</f>
        <v/>
      </c>
      <c r="BZ20" s="72">
        <f>IF($A20="","",IF(AG20="",0,IF(AG20=IF($B20="언어와 매체",자동계산!$D$32,자동계산!$B$32),IF($B20="언어와 매체",자동계산!$E$32,자동계산!$C$32),0)))</f>
        <v/>
      </c>
      <c r="CA20" s="72">
        <f>IF($A20="","",IF(AH20="",0,IF(AH20=IF($B20="언어와 매체",자동계산!$D$33,자동계산!$B$33),IF($B20="언어와 매체",자동계산!$E$33,자동계산!$C$33),0)))</f>
        <v/>
      </c>
      <c r="CB20" s="72">
        <f>IF($A20="","",IF(AI20="",0,IF(AI20=IF($B20="언어와 매체",자동계산!$D$34,자동계산!$B$34),IF($B20="언어와 매체",자동계산!$E$34,자동계산!$C$34),0)))</f>
        <v/>
      </c>
      <c r="CC20" s="72">
        <f>IF($A20="","",IF(AJ20="",0,IF(AJ20=IF($B20="언어와 매체",자동계산!$D$35,자동계산!$B$35),IF($B20="언어와 매체",자동계산!$E$35,자동계산!$C$35),0)))</f>
        <v/>
      </c>
      <c r="CD20" s="72">
        <f>IF($A20="","",IF(AK20="",0,IF(AK20=IF($B20="언어와 매체",자동계산!$D$36,자동계산!$B$36),IF($B20="언어와 매체",자동계산!$E$36,자동계산!$C$36),0)))</f>
        <v/>
      </c>
      <c r="CE20" s="72">
        <f>IF($A20="","",IF(AL20="",0,IF(AL20=IF($B20="언어와 매체",자동계산!$D$37,자동계산!$B$37),IF($B20="언어와 매체",자동계산!$E$37,자동계산!$C$37),0)))</f>
        <v/>
      </c>
      <c r="CF20" s="72">
        <f>IF($A20="","",IF(AM20="",0,IF(AM20=IF($B20="언어와 매체",자동계산!$D$38,자동계산!$B$38),IF($B20="언어와 매체",자동계산!$E$38,자동계산!$C$38),0)))</f>
        <v/>
      </c>
      <c r="CG20" s="72">
        <f>IF($A20="","",IF(AN20="",0,IF(AN20=IF($B20="언어와 매체",자동계산!$D$39,자동계산!$B$39),IF($B20="언어와 매체",자동계산!$E$39,자동계산!$C$39),0)))</f>
        <v/>
      </c>
      <c r="CH20" s="72">
        <f>IF($A20="","",IF(AO20="",0,IF(AO20=IF($B20="언어와 매체",자동계산!$D$40,자동계산!$B$40),IF($B20="언어와 매체",자동계산!$E$40,자동계산!$C$40),0)))</f>
        <v/>
      </c>
      <c r="CI20" s="72">
        <f>IF($A20="","",IF(AP20="",0,IF(AP20=IF($B20="언어와 매체",자동계산!$D$41,자동계산!$B$41),IF($B20="언어와 매체",자동계산!$E$41,자동계산!$C$41),0)))</f>
        <v/>
      </c>
      <c r="CJ20" s="72">
        <f>IF($A20="","",IF(AQ20="",0,IF(AQ20=IF($B20="언어와 매체",자동계산!$D$42,자동계산!$B$42),IF($B20="언어와 매체",자동계산!$E$42,자동계산!$C$42),0)))</f>
        <v/>
      </c>
      <c r="CK20" s="72">
        <f>IF($A20="","",IF(AR20="",0,IF(AR20=IF($B20="언어와 매체",자동계산!$D$43,자동계산!$B$43),IF($B20="언어와 매체",자동계산!$E$43,자동계산!$C$43),0)))</f>
        <v/>
      </c>
      <c r="CL20" s="72">
        <f>IF($A20="","",IF(AS20="",0,IF(AS20=IF($B20="언어와 매체",자동계산!$D$44,자동계산!$B$44),IF($B20="언어와 매체",자동계산!$E$44,자동계산!$C$44),0)))</f>
        <v/>
      </c>
      <c r="CM20" s="72">
        <f>IF($A20="","",IF(AT20="",0,IF(AT20=IF($B20="언어와 매체",자동계산!$D$45,자동계산!$B$45),IF($B20="언어와 매체",자동계산!$E$45,자동계산!$C$45),0)))</f>
        <v/>
      </c>
      <c r="CN20" s="72">
        <f>IF($A20="","",IF(AU20="",0,IF(AU20=IF($B20="언어와 매체",자동계산!$D$46,자동계산!$B$46),IF($B20="언어와 매체",자동계산!$E$46,자동계산!$C$46),0)))</f>
        <v/>
      </c>
      <c r="CO20" s="72">
        <f>IF($A20="","",IF(AV20="",0,IF(AV20=IF($B20="언어와 매체",자동계산!$D$47,자동계산!$B$47),IF($B20="언어와 매체",자동계산!$E$47,자동계산!$C$47),0)))</f>
        <v/>
      </c>
      <c r="CP20" s="72">
        <f>IF($A20="","",IF(AW20="",0,IF(AW20=IF($B20="언어와 매체",자동계산!$D$48,자동계산!$B$48),IF($B20="언어와 매체",자동계산!$E$48,자동계산!$C$48),0)))</f>
        <v/>
      </c>
    </row>
    <row r="21">
      <c r="A21" s="70">
        <f>IF(답안입력!A21="","",답안입력!A21)</f>
        <v/>
      </c>
      <c r="B21" s="70">
        <f>IF($A21="","",답안입력!C21)</f>
        <v/>
      </c>
      <c r="C21" s="71">
        <f>IF($A21="","",SUM(AX21:CP21))</f>
        <v/>
      </c>
      <c r="D21" s="70">
        <f>IF($A21="","",IF($C21&gt;=IF($B21="언어와 매체",회차설정!$B$9,회차설정!$B$8),"1등급",IF($C21&gt;=IF($B21="언어와 매체",회차설정!$C$9,회차설정!$C$8),"2등급",IF($C21&gt;=IF($B21="언어와 매체",회차설정!$D$9,회차설정!$D$8),"3등급",IF($C21&gt;=IF($B21="언어와 매체",회차설정!$E$9,회차설정!$E$8),"4등급","등급 외")))))</f>
        <v/>
      </c>
      <c r="E21" s="72">
        <f>IF($A21="","",IF(LEN(답안입력!$D21)&gt;=1,VALUE(MID(답안입력!$D21,1,1)),IF(답안입력!E21="","",답안입력!E21)))</f>
        <v/>
      </c>
      <c r="F21" s="72">
        <f>IF($A21="","",IF(LEN(답안입력!$D21)&gt;=2,VALUE(MID(답안입력!$D21,2,1)),IF(답안입력!F21="","",답안입력!F21)))</f>
        <v/>
      </c>
      <c r="G21" s="72">
        <f>IF($A21="","",IF(LEN(답안입력!$D21)&gt;=3,VALUE(MID(답안입력!$D21,3,1)),IF(답안입력!G21="","",답안입력!G21)))</f>
        <v/>
      </c>
      <c r="H21" s="72">
        <f>IF($A21="","",IF(LEN(답안입력!$D21)&gt;=4,VALUE(MID(답안입력!$D21,4,1)),IF(답안입력!H21="","",답안입력!H21)))</f>
        <v/>
      </c>
      <c r="I21" s="72">
        <f>IF($A21="","",IF(LEN(답안입력!$D21)&gt;=5,VALUE(MID(답안입력!$D21,5,1)),IF(답안입력!I21="","",답안입력!I21)))</f>
        <v/>
      </c>
      <c r="J21" s="72">
        <f>IF($A21="","",IF(LEN(답안입력!$D21)&gt;=6,VALUE(MID(답안입력!$D21,6,1)),IF(답안입력!J21="","",답안입력!J21)))</f>
        <v/>
      </c>
      <c r="K21" s="72">
        <f>IF($A21="","",IF(LEN(답안입력!$D21)&gt;=7,VALUE(MID(답안입력!$D21,7,1)),IF(답안입력!K21="","",답안입력!K21)))</f>
        <v/>
      </c>
      <c r="L21" s="72">
        <f>IF($A21="","",IF(LEN(답안입력!$D21)&gt;=8,VALUE(MID(답안입력!$D21,8,1)),IF(답안입력!L21="","",답안입력!L21)))</f>
        <v/>
      </c>
      <c r="M21" s="72">
        <f>IF($A21="","",IF(LEN(답안입력!$D21)&gt;=9,VALUE(MID(답안입력!$D21,9,1)),IF(답안입력!M21="","",답안입력!M21)))</f>
        <v/>
      </c>
      <c r="N21" s="72">
        <f>IF($A21="","",IF(LEN(답안입력!$D21)&gt;=10,VALUE(MID(답안입력!$D21,10,1)),IF(답안입력!N21="","",답안입력!N21)))</f>
        <v/>
      </c>
      <c r="O21" s="72">
        <f>IF($A21="","",IF(LEN(답안입력!$D21)&gt;=11,VALUE(MID(답안입력!$D21,11,1)),IF(답안입력!O21="","",답안입력!O21)))</f>
        <v/>
      </c>
      <c r="P21" s="72">
        <f>IF($A21="","",IF(LEN(답안입력!$D21)&gt;=12,VALUE(MID(답안입력!$D21,12,1)),IF(답안입력!P21="","",답안입력!P21)))</f>
        <v/>
      </c>
      <c r="Q21" s="72">
        <f>IF($A21="","",IF(LEN(답안입력!$D21)&gt;=13,VALUE(MID(답안입력!$D21,13,1)),IF(답안입력!Q21="","",답안입력!Q21)))</f>
        <v/>
      </c>
      <c r="R21" s="72">
        <f>IF($A21="","",IF(LEN(답안입력!$D21)&gt;=14,VALUE(MID(답안입력!$D21,14,1)),IF(답안입력!R21="","",답안입력!R21)))</f>
        <v/>
      </c>
      <c r="S21" s="72">
        <f>IF($A21="","",IF(LEN(답안입력!$D21)&gt;=15,VALUE(MID(답안입력!$D21,15,1)),IF(답안입력!S21="","",답안입력!S21)))</f>
        <v/>
      </c>
      <c r="T21" s="72">
        <f>IF($A21="","",IF(LEN(답안입력!$D21)&gt;=16,VALUE(MID(답안입력!$D21,16,1)),IF(답안입력!T21="","",답안입력!T21)))</f>
        <v/>
      </c>
      <c r="U21" s="72">
        <f>IF($A21="","",IF(LEN(답안입력!$D21)&gt;=17,VALUE(MID(답안입력!$D21,17,1)),IF(답안입력!U21="","",답안입력!U21)))</f>
        <v/>
      </c>
      <c r="V21" s="72">
        <f>IF($A21="","",IF(LEN(답안입력!$D21)&gt;=18,VALUE(MID(답안입력!$D21,18,1)),IF(답안입력!V21="","",답안입력!V21)))</f>
        <v/>
      </c>
      <c r="W21" s="72">
        <f>IF($A21="","",IF(LEN(답안입력!$D21)&gt;=19,VALUE(MID(답안입력!$D21,19,1)),IF(답안입력!W21="","",답안입력!W21)))</f>
        <v/>
      </c>
      <c r="X21" s="72">
        <f>IF($A21="","",IF(LEN(답안입력!$D21)&gt;=20,VALUE(MID(답안입력!$D21,20,1)),IF(답안입력!X21="","",답안입력!X21)))</f>
        <v/>
      </c>
      <c r="Y21" s="72">
        <f>IF($A21="","",IF(LEN(답안입력!$D21)&gt;=21,VALUE(MID(답안입력!$D21,21,1)),IF(답안입력!Y21="","",답안입력!Y21)))</f>
        <v/>
      </c>
      <c r="Z21" s="72">
        <f>IF($A21="","",IF(LEN(답안입력!$D21)&gt;=22,VALUE(MID(답안입력!$D21,22,1)),IF(답안입력!Z21="","",답안입력!Z21)))</f>
        <v/>
      </c>
      <c r="AA21" s="72">
        <f>IF($A21="","",IF(LEN(답안입력!$D21)&gt;=23,VALUE(MID(답안입력!$D21,23,1)),IF(답안입력!AA21="","",답안입력!AA21)))</f>
        <v/>
      </c>
      <c r="AB21" s="72">
        <f>IF($A21="","",IF(LEN(답안입력!$D21)&gt;=24,VALUE(MID(답안입력!$D21,24,1)),IF(답안입력!AB21="","",답안입력!AB21)))</f>
        <v/>
      </c>
      <c r="AC21" s="72">
        <f>IF($A21="","",IF(LEN(답안입력!$D21)&gt;=25,VALUE(MID(답안입력!$D21,25,1)),IF(답안입력!AC21="","",답안입력!AC21)))</f>
        <v/>
      </c>
      <c r="AD21" s="72">
        <f>IF($A21="","",IF(LEN(답안입력!$D21)&gt;=26,VALUE(MID(답안입력!$D21,26,1)),IF(답안입력!AD21="","",답안입력!AD21)))</f>
        <v/>
      </c>
      <c r="AE21" s="72">
        <f>IF($A21="","",IF(LEN(답안입력!$D21)&gt;=27,VALUE(MID(답안입력!$D21,27,1)),IF(답안입력!AE21="","",답안입력!AE21)))</f>
        <v/>
      </c>
      <c r="AF21" s="72">
        <f>IF($A21="","",IF(LEN(답안입력!$D21)&gt;=28,VALUE(MID(답안입력!$D21,28,1)),IF(답안입력!AF21="","",답안입력!AF21)))</f>
        <v/>
      </c>
      <c r="AG21" s="72">
        <f>IF($A21="","",IF(LEN(답안입력!$D21)&gt;=29,VALUE(MID(답안입력!$D21,29,1)),IF(답안입력!AG21="","",답안입력!AG21)))</f>
        <v/>
      </c>
      <c r="AH21" s="72">
        <f>IF($A21="","",IF(LEN(답안입력!$D21)&gt;=30,VALUE(MID(답안입력!$D21,30,1)),IF(답안입력!AH21="","",답안입력!AH21)))</f>
        <v/>
      </c>
      <c r="AI21" s="72">
        <f>IF($A21="","",IF(LEN(답안입력!$D21)&gt;=31,VALUE(MID(답안입력!$D21,31,1)),IF(답안입력!AI21="","",답안입력!AI21)))</f>
        <v/>
      </c>
      <c r="AJ21" s="72">
        <f>IF($A21="","",IF(LEN(답안입력!$D21)&gt;=32,VALUE(MID(답안입력!$D21,32,1)),IF(답안입력!AJ21="","",답안입력!AJ21)))</f>
        <v/>
      </c>
      <c r="AK21" s="72">
        <f>IF($A21="","",IF(LEN(답안입력!$D21)&gt;=33,VALUE(MID(답안입력!$D21,33,1)),IF(답안입력!AK21="","",답안입력!AK21)))</f>
        <v/>
      </c>
      <c r="AL21" s="72">
        <f>IF($A21="","",IF(LEN(답안입력!$D21)&gt;=34,VALUE(MID(답안입력!$D21,34,1)),IF(답안입력!AL21="","",답안입력!AL21)))</f>
        <v/>
      </c>
      <c r="AM21" s="72">
        <f>IF($A21="","",IF(LEN(답안입력!$D21)&gt;=35,VALUE(MID(답안입력!$D21,35,1)),IF(답안입력!AM21="","",답안입력!AM21)))</f>
        <v/>
      </c>
      <c r="AN21" s="72">
        <f>IF($A21="","",IF(LEN(답안입력!$D21)&gt;=36,VALUE(MID(답안입력!$D21,36,1)),IF(답안입력!AN21="","",답안입력!AN21)))</f>
        <v/>
      </c>
      <c r="AO21" s="72">
        <f>IF($A21="","",IF(LEN(답안입력!$D21)&gt;=37,VALUE(MID(답안입력!$D21,37,1)),IF(답안입력!AO21="","",답안입력!AO21)))</f>
        <v/>
      </c>
      <c r="AP21" s="72">
        <f>IF($A21="","",IF(LEN(답안입력!$D21)&gt;=38,VALUE(MID(답안입력!$D21,38,1)),IF(답안입력!AP21="","",답안입력!AP21)))</f>
        <v/>
      </c>
      <c r="AQ21" s="72">
        <f>IF($A21="","",IF(LEN(답안입력!$D21)&gt;=39,VALUE(MID(답안입력!$D21,39,1)),IF(답안입력!AQ21="","",답안입력!AQ21)))</f>
        <v/>
      </c>
      <c r="AR21" s="72">
        <f>IF($A21="","",IF(LEN(답안입력!$D21)&gt;=40,VALUE(MID(답안입력!$D21,40,1)),IF(답안입력!AR21="","",답안입력!AR21)))</f>
        <v/>
      </c>
      <c r="AS21" s="72">
        <f>IF($A21="","",IF(LEN(답안입력!$D21)&gt;=41,VALUE(MID(답안입력!$D21,41,1)),IF(답안입력!AS21="","",답안입력!AS21)))</f>
        <v/>
      </c>
      <c r="AT21" s="72">
        <f>IF($A21="","",IF(LEN(답안입력!$D21)&gt;=42,VALUE(MID(답안입력!$D21,42,1)),IF(답안입력!AT21="","",답안입력!AT21)))</f>
        <v/>
      </c>
      <c r="AU21" s="72">
        <f>IF($A21="","",IF(LEN(답안입력!$D21)&gt;=43,VALUE(MID(답안입력!$D21,43,1)),IF(답안입력!AU21="","",답안입력!AU21)))</f>
        <v/>
      </c>
      <c r="AV21" s="72">
        <f>IF($A21="","",IF(LEN(답안입력!$D21)&gt;=44,VALUE(MID(답안입력!$D21,44,1)),IF(답안입력!AV21="","",답안입력!AV21)))</f>
        <v/>
      </c>
      <c r="AW21" s="72">
        <f>IF($A21="","",IF(LEN(답안입력!$D21)&gt;=45,VALUE(MID(답안입력!$D21,45,1)),IF(답안입력!AW21="","",답안입력!AW21)))</f>
        <v/>
      </c>
      <c r="AX21" s="72">
        <f>IF($A21="","",IF(E21="",0,IF(E21=IF($B21="언어와 매체",자동계산!$D$4,자동계산!$B$4),IF($B21="언어와 매체",자동계산!$E$4,자동계산!$C$4),0)))</f>
        <v/>
      </c>
      <c r="AY21" s="72">
        <f>IF($A21="","",IF(F21="",0,IF(F21=IF($B21="언어와 매체",자동계산!$D$5,자동계산!$B$5),IF($B21="언어와 매체",자동계산!$E$5,자동계산!$C$5),0)))</f>
        <v/>
      </c>
      <c r="AZ21" s="72">
        <f>IF($A21="","",IF(G21="",0,IF(G21=IF($B21="언어와 매체",자동계산!$D$6,자동계산!$B$6),IF($B21="언어와 매체",자동계산!$E$6,자동계산!$C$6),0)))</f>
        <v/>
      </c>
      <c r="BA21" s="72">
        <f>IF($A21="","",IF(H21="",0,IF(H21=IF($B21="언어와 매체",자동계산!$D$7,자동계산!$B$7),IF($B21="언어와 매체",자동계산!$E$7,자동계산!$C$7),0)))</f>
        <v/>
      </c>
      <c r="BB21" s="72">
        <f>IF($A21="","",IF(I21="",0,IF(I21=IF($B21="언어와 매체",자동계산!$D$8,자동계산!$B$8),IF($B21="언어와 매체",자동계산!$E$8,자동계산!$C$8),0)))</f>
        <v/>
      </c>
      <c r="BC21" s="72">
        <f>IF($A21="","",IF(J21="",0,IF(J21=IF($B21="언어와 매체",자동계산!$D$9,자동계산!$B$9),IF($B21="언어와 매체",자동계산!$E$9,자동계산!$C$9),0)))</f>
        <v/>
      </c>
      <c r="BD21" s="72">
        <f>IF($A21="","",IF(K21="",0,IF(K21=IF($B21="언어와 매체",자동계산!$D$10,자동계산!$B$10),IF($B21="언어와 매체",자동계산!$E$10,자동계산!$C$10),0)))</f>
        <v/>
      </c>
      <c r="BE21" s="72">
        <f>IF($A21="","",IF(L21="",0,IF(L21=IF($B21="언어와 매체",자동계산!$D$11,자동계산!$B$11),IF($B21="언어와 매체",자동계산!$E$11,자동계산!$C$11),0)))</f>
        <v/>
      </c>
      <c r="BF21" s="72">
        <f>IF($A21="","",IF(M21="",0,IF(M21=IF($B21="언어와 매체",자동계산!$D$12,자동계산!$B$12),IF($B21="언어와 매체",자동계산!$E$12,자동계산!$C$12),0)))</f>
        <v/>
      </c>
      <c r="BG21" s="72">
        <f>IF($A21="","",IF(N21="",0,IF(N21=IF($B21="언어와 매체",자동계산!$D$13,자동계산!$B$13),IF($B21="언어와 매체",자동계산!$E$13,자동계산!$C$13),0)))</f>
        <v/>
      </c>
      <c r="BH21" s="72">
        <f>IF($A21="","",IF(O21="",0,IF(O21=IF($B21="언어와 매체",자동계산!$D$14,자동계산!$B$14),IF($B21="언어와 매체",자동계산!$E$14,자동계산!$C$14),0)))</f>
        <v/>
      </c>
      <c r="BI21" s="72">
        <f>IF($A21="","",IF(P21="",0,IF(P21=IF($B21="언어와 매체",자동계산!$D$15,자동계산!$B$15),IF($B21="언어와 매체",자동계산!$E$15,자동계산!$C$15),0)))</f>
        <v/>
      </c>
      <c r="BJ21" s="72">
        <f>IF($A21="","",IF(Q21="",0,IF(Q21=IF($B21="언어와 매체",자동계산!$D$16,자동계산!$B$16),IF($B21="언어와 매체",자동계산!$E$16,자동계산!$C$16),0)))</f>
        <v/>
      </c>
      <c r="BK21" s="72">
        <f>IF($A21="","",IF(R21="",0,IF(R21=IF($B21="언어와 매체",자동계산!$D$17,자동계산!$B$17),IF($B21="언어와 매체",자동계산!$E$17,자동계산!$C$17),0)))</f>
        <v/>
      </c>
      <c r="BL21" s="72">
        <f>IF($A21="","",IF(S21="",0,IF(S21=IF($B21="언어와 매체",자동계산!$D$18,자동계산!$B$18),IF($B21="언어와 매체",자동계산!$E$18,자동계산!$C$18),0)))</f>
        <v/>
      </c>
      <c r="BM21" s="72">
        <f>IF($A21="","",IF(T21="",0,IF(T21=IF($B21="언어와 매체",자동계산!$D$19,자동계산!$B$19),IF($B21="언어와 매체",자동계산!$E$19,자동계산!$C$19),0)))</f>
        <v/>
      </c>
      <c r="BN21" s="72">
        <f>IF($A21="","",IF(U21="",0,IF(U21=IF($B21="언어와 매체",자동계산!$D$20,자동계산!$B$20),IF($B21="언어와 매체",자동계산!$E$20,자동계산!$C$20),0)))</f>
        <v/>
      </c>
      <c r="BO21" s="72">
        <f>IF($A21="","",IF(V21="",0,IF(V21=IF($B21="언어와 매체",자동계산!$D$21,자동계산!$B$21),IF($B21="언어와 매체",자동계산!$E$21,자동계산!$C$21),0)))</f>
        <v/>
      </c>
      <c r="BP21" s="72">
        <f>IF($A21="","",IF(W21="",0,IF(W21=IF($B21="언어와 매체",자동계산!$D$22,자동계산!$B$22),IF($B21="언어와 매체",자동계산!$E$22,자동계산!$C$22),0)))</f>
        <v/>
      </c>
      <c r="BQ21" s="72">
        <f>IF($A21="","",IF(X21="",0,IF(X21=IF($B21="언어와 매체",자동계산!$D$23,자동계산!$B$23),IF($B21="언어와 매체",자동계산!$E$23,자동계산!$C$23),0)))</f>
        <v/>
      </c>
      <c r="BR21" s="72">
        <f>IF($A21="","",IF(Y21="",0,IF(Y21=IF($B21="언어와 매체",자동계산!$D$24,자동계산!$B$24),IF($B21="언어와 매체",자동계산!$E$24,자동계산!$C$24),0)))</f>
        <v/>
      </c>
      <c r="BS21" s="72">
        <f>IF($A21="","",IF(Z21="",0,IF(Z21=IF($B21="언어와 매체",자동계산!$D$25,자동계산!$B$25),IF($B21="언어와 매체",자동계산!$E$25,자동계산!$C$25),0)))</f>
        <v/>
      </c>
      <c r="BT21" s="72">
        <f>IF($A21="","",IF(AA21="",0,IF(AA21=IF($B21="언어와 매체",자동계산!$D$26,자동계산!$B$26),IF($B21="언어와 매체",자동계산!$E$26,자동계산!$C$26),0)))</f>
        <v/>
      </c>
      <c r="BU21" s="72">
        <f>IF($A21="","",IF(AB21="",0,IF(AB21=IF($B21="언어와 매체",자동계산!$D$27,자동계산!$B$27),IF($B21="언어와 매체",자동계산!$E$27,자동계산!$C$27),0)))</f>
        <v/>
      </c>
      <c r="BV21" s="72">
        <f>IF($A21="","",IF(AC21="",0,IF(AC21=IF($B21="언어와 매체",자동계산!$D$28,자동계산!$B$28),IF($B21="언어와 매체",자동계산!$E$28,자동계산!$C$28),0)))</f>
        <v/>
      </c>
      <c r="BW21" s="72">
        <f>IF($A21="","",IF(AD21="",0,IF(AD21=IF($B21="언어와 매체",자동계산!$D$29,자동계산!$B$29),IF($B21="언어와 매체",자동계산!$E$29,자동계산!$C$29),0)))</f>
        <v/>
      </c>
      <c r="BX21" s="72">
        <f>IF($A21="","",IF(AE21="",0,IF(AE21=IF($B21="언어와 매체",자동계산!$D$30,자동계산!$B$30),IF($B21="언어와 매체",자동계산!$E$30,자동계산!$C$30),0)))</f>
        <v/>
      </c>
      <c r="BY21" s="72">
        <f>IF($A21="","",IF(AF21="",0,IF(AF21=IF($B21="언어와 매체",자동계산!$D$31,자동계산!$B$31),IF($B21="언어와 매체",자동계산!$E$31,자동계산!$C$31),0)))</f>
        <v/>
      </c>
      <c r="BZ21" s="72">
        <f>IF($A21="","",IF(AG21="",0,IF(AG21=IF($B21="언어와 매체",자동계산!$D$32,자동계산!$B$32),IF($B21="언어와 매체",자동계산!$E$32,자동계산!$C$32),0)))</f>
        <v/>
      </c>
      <c r="CA21" s="72">
        <f>IF($A21="","",IF(AH21="",0,IF(AH21=IF($B21="언어와 매체",자동계산!$D$33,자동계산!$B$33),IF($B21="언어와 매체",자동계산!$E$33,자동계산!$C$33),0)))</f>
        <v/>
      </c>
      <c r="CB21" s="72">
        <f>IF($A21="","",IF(AI21="",0,IF(AI21=IF($B21="언어와 매체",자동계산!$D$34,자동계산!$B$34),IF($B21="언어와 매체",자동계산!$E$34,자동계산!$C$34),0)))</f>
        <v/>
      </c>
      <c r="CC21" s="72">
        <f>IF($A21="","",IF(AJ21="",0,IF(AJ21=IF($B21="언어와 매체",자동계산!$D$35,자동계산!$B$35),IF($B21="언어와 매체",자동계산!$E$35,자동계산!$C$35),0)))</f>
        <v/>
      </c>
      <c r="CD21" s="72">
        <f>IF($A21="","",IF(AK21="",0,IF(AK21=IF($B21="언어와 매체",자동계산!$D$36,자동계산!$B$36),IF($B21="언어와 매체",자동계산!$E$36,자동계산!$C$36),0)))</f>
        <v/>
      </c>
      <c r="CE21" s="72">
        <f>IF($A21="","",IF(AL21="",0,IF(AL21=IF($B21="언어와 매체",자동계산!$D$37,자동계산!$B$37),IF($B21="언어와 매체",자동계산!$E$37,자동계산!$C$37),0)))</f>
        <v/>
      </c>
      <c r="CF21" s="72">
        <f>IF($A21="","",IF(AM21="",0,IF(AM21=IF($B21="언어와 매체",자동계산!$D$38,자동계산!$B$38),IF($B21="언어와 매체",자동계산!$E$38,자동계산!$C$38),0)))</f>
        <v/>
      </c>
      <c r="CG21" s="72">
        <f>IF($A21="","",IF(AN21="",0,IF(AN21=IF($B21="언어와 매체",자동계산!$D$39,자동계산!$B$39),IF($B21="언어와 매체",자동계산!$E$39,자동계산!$C$39),0)))</f>
        <v/>
      </c>
      <c r="CH21" s="72">
        <f>IF($A21="","",IF(AO21="",0,IF(AO21=IF($B21="언어와 매체",자동계산!$D$40,자동계산!$B$40),IF($B21="언어와 매체",자동계산!$E$40,자동계산!$C$40),0)))</f>
        <v/>
      </c>
      <c r="CI21" s="72">
        <f>IF($A21="","",IF(AP21="",0,IF(AP21=IF($B21="언어와 매체",자동계산!$D$41,자동계산!$B$41),IF($B21="언어와 매체",자동계산!$E$41,자동계산!$C$41),0)))</f>
        <v/>
      </c>
      <c r="CJ21" s="72">
        <f>IF($A21="","",IF(AQ21="",0,IF(AQ21=IF($B21="언어와 매체",자동계산!$D$42,자동계산!$B$42),IF($B21="언어와 매체",자동계산!$E$42,자동계산!$C$42),0)))</f>
        <v/>
      </c>
      <c r="CK21" s="72">
        <f>IF($A21="","",IF(AR21="",0,IF(AR21=IF($B21="언어와 매체",자동계산!$D$43,자동계산!$B$43),IF($B21="언어와 매체",자동계산!$E$43,자동계산!$C$43),0)))</f>
        <v/>
      </c>
      <c r="CL21" s="72">
        <f>IF($A21="","",IF(AS21="",0,IF(AS21=IF($B21="언어와 매체",자동계산!$D$44,자동계산!$B$44),IF($B21="언어와 매체",자동계산!$E$44,자동계산!$C$44),0)))</f>
        <v/>
      </c>
      <c r="CM21" s="72">
        <f>IF($A21="","",IF(AT21="",0,IF(AT21=IF($B21="언어와 매체",자동계산!$D$45,자동계산!$B$45),IF($B21="언어와 매체",자동계산!$E$45,자동계산!$C$45),0)))</f>
        <v/>
      </c>
      <c r="CN21" s="72">
        <f>IF($A21="","",IF(AU21="",0,IF(AU21=IF($B21="언어와 매체",자동계산!$D$46,자동계산!$B$46),IF($B21="언어와 매체",자동계산!$E$46,자동계산!$C$46),0)))</f>
        <v/>
      </c>
      <c r="CO21" s="72">
        <f>IF($A21="","",IF(AV21="",0,IF(AV21=IF($B21="언어와 매체",자동계산!$D$47,자동계산!$B$47),IF($B21="언어와 매체",자동계산!$E$47,자동계산!$C$47),0)))</f>
        <v/>
      </c>
      <c r="CP21" s="72">
        <f>IF($A21="","",IF(AW21="",0,IF(AW21=IF($B21="언어와 매체",자동계산!$D$48,자동계산!$B$48),IF($B21="언어와 매체",자동계산!$E$48,자동계산!$C$48),0)))</f>
        <v/>
      </c>
    </row>
    <row r="22">
      <c r="A22" s="70">
        <f>IF(답안입력!A22="","",답안입력!A22)</f>
        <v/>
      </c>
      <c r="B22" s="70">
        <f>IF($A22="","",답안입력!C22)</f>
        <v/>
      </c>
      <c r="C22" s="71">
        <f>IF($A22="","",SUM(AX22:CP22))</f>
        <v/>
      </c>
      <c r="D22" s="70">
        <f>IF($A22="","",IF($C22&gt;=IF($B22="언어와 매체",회차설정!$B$9,회차설정!$B$8),"1등급",IF($C22&gt;=IF($B22="언어와 매체",회차설정!$C$9,회차설정!$C$8),"2등급",IF($C22&gt;=IF($B22="언어와 매체",회차설정!$D$9,회차설정!$D$8),"3등급",IF($C22&gt;=IF($B22="언어와 매체",회차설정!$E$9,회차설정!$E$8),"4등급","등급 외")))))</f>
        <v/>
      </c>
      <c r="E22" s="72">
        <f>IF($A22="","",IF(LEN(답안입력!$D22)&gt;=1,VALUE(MID(답안입력!$D22,1,1)),IF(답안입력!E22="","",답안입력!E22)))</f>
        <v/>
      </c>
      <c r="F22" s="72">
        <f>IF($A22="","",IF(LEN(답안입력!$D22)&gt;=2,VALUE(MID(답안입력!$D22,2,1)),IF(답안입력!F22="","",답안입력!F22)))</f>
        <v/>
      </c>
      <c r="G22" s="72">
        <f>IF($A22="","",IF(LEN(답안입력!$D22)&gt;=3,VALUE(MID(답안입력!$D22,3,1)),IF(답안입력!G22="","",답안입력!G22)))</f>
        <v/>
      </c>
      <c r="H22" s="72">
        <f>IF($A22="","",IF(LEN(답안입력!$D22)&gt;=4,VALUE(MID(답안입력!$D22,4,1)),IF(답안입력!H22="","",답안입력!H22)))</f>
        <v/>
      </c>
      <c r="I22" s="72">
        <f>IF($A22="","",IF(LEN(답안입력!$D22)&gt;=5,VALUE(MID(답안입력!$D22,5,1)),IF(답안입력!I22="","",답안입력!I22)))</f>
        <v/>
      </c>
      <c r="J22" s="72">
        <f>IF($A22="","",IF(LEN(답안입력!$D22)&gt;=6,VALUE(MID(답안입력!$D22,6,1)),IF(답안입력!J22="","",답안입력!J22)))</f>
        <v/>
      </c>
      <c r="K22" s="72">
        <f>IF($A22="","",IF(LEN(답안입력!$D22)&gt;=7,VALUE(MID(답안입력!$D22,7,1)),IF(답안입력!K22="","",답안입력!K22)))</f>
        <v/>
      </c>
      <c r="L22" s="72">
        <f>IF($A22="","",IF(LEN(답안입력!$D22)&gt;=8,VALUE(MID(답안입력!$D22,8,1)),IF(답안입력!L22="","",답안입력!L22)))</f>
        <v/>
      </c>
      <c r="M22" s="72">
        <f>IF($A22="","",IF(LEN(답안입력!$D22)&gt;=9,VALUE(MID(답안입력!$D22,9,1)),IF(답안입력!M22="","",답안입력!M22)))</f>
        <v/>
      </c>
      <c r="N22" s="72">
        <f>IF($A22="","",IF(LEN(답안입력!$D22)&gt;=10,VALUE(MID(답안입력!$D22,10,1)),IF(답안입력!N22="","",답안입력!N22)))</f>
        <v/>
      </c>
      <c r="O22" s="72">
        <f>IF($A22="","",IF(LEN(답안입력!$D22)&gt;=11,VALUE(MID(답안입력!$D22,11,1)),IF(답안입력!O22="","",답안입력!O22)))</f>
        <v/>
      </c>
      <c r="P22" s="72">
        <f>IF($A22="","",IF(LEN(답안입력!$D22)&gt;=12,VALUE(MID(답안입력!$D22,12,1)),IF(답안입력!P22="","",답안입력!P22)))</f>
        <v/>
      </c>
      <c r="Q22" s="72">
        <f>IF($A22="","",IF(LEN(답안입력!$D22)&gt;=13,VALUE(MID(답안입력!$D22,13,1)),IF(답안입력!Q22="","",답안입력!Q22)))</f>
        <v/>
      </c>
      <c r="R22" s="72">
        <f>IF($A22="","",IF(LEN(답안입력!$D22)&gt;=14,VALUE(MID(답안입력!$D22,14,1)),IF(답안입력!R22="","",답안입력!R22)))</f>
        <v/>
      </c>
      <c r="S22" s="72">
        <f>IF($A22="","",IF(LEN(답안입력!$D22)&gt;=15,VALUE(MID(답안입력!$D22,15,1)),IF(답안입력!S22="","",답안입력!S22)))</f>
        <v/>
      </c>
      <c r="T22" s="72">
        <f>IF($A22="","",IF(LEN(답안입력!$D22)&gt;=16,VALUE(MID(답안입력!$D22,16,1)),IF(답안입력!T22="","",답안입력!T22)))</f>
        <v/>
      </c>
      <c r="U22" s="72">
        <f>IF($A22="","",IF(LEN(답안입력!$D22)&gt;=17,VALUE(MID(답안입력!$D22,17,1)),IF(답안입력!U22="","",답안입력!U22)))</f>
        <v/>
      </c>
      <c r="V22" s="72">
        <f>IF($A22="","",IF(LEN(답안입력!$D22)&gt;=18,VALUE(MID(답안입력!$D22,18,1)),IF(답안입력!V22="","",답안입력!V22)))</f>
        <v/>
      </c>
      <c r="W22" s="72">
        <f>IF($A22="","",IF(LEN(답안입력!$D22)&gt;=19,VALUE(MID(답안입력!$D22,19,1)),IF(답안입력!W22="","",답안입력!W22)))</f>
        <v/>
      </c>
      <c r="X22" s="72">
        <f>IF($A22="","",IF(LEN(답안입력!$D22)&gt;=20,VALUE(MID(답안입력!$D22,20,1)),IF(답안입력!X22="","",답안입력!X22)))</f>
        <v/>
      </c>
      <c r="Y22" s="72">
        <f>IF($A22="","",IF(LEN(답안입력!$D22)&gt;=21,VALUE(MID(답안입력!$D22,21,1)),IF(답안입력!Y22="","",답안입력!Y22)))</f>
        <v/>
      </c>
      <c r="Z22" s="72">
        <f>IF($A22="","",IF(LEN(답안입력!$D22)&gt;=22,VALUE(MID(답안입력!$D22,22,1)),IF(답안입력!Z22="","",답안입력!Z22)))</f>
        <v/>
      </c>
      <c r="AA22" s="72">
        <f>IF($A22="","",IF(LEN(답안입력!$D22)&gt;=23,VALUE(MID(답안입력!$D22,23,1)),IF(답안입력!AA22="","",답안입력!AA22)))</f>
        <v/>
      </c>
      <c r="AB22" s="72">
        <f>IF($A22="","",IF(LEN(답안입력!$D22)&gt;=24,VALUE(MID(답안입력!$D22,24,1)),IF(답안입력!AB22="","",답안입력!AB22)))</f>
        <v/>
      </c>
      <c r="AC22" s="72">
        <f>IF($A22="","",IF(LEN(답안입력!$D22)&gt;=25,VALUE(MID(답안입력!$D22,25,1)),IF(답안입력!AC22="","",답안입력!AC22)))</f>
        <v/>
      </c>
      <c r="AD22" s="72">
        <f>IF($A22="","",IF(LEN(답안입력!$D22)&gt;=26,VALUE(MID(답안입력!$D22,26,1)),IF(답안입력!AD22="","",답안입력!AD22)))</f>
        <v/>
      </c>
      <c r="AE22" s="72">
        <f>IF($A22="","",IF(LEN(답안입력!$D22)&gt;=27,VALUE(MID(답안입력!$D22,27,1)),IF(답안입력!AE22="","",답안입력!AE22)))</f>
        <v/>
      </c>
      <c r="AF22" s="72">
        <f>IF($A22="","",IF(LEN(답안입력!$D22)&gt;=28,VALUE(MID(답안입력!$D22,28,1)),IF(답안입력!AF22="","",답안입력!AF22)))</f>
        <v/>
      </c>
      <c r="AG22" s="72">
        <f>IF($A22="","",IF(LEN(답안입력!$D22)&gt;=29,VALUE(MID(답안입력!$D22,29,1)),IF(답안입력!AG22="","",답안입력!AG22)))</f>
        <v/>
      </c>
      <c r="AH22" s="72">
        <f>IF($A22="","",IF(LEN(답안입력!$D22)&gt;=30,VALUE(MID(답안입력!$D22,30,1)),IF(답안입력!AH22="","",답안입력!AH22)))</f>
        <v/>
      </c>
      <c r="AI22" s="72">
        <f>IF($A22="","",IF(LEN(답안입력!$D22)&gt;=31,VALUE(MID(답안입력!$D22,31,1)),IF(답안입력!AI22="","",답안입력!AI22)))</f>
        <v/>
      </c>
      <c r="AJ22" s="72">
        <f>IF($A22="","",IF(LEN(답안입력!$D22)&gt;=32,VALUE(MID(답안입력!$D22,32,1)),IF(답안입력!AJ22="","",답안입력!AJ22)))</f>
        <v/>
      </c>
      <c r="AK22" s="72">
        <f>IF($A22="","",IF(LEN(답안입력!$D22)&gt;=33,VALUE(MID(답안입력!$D22,33,1)),IF(답안입력!AK22="","",답안입력!AK22)))</f>
        <v/>
      </c>
      <c r="AL22" s="72">
        <f>IF($A22="","",IF(LEN(답안입력!$D22)&gt;=34,VALUE(MID(답안입력!$D22,34,1)),IF(답안입력!AL22="","",답안입력!AL22)))</f>
        <v/>
      </c>
      <c r="AM22" s="72">
        <f>IF($A22="","",IF(LEN(답안입력!$D22)&gt;=35,VALUE(MID(답안입력!$D22,35,1)),IF(답안입력!AM22="","",답안입력!AM22)))</f>
        <v/>
      </c>
      <c r="AN22" s="72">
        <f>IF($A22="","",IF(LEN(답안입력!$D22)&gt;=36,VALUE(MID(답안입력!$D22,36,1)),IF(답안입력!AN22="","",답안입력!AN22)))</f>
        <v/>
      </c>
      <c r="AO22" s="72">
        <f>IF($A22="","",IF(LEN(답안입력!$D22)&gt;=37,VALUE(MID(답안입력!$D22,37,1)),IF(답안입력!AO22="","",답안입력!AO22)))</f>
        <v/>
      </c>
      <c r="AP22" s="72">
        <f>IF($A22="","",IF(LEN(답안입력!$D22)&gt;=38,VALUE(MID(답안입력!$D22,38,1)),IF(답안입력!AP22="","",답안입력!AP22)))</f>
        <v/>
      </c>
      <c r="AQ22" s="72">
        <f>IF($A22="","",IF(LEN(답안입력!$D22)&gt;=39,VALUE(MID(답안입력!$D22,39,1)),IF(답안입력!AQ22="","",답안입력!AQ22)))</f>
        <v/>
      </c>
      <c r="AR22" s="72">
        <f>IF($A22="","",IF(LEN(답안입력!$D22)&gt;=40,VALUE(MID(답안입력!$D22,40,1)),IF(답안입력!AR22="","",답안입력!AR22)))</f>
        <v/>
      </c>
      <c r="AS22" s="72">
        <f>IF($A22="","",IF(LEN(답안입력!$D22)&gt;=41,VALUE(MID(답안입력!$D22,41,1)),IF(답안입력!AS22="","",답안입력!AS22)))</f>
        <v/>
      </c>
      <c r="AT22" s="72">
        <f>IF($A22="","",IF(LEN(답안입력!$D22)&gt;=42,VALUE(MID(답안입력!$D22,42,1)),IF(답안입력!AT22="","",답안입력!AT22)))</f>
        <v/>
      </c>
      <c r="AU22" s="72">
        <f>IF($A22="","",IF(LEN(답안입력!$D22)&gt;=43,VALUE(MID(답안입력!$D22,43,1)),IF(답안입력!AU22="","",답안입력!AU22)))</f>
        <v/>
      </c>
      <c r="AV22" s="72">
        <f>IF($A22="","",IF(LEN(답안입력!$D22)&gt;=44,VALUE(MID(답안입력!$D22,44,1)),IF(답안입력!AV22="","",답안입력!AV22)))</f>
        <v/>
      </c>
      <c r="AW22" s="72">
        <f>IF($A22="","",IF(LEN(답안입력!$D22)&gt;=45,VALUE(MID(답안입력!$D22,45,1)),IF(답안입력!AW22="","",답안입력!AW22)))</f>
        <v/>
      </c>
      <c r="AX22" s="72">
        <f>IF($A22="","",IF(E22="",0,IF(E22=IF($B22="언어와 매체",자동계산!$D$4,자동계산!$B$4),IF($B22="언어와 매체",자동계산!$E$4,자동계산!$C$4),0)))</f>
        <v/>
      </c>
      <c r="AY22" s="72">
        <f>IF($A22="","",IF(F22="",0,IF(F22=IF($B22="언어와 매체",자동계산!$D$5,자동계산!$B$5),IF($B22="언어와 매체",자동계산!$E$5,자동계산!$C$5),0)))</f>
        <v/>
      </c>
      <c r="AZ22" s="72">
        <f>IF($A22="","",IF(G22="",0,IF(G22=IF($B22="언어와 매체",자동계산!$D$6,자동계산!$B$6),IF($B22="언어와 매체",자동계산!$E$6,자동계산!$C$6),0)))</f>
        <v/>
      </c>
      <c r="BA22" s="72">
        <f>IF($A22="","",IF(H22="",0,IF(H22=IF($B22="언어와 매체",자동계산!$D$7,자동계산!$B$7),IF($B22="언어와 매체",자동계산!$E$7,자동계산!$C$7),0)))</f>
        <v/>
      </c>
      <c r="BB22" s="72">
        <f>IF($A22="","",IF(I22="",0,IF(I22=IF($B22="언어와 매체",자동계산!$D$8,자동계산!$B$8),IF($B22="언어와 매체",자동계산!$E$8,자동계산!$C$8),0)))</f>
        <v/>
      </c>
      <c r="BC22" s="72">
        <f>IF($A22="","",IF(J22="",0,IF(J22=IF($B22="언어와 매체",자동계산!$D$9,자동계산!$B$9),IF($B22="언어와 매체",자동계산!$E$9,자동계산!$C$9),0)))</f>
        <v/>
      </c>
      <c r="BD22" s="72">
        <f>IF($A22="","",IF(K22="",0,IF(K22=IF($B22="언어와 매체",자동계산!$D$10,자동계산!$B$10),IF($B22="언어와 매체",자동계산!$E$10,자동계산!$C$10),0)))</f>
        <v/>
      </c>
      <c r="BE22" s="72">
        <f>IF($A22="","",IF(L22="",0,IF(L22=IF($B22="언어와 매체",자동계산!$D$11,자동계산!$B$11),IF($B22="언어와 매체",자동계산!$E$11,자동계산!$C$11),0)))</f>
        <v/>
      </c>
      <c r="BF22" s="72">
        <f>IF($A22="","",IF(M22="",0,IF(M22=IF($B22="언어와 매체",자동계산!$D$12,자동계산!$B$12),IF($B22="언어와 매체",자동계산!$E$12,자동계산!$C$12),0)))</f>
        <v/>
      </c>
      <c r="BG22" s="72">
        <f>IF($A22="","",IF(N22="",0,IF(N22=IF($B22="언어와 매체",자동계산!$D$13,자동계산!$B$13),IF($B22="언어와 매체",자동계산!$E$13,자동계산!$C$13),0)))</f>
        <v/>
      </c>
      <c r="BH22" s="72">
        <f>IF($A22="","",IF(O22="",0,IF(O22=IF($B22="언어와 매체",자동계산!$D$14,자동계산!$B$14),IF($B22="언어와 매체",자동계산!$E$14,자동계산!$C$14),0)))</f>
        <v/>
      </c>
      <c r="BI22" s="72">
        <f>IF($A22="","",IF(P22="",0,IF(P22=IF($B22="언어와 매체",자동계산!$D$15,자동계산!$B$15),IF($B22="언어와 매체",자동계산!$E$15,자동계산!$C$15),0)))</f>
        <v/>
      </c>
      <c r="BJ22" s="72">
        <f>IF($A22="","",IF(Q22="",0,IF(Q22=IF($B22="언어와 매체",자동계산!$D$16,자동계산!$B$16),IF($B22="언어와 매체",자동계산!$E$16,자동계산!$C$16),0)))</f>
        <v/>
      </c>
      <c r="BK22" s="72">
        <f>IF($A22="","",IF(R22="",0,IF(R22=IF($B22="언어와 매체",자동계산!$D$17,자동계산!$B$17),IF($B22="언어와 매체",자동계산!$E$17,자동계산!$C$17),0)))</f>
        <v/>
      </c>
      <c r="BL22" s="72">
        <f>IF($A22="","",IF(S22="",0,IF(S22=IF($B22="언어와 매체",자동계산!$D$18,자동계산!$B$18),IF($B22="언어와 매체",자동계산!$E$18,자동계산!$C$18),0)))</f>
        <v/>
      </c>
      <c r="BM22" s="72">
        <f>IF($A22="","",IF(T22="",0,IF(T22=IF($B22="언어와 매체",자동계산!$D$19,자동계산!$B$19),IF($B22="언어와 매체",자동계산!$E$19,자동계산!$C$19),0)))</f>
        <v/>
      </c>
      <c r="BN22" s="72">
        <f>IF($A22="","",IF(U22="",0,IF(U22=IF($B22="언어와 매체",자동계산!$D$20,자동계산!$B$20),IF($B22="언어와 매체",자동계산!$E$20,자동계산!$C$20),0)))</f>
        <v/>
      </c>
      <c r="BO22" s="72">
        <f>IF($A22="","",IF(V22="",0,IF(V22=IF($B22="언어와 매체",자동계산!$D$21,자동계산!$B$21),IF($B22="언어와 매체",자동계산!$E$21,자동계산!$C$21),0)))</f>
        <v/>
      </c>
      <c r="BP22" s="72">
        <f>IF($A22="","",IF(W22="",0,IF(W22=IF($B22="언어와 매체",자동계산!$D$22,자동계산!$B$22),IF($B22="언어와 매체",자동계산!$E$22,자동계산!$C$22),0)))</f>
        <v/>
      </c>
      <c r="BQ22" s="72">
        <f>IF($A22="","",IF(X22="",0,IF(X22=IF($B22="언어와 매체",자동계산!$D$23,자동계산!$B$23),IF($B22="언어와 매체",자동계산!$E$23,자동계산!$C$23),0)))</f>
        <v/>
      </c>
      <c r="BR22" s="72">
        <f>IF($A22="","",IF(Y22="",0,IF(Y22=IF($B22="언어와 매체",자동계산!$D$24,자동계산!$B$24),IF($B22="언어와 매체",자동계산!$E$24,자동계산!$C$24),0)))</f>
        <v/>
      </c>
      <c r="BS22" s="72">
        <f>IF($A22="","",IF(Z22="",0,IF(Z22=IF($B22="언어와 매체",자동계산!$D$25,자동계산!$B$25),IF($B22="언어와 매체",자동계산!$E$25,자동계산!$C$25),0)))</f>
        <v/>
      </c>
      <c r="BT22" s="72">
        <f>IF($A22="","",IF(AA22="",0,IF(AA22=IF($B22="언어와 매체",자동계산!$D$26,자동계산!$B$26),IF($B22="언어와 매체",자동계산!$E$26,자동계산!$C$26),0)))</f>
        <v/>
      </c>
      <c r="BU22" s="72">
        <f>IF($A22="","",IF(AB22="",0,IF(AB22=IF($B22="언어와 매체",자동계산!$D$27,자동계산!$B$27),IF($B22="언어와 매체",자동계산!$E$27,자동계산!$C$27),0)))</f>
        <v/>
      </c>
      <c r="BV22" s="72">
        <f>IF($A22="","",IF(AC22="",0,IF(AC22=IF($B22="언어와 매체",자동계산!$D$28,자동계산!$B$28),IF($B22="언어와 매체",자동계산!$E$28,자동계산!$C$28),0)))</f>
        <v/>
      </c>
      <c r="BW22" s="72">
        <f>IF($A22="","",IF(AD22="",0,IF(AD22=IF($B22="언어와 매체",자동계산!$D$29,자동계산!$B$29),IF($B22="언어와 매체",자동계산!$E$29,자동계산!$C$29),0)))</f>
        <v/>
      </c>
      <c r="BX22" s="72">
        <f>IF($A22="","",IF(AE22="",0,IF(AE22=IF($B22="언어와 매체",자동계산!$D$30,자동계산!$B$30),IF($B22="언어와 매체",자동계산!$E$30,자동계산!$C$30),0)))</f>
        <v/>
      </c>
      <c r="BY22" s="72">
        <f>IF($A22="","",IF(AF22="",0,IF(AF22=IF($B22="언어와 매체",자동계산!$D$31,자동계산!$B$31),IF($B22="언어와 매체",자동계산!$E$31,자동계산!$C$31),0)))</f>
        <v/>
      </c>
      <c r="BZ22" s="72">
        <f>IF($A22="","",IF(AG22="",0,IF(AG22=IF($B22="언어와 매체",자동계산!$D$32,자동계산!$B$32),IF($B22="언어와 매체",자동계산!$E$32,자동계산!$C$32),0)))</f>
        <v/>
      </c>
      <c r="CA22" s="72">
        <f>IF($A22="","",IF(AH22="",0,IF(AH22=IF($B22="언어와 매체",자동계산!$D$33,자동계산!$B$33),IF($B22="언어와 매체",자동계산!$E$33,자동계산!$C$33),0)))</f>
        <v/>
      </c>
      <c r="CB22" s="72">
        <f>IF($A22="","",IF(AI22="",0,IF(AI22=IF($B22="언어와 매체",자동계산!$D$34,자동계산!$B$34),IF($B22="언어와 매체",자동계산!$E$34,자동계산!$C$34),0)))</f>
        <v/>
      </c>
      <c r="CC22" s="72">
        <f>IF($A22="","",IF(AJ22="",0,IF(AJ22=IF($B22="언어와 매체",자동계산!$D$35,자동계산!$B$35),IF($B22="언어와 매체",자동계산!$E$35,자동계산!$C$35),0)))</f>
        <v/>
      </c>
      <c r="CD22" s="72">
        <f>IF($A22="","",IF(AK22="",0,IF(AK22=IF($B22="언어와 매체",자동계산!$D$36,자동계산!$B$36),IF($B22="언어와 매체",자동계산!$E$36,자동계산!$C$36),0)))</f>
        <v/>
      </c>
      <c r="CE22" s="72">
        <f>IF($A22="","",IF(AL22="",0,IF(AL22=IF($B22="언어와 매체",자동계산!$D$37,자동계산!$B$37),IF($B22="언어와 매체",자동계산!$E$37,자동계산!$C$37),0)))</f>
        <v/>
      </c>
      <c r="CF22" s="72">
        <f>IF($A22="","",IF(AM22="",0,IF(AM22=IF($B22="언어와 매체",자동계산!$D$38,자동계산!$B$38),IF($B22="언어와 매체",자동계산!$E$38,자동계산!$C$38),0)))</f>
        <v/>
      </c>
      <c r="CG22" s="72">
        <f>IF($A22="","",IF(AN22="",0,IF(AN22=IF($B22="언어와 매체",자동계산!$D$39,자동계산!$B$39),IF($B22="언어와 매체",자동계산!$E$39,자동계산!$C$39),0)))</f>
        <v/>
      </c>
      <c r="CH22" s="72">
        <f>IF($A22="","",IF(AO22="",0,IF(AO22=IF($B22="언어와 매체",자동계산!$D$40,자동계산!$B$40),IF($B22="언어와 매체",자동계산!$E$40,자동계산!$C$40),0)))</f>
        <v/>
      </c>
      <c r="CI22" s="72">
        <f>IF($A22="","",IF(AP22="",0,IF(AP22=IF($B22="언어와 매체",자동계산!$D$41,자동계산!$B$41),IF($B22="언어와 매체",자동계산!$E$41,자동계산!$C$41),0)))</f>
        <v/>
      </c>
      <c r="CJ22" s="72">
        <f>IF($A22="","",IF(AQ22="",0,IF(AQ22=IF($B22="언어와 매체",자동계산!$D$42,자동계산!$B$42),IF($B22="언어와 매체",자동계산!$E$42,자동계산!$C$42),0)))</f>
        <v/>
      </c>
      <c r="CK22" s="72">
        <f>IF($A22="","",IF(AR22="",0,IF(AR22=IF($B22="언어와 매체",자동계산!$D$43,자동계산!$B$43),IF($B22="언어와 매체",자동계산!$E$43,자동계산!$C$43),0)))</f>
        <v/>
      </c>
      <c r="CL22" s="72">
        <f>IF($A22="","",IF(AS22="",0,IF(AS22=IF($B22="언어와 매체",자동계산!$D$44,자동계산!$B$44),IF($B22="언어와 매체",자동계산!$E$44,자동계산!$C$44),0)))</f>
        <v/>
      </c>
      <c r="CM22" s="72">
        <f>IF($A22="","",IF(AT22="",0,IF(AT22=IF($B22="언어와 매체",자동계산!$D$45,자동계산!$B$45),IF($B22="언어와 매체",자동계산!$E$45,자동계산!$C$45),0)))</f>
        <v/>
      </c>
      <c r="CN22" s="72">
        <f>IF($A22="","",IF(AU22="",0,IF(AU22=IF($B22="언어와 매체",자동계산!$D$46,자동계산!$B$46),IF($B22="언어와 매체",자동계산!$E$46,자동계산!$C$46),0)))</f>
        <v/>
      </c>
      <c r="CO22" s="72">
        <f>IF($A22="","",IF(AV22="",0,IF(AV22=IF($B22="언어와 매체",자동계산!$D$47,자동계산!$B$47),IF($B22="언어와 매체",자동계산!$E$47,자동계산!$C$47),0)))</f>
        <v/>
      </c>
      <c r="CP22" s="72">
        <f>IF($A22="","",IF(AW22="",0,IF(AW22=IF($B22="언어와 매체",자동계산!$D$48,자동계산!$B$48),IF($B22="언어와 매체",자동계산!$E$48,자동계산!$C$48),0)))</f>
        <v/>
      </c>
    </row>
    <row r="23">
      <c r="A23" s="70">
        <f>IF(답안입력!A23="","",답안입력!A23)</f>
        <v/>
      </c>
      <c r="B23" s="70">
        <f>IF($A23="","",답안입력!C23)</f>
        <v/>
      </c>
      <c r="C23" s="71">
        <f>IF($A23="","",SUM(AX23:CP23))</f>
        <v/>
      </c>
      <c r="D23" s="70">
        <f>IF($A23="","",IF($C23&gt;=IF($B23="언어와 매체",회차설정!$B$9,회차설정!$B$8),"1등급",IF($C23&gt;=IF($B23="언어와 매체",회차설정!$C$9,회차설정!$C$8),"2등급",IF($C23&gt;=IF($B23="언어와 매체",회차설정!$D$9,회차설정!$D$8),"3등급",IF($C23&gt;=IF($B23="언어와 매체",회차설정!$E$9,회차설정!$E$8),"4등급","등급 외")))))</f>
        <v/>
      </c>
      <c r="E23" s="72">
        <f>IF($A23="","",IF(LEN(답안입력!$D23)&gt;=1,VALUE(MID(답안입력!$D23,1,1)),IF(답안입력!E23="","",답안입력!E23)))</f>
        <v/>
      </c>
      <c r="F23" s="72">
        <f>IF($A23="","",IF(LEN(답안입력!$D23)&gt;=2,VALUE(MID(답안입력!$D23,2,1)),IF(답안입력!F23="","",답안입력!F23)))</f>
        <v/>
      </c>
      <c r="G23" s="72">
        <f>IF($A23="","",IF(LEN(답안입력!$D23)&gt;=3,VALUE(MID(답안입력!$D23,3,1)),IF(답안입력!G23="","",답안입력!G23)))</f>
        <v/>
      </c>
      <c r="H23" s="72">
        <f>IF($A23="","",IF(LEN(답안입력!$D23)&gt;=4,VALUE(MID(답안입력!$D23,4,1)),IF(답안입력!H23="","",답안입력!H23)))</f>
        <v/>
      </c>
      <c r="I23" s="72">
        <f>IF($A23="","",IF(LEN(답안입력!$D23)&gt;=5,VALUE(MID(답안입력!$D23,5,1)),IF(답안입력!I23="","",답안입력!I23)))</f>
        <v/>
      </c>
      <c r="J23" s="72">
        <f>IF($A23="","",IF(LEN(답안입력!$D23)&gt;=6,VALUE(MID(답안입력!$D23,6,1)),IF(답안입력!J23="","",답안입력!J23)))</f>
        <v/>
      </c>
      <c r="K23" s="72">
        <f>IF($A23="","",IF(LEN(답안입력!$D23)&gt;=7,VALUE(MID(답안입력!$D23,7,1)),IF(답안입력!K23="","",답안입력!K23)))</f>
        <v/>
      </c>
      <c r="L23" s="72">
        <f>IF($A23="","",IF(LEN(답안입력!$D23)&gt;=8,VALUE(MID(답안입력!$D23,8,1)),IF(답안입력!L23="","",답안입력!L23)))</f>
        <v/>
      </c>
      <c r="M23" s="72">
        <f>IF($A23="","",IF(LEN(답안입력!$D23)&gt;=9,VALUE(MID(답안입력!$D23,9,1)),IF(답안입력!M23="","",답안입력!M23)))</f>
        <v/>
      </c>
      <c r="N23" s="72">
        <f>IF($A23="","",IF(LEN(답안입력!$D23)&gt;=10,VALUE(MID(답안입력!$D23,10,1)),IF(답안입력!N23="","",답안입력!N23)))</f>
        <v/>
      </c>
      <c r="O23" s="72">
        <f>IF($A23="","",IF(LEN(답안입력!$D23)&gt;=11,VALUE(MID(답안입력!$D23,11,1)),IF(답안입력!O23="","",답안입력!O23)))</f>
        <v/>
      </c>
      <c r="P23" s="72">
        <f>IF($A23="","",IF(LEN(답안입력!$D23)&gt;=12,VALUE(MID(답안입력!$D23,12,1)),IF(답안입력!P23="","",답안입력!P23)))</f>
        <v/>
      </c>
      <c r="Q23" s="72">
        <f>IF($A23="","",IF(LEN(답안입력!$D23)&gt;=13,VALUE(MID(답안입력!$D23,13,1)),IF(답안입력!Q23="","",답안입력!Q23)))</f>
        <v/>
      </c>
      <c r="R23" s="72">
        <f>IF($A23="","",IF(LEN(답안입력!$D23)&gt;=14,VALUE(MID(답안입력!$D23,14,1)),IF(답안입력!R23="","",답안입력!R23)))</f>
        <v/>
      </c>
      <c r="S23" s="72">
        <f>IF($A23="","",IF(LEN(답안입력!$D23)&gt;=15,VALUE(MID(답안입력!$D23,15,1)),IF(답안입력!S23="","",답안입력!S23)))</f>
        <v/>
      </c>
      <c r="T23" s="72">
        <f>IF($A23="","",IF(LEN(답안입력!$D23)&gt;=16,VALUE(MID(답안입력!$D23,16,1)),IF(답안입력!T23="","",답안입력!T23)))</f>
        <v/>
      </c>
      <c r="U23" s="72">
        <f>IF($A23="","",IF(LEN(답안입력!$D23)&gt;=17,VALUE(MID(답안입력!$D23,17,1)),IF(답안입력!U23="","",답안입력!U23)))</f>
        <v/>
      </c>
      <c r="V23" s="72">
        <f>IF($A23="","",IF(LEN(답안입력!$D23)&gt;=18,VALUE(MID(답안입력!$D23,18,1)),IF(답안입력!V23="","",답안입력!V23)))</f>
        <v/>
      </c>
      <c r="W23" s="72">
        <f>IF($A23="","",IF(LEN(답안입력!$D23)&gt;=19,VALUE(MID(답안입력!$D23,19,1)),IF(답안입력!W23="","",답안입력!W23)))</f>
        <v/>
      </c>
      <c r="X23" s="72">
        <f>IF($A23="","",IF(LEN(답안입력!$D23)&gt;=20,VALUE(MID(답안입력!$D23,20,1)),IF(답안입력!X23="","",답안입력!X23)))</f>
        <v/>
      </c>
      <c r="Y23" s="72">
        <f>IF($A23="","",IF(LEN(답안입력!$D23)&gt;=21,VALUE(MID(답안입력!$D23,21,1)),IF(답안입력!Y23="","",답안입력!Y23)))</f>
        <v/>
      </c>
      <c r="Z23" s="72">
        <f>IF($A23="","",IF(LEN(답안입력!$D23)&gt;=22,VALUE(MID(답안입력!$D23,22,1)),IF(답안입력!Z23="","",답안입력!Z23)))</f>
        <v/>
      </c>
      <c r="AA23" s="72">
        <f>IF($A23="","",IF(LEN(답안입력!$D23)&gt;=23,VALUE(MID(답안입력!$D23,23,1)),IF(답안입력!AA23="","",답안입력!AA23)))</f>
        <v/>
      </c>
      <c r="AB23" s="72">
        <f>IF($A23="","",IF(LEN(답안입력!$D23)&gt;=24,VALUE(MID(답안입력!$D23,24,1)),IF(답안입력!AB23="","",답안입력!AB23)))</f>
        <v/>
      </c>
      <c r="AC23" s="72">
        <f>IF($A23="","",IF(LEN(답안입력!$D23)&gt;=25,VALUE(MID(답안입력!$D23,25,1)),IF(답안입력!AC23="","",답안입력!AC23)))</f>
        <v/>
      </c>
      <c r="AD23" s="72">
        <f>IF($A23="","",IF(LEN(답안입력!$D23)&gt;=26,VALUE(MID(답안입력!$D23,26,1)),IF(답안입력!AD23="","",답안입력!AD23)))</f>
        <v/>
      </c>
      <c r="AE23" s="72">
        <f>IF($A23="","",IF(LEN(답안입력!$D23)&gt;=27,VALUE(MID(답안입력!$D23,27,1)),IF(답안입력!AE23="","",답안입력!AE23)))</f>
        <v/>
      </c>
      <c r="AF23" s="72">
        <f>IF($A23="","",IF(LEN(답안입력!$D23)&gt;=28,VALUE(MID(답안입력!$D23,28,1)),IF(답안입력!AF23="","",답안입력!AF23)))</f>
        <v/>
      </c>
      <c r="AG23" s="72">
        <f>IF($A23="","",IF(LEN(답안입력!$D23)&gt;=29,VALUE(MID(답안입력!$D23,29,1)),IF(답안입력!AG23="","",답안입력!AG23)))</f>
        <v/>
      </c>
      <c r="AH23" s="72">
        <f>IF($A23="","",IF(LEN(답안입력!$D23)&gt;=30,VALUE(MID(답안입력!$D23,30,1)),IF(답안입력!AH23="","",답안입력!AH23)))</f>
        <v/>
      </c>
      <c r="AI23" s="72">
        <f>IF($A23="","",IF(LEN(답안입력!$D23)&gt;=31,VALUE(MID(답안입력!$D23,31,1)),IF(답안입력!AI23="","",답안입력!AI23)))</f>
        <v/>
      </c>
      <c r="AJ23" s="72">
        <f>IF($A23="","",IF(LEN(답안입력!$D23)&gt;=32,VALUE(MID(답안입력!$D23,32,1)),IF(답안입력!AJ23="","",답안입력!AJ23)))</f>
        <v/>
      </c>
      <c r="AK23" s="72">
        <f>IF($A23="","",IF(LEN(답안입력!$D23)&gt;=33,VALUE(MID(답안입력!$D23,33,1)),IF(답안입력!AK23="","",답안입력!AK23)))</f>
        <v/>
      </c>
      <c r="AL23" s="72">
        <f>IF($A23="","",IF(LEN(답안입력!$D23)&gt;=34,VALUE(MID(답안입력!$D23,34,1)),IF(답안입력!AL23="","",답안입력!AL23)))</f>
        <v/>
      </c>
      <c r="AM23" s="72">
        <f>IF($A23="","",IF(LEN(답안입력!$D23)&gt;=35,VALUE(MID(답안입력!$D23,35,1)),IF(답안입력!AM23="","",답안입력!AM23)))</f>
        <v/>
      </c>
      <c r="AN23" s="72">
        <f>IF($A23="","",IF(LEN(답안입력!$D23)&gt;=36,VALUE(MID(답안입력!$D23,36,1)),IF(답안입력!AN23="","",답안입력!AN23)))</f>
        <v/>
      </c>
      <c r="AO23" s="72">
        <f>IF($A23="","",IF(LEN(답안입력!$D23)&gt;=37,VALUE(MID(답안입력!$D23,37,1)),IF(답안입력!AO23="","",답안입력!AO23)))</f>
        <v/>
      </c>
      <c r="AP23" s="72">
        <f>IF($A23="","",IF(LEN(답안입력!$D23)&gt;=38,VALUE(MID(답안입력!$D23,38,1)),IF(답안입력!AP23="","",답안입력!AP23)))</f>
        <v/>
      </c>
      <c r="AQ23" s="72">
        <f>IF($A23="","",IF(LEN(답안입력!$D23)&gt;=39,VALUE(MID(답안입력!$D23,39,1)),IF(답안입력!AQ23="","",답안입력!AQ23)))</f>
        <v/>
      </c>
      <c r="AR23" s="72">
        <f>IF($A23="","",IF(LEN(답안입력!$D23)&gt;=40,VALUE(MID(답안입력!$D23,40,1)),IF(답안입력!AR23="","",답안입력!AR23)))</f>
        <v/>
      </c>
      <c r="AS23" s="72">
        <f>IF($A23="","",IF(LEN(답안입력!$D23)&gt;=41,VALUE(MID(답안입력!$D23,41,1)),IF(답안입력!AS23="","",답안입력!AS23)))</f>
        <v/>
      </c>
      <c r="AT23" s="72">
        <f>IF($A23="","",IF(LEN(답안입력!$D23)&gt;=42,VALUE(MID(답안입력!$D23,42,1)),IF(답안입력!AT23="","",답안입력!AT23)))</f>
        <v/>
      </c>
      <c r="AU23" s="72">
        <f>IF($A23="","",IF(LEN(답안입력!$D23)&gt;=43,VALUE(MID(답안입력!$D23,43,1)),IF(답안입력!AU23="","",답안입력!AU23)))</f>
        <v/>
      </c>
      <c r="AV23" s="72">
        <f>IF($A23="","",IF(LEN(답안입력!$D23)&gt;=44,VALUE(MID(답안입력!$D23,44,1)),IF(답안입력!AV23="","",답안입력!AV23)))</f>
        <v/>
      </c>
      <c r="AW23" s="72">
        <f>IF($A23="","",IF(LEN(답안입력!$D23)&gt;=45,VALUE(MID(답안입력!$D23,45,1)),IF(답안입력!AW23="","",답안입력!AW23)))</f>
        <v/>
      </c>
      <c r="AX23" s="72">
        <f>IF($A23="","",IF(E23="",0,IF(E23=IF($B23="언어와 매체",자동계산!$D$4,자동계산!$B$4),IF($B23="언어와 매체",자동계산!$E$4,자동계산!$C$4),0)))</f>
        <v/>
      </c>
      <c r="AY23" s="72">
        <f>IF($A23="","",IF(F23="",0,IF(F23=IF($B23="언어와 매체",자동계산!$D$5,자동계산!$B$5),IF($B23="언어와 매체",자동계산!$E$5,자동계산!$C$5),0)))</f>
        <v/>
      </c>
      <c r="AZ23" s="72">
        <f>IF($A23="","",IF(G23="",0,IF(G23=IF($B23="언어와 매체",자동계산!$D$6,자동계산!$B$6),IF($B23="언어와 매체",자동계산!$E$6,자동계산!$C$6),0)))</f>
        <v/>
      </c>
      <c r="BA23" s="72">
        <f>IF($A23="","",IF(H23="",0,IF(H23=IF($B23="언어와 매체",자동계산!$D$7,자동계산!$B$7),IF($B23="언어와 매체",자동계산!$E$7,자동계산!$C$7),0)))</f>
        <v/>
      </c>
      <c r="BB23" s="72">
        <f>IF($A23="","",IF(I23="",0,IF(I23=IF($B23="언어와 매체",자동계산!$D$8,자동계산!$B$8),IF($B23="언어와 매체",자동계산!$E$8,자동계산!$C$8),0)))</f>
        <v/>
      </c>
      <c r="BC23" s="72">
        <f>IF($A23="","",IF(J23="",0,IF(J23=IF($B23="언어와 매체",자동계산!$D$9,자동계산!$B$9),IF($B23="언어와 매체",자동계산!$E$9,자동계산!$C$9),0)))</f>
        <v/>
      </c>
      <c r="BD23" s="72">
        <f>IF($A23="","",IF(K23="",0,IF(K23=IF($B23="언어와 매체",자동계산!$D$10,자동계산!$B$10),IF($B23="언어와 매체",자동계산!$E$10,자동계산!$C$10),0)))</f>
        <v/>
      </c>
      <c r="BE23" s="72">
        <f>IF($A23="","",IF(L23="",0,IF(L23=IF($B23="언어와 매체",자동계산!$D$11,자동계산!$B$11),IF($B23="언어와 매체",자동계산!$E$11,자동계산!$C$11),0)))</f>
        <v/>
      </c>
      <c r="BF23" s="72">
        <f>IF($A23="","",IF(M23="",0,IF(M23=IF($B23="언어와 매체",자동계산!$D$12,자동계산!$B$12),IF($B23="언어와 매체",자동계산!$E$12,자동계산!$C$12),0)))</f>
        <v/>
      </c>
      <c r="BG23" s="72">
        <f>IF($A23="","",IF(N23="",0,IF(N23=IF($B23="언어와 매체",자동계산!$D$13,자동계산!$B$13),IF($B23="언어와 매체",자동계산!$E$13,자동계산!$C$13),0)))</f>
        <v/>
      </c>
      <c r="BH23" s="72">
        <f>IF($A23="","",IF(O23="",0,IF(O23=IF($B23="언어와 매체",자동계산!$D$14,자동계산!$B$14),IF($B23="언어와 매체",자동계산!$E$14,자동계산!$C$14),0)))</f>
        <v/>
      </c>
      <c r="BI23" s="72">
        <f>IF($A23="","",IF(P23="",0,IF(P23=IF($B23="언어와 매체",자동계산!$D$15,자동계산!$B$15),IF($B23="언어와 매체",자동계산!$E$15,자동계산!$C$15),0)))</f>
        <v/>
      </c>
      <c r="BJ23" s="72">
        <f>IF($A23="","",IF(Q23="",0,IF(Q23=IF($B23="언어와 매체",자동계산!$D$16,자동계산!$B$16),IF($B23="언어와 매체",자동계산!$E$16,자동계산!$C$16),0)))</f>
        <v/>
      </c>
      <c r="BK23" s="72">
        <f>IF($A23="","",IF(R23="",0,IF(R23=IF($B23="언어와 매체",자동계산!$D$17,자동계산!$B$17),IF($B23="언어와 매체",자동계산!$E$17,자동계산!$C$17),0)))</f>
        <v/>
      </c>
      <c r="BL23" s="72">
        <f>IF($A23="","",IF(S23="",0,IF(S23=IF($B23="언어와 매체",자동계산!$D$18,자동계산!$B$18),IF($B23="언어와 매체",자동계산!$E$18,자동계산!$C$18),0)))</f>
        <v/>
      </c>
      <c r="BM23" s="72">
        <f>IF($A23="","",IF(T23="",0,IF(T23=IF($B23="언어와 매체",자동계산!$D$19,자동계산!$B$19),IF($B23="언어와 매체",자동계산!$E$19,자동계산!$C$19),0)))</f>
        <v/>
      </c>
      <c r="BN23" s="72">
        <f>IF($A23="","",IF(U23="",0,IF(U23=IF($B23="언어와 매체",자동계산!$D$20,자동계산!$B$20),IF($B23="언어와 매체",자동계산!$E$20,자동계산!$C$20),0)))</f>
        <v/>
      </c>
      <c r="BO23" s="72">
        <f>IF($A23="","",IF(V23="",0,IF(V23=IF($B23="언어와 매체",자동계산!$D$21,자동계산!$B$21),IF($B23="언어와 매체",자동계산!$E$21,자동계산!$C$21),0)))</f>
        <v/>
      </c>
      <c r="BP23" s="72">
        <f>IF($A23="","",IF(W23="",0,IF(W23=IF($B23="언어와 매체",자동계산!$D$22,자동계산!$B$22),IF($B23="언어와 매체",자동계산!$E$22,자동계산!$C$22),0)))</f>
        <v/>
      </c>
      <c r="BQ23" s="72">
        <f>IF($A23="","",IF(X23="",0,IF(X23=IF($B23="언어와 매체",자동계산!$D$23,자동계산!$B$23),IF($B23="언어와 매체",자동계산!$E$23,자동계산!$C$23),0)))</f>
        <v/>
      </c>
      <c r="BR23" s="72">
        <f>IF($A23="","",IF(Y23="",0,IF(Y23=IF($B23="언어와 매체",자동계산!$D$24,자동계산!$B$24),IF($B23="언어와 매체",자동계산!$E$24,자동계산!$C$24),0)))</f>
        <v/>
      </c>
      <c r="BS23" s="72">
        <f>IF($A23="","",IF(Z23="",0,IF(Z23=IF($B23="언어와 매체",자동계산!$D$25,자동계산!$B$25),IF($B23="언어와 매체",자동계산!$E$25,자동계산!$C$25),0)))</f>
        <v/>
      </c>
      <c r="BT23" s="72">
        <f>IF($A23="","",IF(AA23="",0,IF(AA23=IF($B23="언어와 매체",자동계산!$D$26,자동계산!$B$26),IF($B23="언어와 매체",자동계산!$E$26,자동계산!$C$26),0)))</f>
        <v/>
      </c>
      <c r="BU23" s="72">
        <f>IF($A23="","",IF(AB23="",0,IF(AB23=IF($B23="언어와 매체",자동계산!$D$27,자동계산!$B$27),IF($B23="언어와 매체",자동계산!$E$27,자동계산!$C$27),0)))</f>
        <v/>
      </c>
      <c r="BV23" s="72">
        <f>IF($A23="","",IF(AC23="",0,IF(AC23=IF($B23="언어와 매체",자동계산!$D$28,자동계산!$B$28),IF($B23="언어와 매체",자동계산!$E$28,자동계산!$C$28),0)))</f>
        <v/>
      </c>
      <c r="BW23" s="72">
        <f>IF($A23="","",IF(AD23="",0,IF(AD23=IF($B23="언어와 매체",자동계산!$D$29,자동계산!$B$29),IF($B23="언어와 매체",자동계산!$E$29,자동계산!$C$29),0)))</f>
        <v/>
      </c>
      <c r="BX23" s="72">
        <f>IF($A23="","",IF(AE23="",0,IF(AE23=IF($B23="언어와 매체",자동계산!$D$30,자동계산!$B$30),IF($B23="언어와 매체",자동계산!$E$30,자동계산!$C$30),0)))</f>
        <v/>
      </c>
      <c r="BY23" s="72">
        <f>IF($A23="","",IF(AF23="",0,IF(AF23=IF($B23="언어와 매체",자동계산!$D$31,자동계산!$B$31),IF($B23="언어와 매체",자동계산!$E$31,자동계산!$C$31),0)))</f>
        <v/>
      </c>
      <c r="BZ23" s="72">
        <f>IF($A23="","",IF(AG23="",0,IF(AG23=IF($B23="언어와 매체",자동계산!$D$32,자동계산!$B$32),IF($B23="언어와 매체",자동계산!$E$32,자동계산!$C$32),0)))</f>
        <v/>
      </c>
      <c r="CA23" s="72">
        <f>IF($A23="","",IF(AH23="",0,IF(AH23=IF($B23="언어와 매체",자동계산!$D$33,자동계산!$B$33),IF($B23="언어와 매체",자동계산!$E$33,자동계산!$C$33),0)))</f>
        <v/>
      </c>
      <c r="CB23" s="72">
        <f>IF($A23="","",IF(AI23="",0,IF(AI23=IF($B23="언어와 매체",자동계산!$D$34,자동계산!$B$34),IF($B23="언어와 매체",자동계산!$E$34,자동계산!$C$34),0)))</f>
        <v/>
      </c>
      <c r="CC23" s="72">
        <f>IF($A23="","",IF(AJ23="",0,IF(AJ23=IF($B23="언어와 매체",자동계산!$D$35,자동계산!$B$35),IF($B23="언어와 매체",자동계산!$E$35,자동계산!$C$35),0)))</f>
        <v/>
      </c>
      <c r="CD23" s="72">
        <f>IF($A23="","",IF(AK23="",0,IF(AK23=IF($B23="언어와 매체",자동계산!$D$36,자동계산!$B$36),IF($B23="언어와 매체",자동계산!$E$36,자동계산!$C$36),0)))</f>
        <v/>
      </c>
      <c r="CE23" s="72">
        <f>IF($A23="","",IF(AL23="",0,IF(AL23=IF($B23="언어와 매체",자동계산!$D$37,자동계산!$B$37),IF($B23="언어와 매체",자동계산!$E$37,자동계산!$C$37),0)))</f>
        <v/>
      </c>
      <c r="CF23" s="72">
        <f>IF($A23="","",IF(AM23="",0,IF(AM23=IF($B23="언어와 매체",자동계산!$D$38,자동계산!$B$38),IF($B23="언어와 매체",자동계산!$E$38,자동계산!$C$38),0)))</f>
        <v/>
      </c>
      <c r="CG23" s="72">
        <f>IF($A23="","",IF(AN23="",0,IF(AN23=IF($B23="언어와 매체",자동계산!$D$39,자동계산!$B$39),IF($B23="언어와 매체",자동계산!$E$39,자동계산!$C$39),0)))</f>
        <v/>
      </c>
      <c r="CH23" s="72">
        <f>IF($A23="","",IF(AO23="",0,IF(AO23=IF($B23="언어와 매체",자동계산!$D$40,자동계산!$B$40),IF($B23="언어와 매체",자동계산!$E$40,자동계산!$C$40),0)))</f>
        <v/>
      </c>
      <c r="CI23" s="72">
        <f>IF($A23="","",IF(AP23="",0,IF(AP23=IF($B23="언어와 매체",자동계산!$D$41,자동계산!$B$41),IF($B23="언어와 매체",자동계산!$E$41,자동계산!$C$41),0)))</f>
        <v/>
      </c>
      <c r="CJ23" s="72">
        <f>IF($A23="","",IF(AQ23="",0,IF(AQ23=IF($B23="언어와 매체",자동계산!$D$42,자동계산!$B$42),IF($B23="언어와 매체",자동계산!$E$42,자동계산!$C$42),0)))</f>
        <v/>
      </c>
      <c r="CK23" s="72">
        <f>IF($A23="","",IF(AR23="",0,IF(AR23=IF($B23="언어와 매체",자동계산!$D$43,자동계산!$B$43),IF($B23="언어와 매체",자동계산!$E$43,자동계산!$C$43),0)))</f>
        <v/>
      </c>
      <c r="CL23" s="72">
        <f>IF($A23="","",IF(AS23="",0,IF(AS23=IF($B23="언어와 매체",자동계산!$D$44,자동계산!$B$44),IF($B23="언어와 매체",자동계산!$E$44,자동계산!$C$44),0)))</f>
        <v/>
      </c>
      <c r="CM23" s="72">
        <f>IF($A23="","",IF(AT23="",0,IF(AT23=IF($B23="언어와 매체",자동계산!$D$45,자동계산!$B$45),IF($B23="언어와 매체",자동계산!$E$45,자동계산!$C$45),0)))</f>
        <v/>
      </c>
      <c r="CN23" s="72">
        <f>IF($A23="","",IF(AU23="",0,IF(AU23=IF($B23="언어와 매체",자동계산!$D$46,자동계산!$B$46),IF($B23="언어와 매체",자동계산!$E$46,자동계산!$C$46),0)))</f>
        <v/>
      </c>
      <c r="CO23" s="72">
        <f>IF($A23="","",IF(AV23="",0,IF(AV23=IF($B23="언어와 매체",자동계산!$D$47,자동계산!$B$47),IF($B23="언어와 매체",자동계산!$E$47,자동계산!$C$47),0)))</f>
        <v/>
      </c>
      <c r="CP23" s="72">
        <f>IF($A23="","",IF(AW23="",0,IF(AW23=IF($B23="언어와 매체",자동계산!$D$48,자동계산!$B$48),IF($B23="언어와 매체",자동계산!$E$48,자동계산!$C$48),0)))</f>
        <v/>
      </c>
    </row>
    <row r="24">
      <c r="A24" s="70">
        <f>IF(답안입력!A24="","",답안입력!A24)</f>
        <v/>
      </c>
      <c r="B24" s="70">
        <f>IF($A24="","",답안입력!C24)</f>
        <v/>
      </c>
      <c r="C24" s="71">
        <f>IF($A24="","",SUM(AX24:CP24))</f>
        <v/>
      </c>
      <c r="D24" s="70">
        <f>IF($A24="","",IF($C24&gt;=IF($B24="언어와 매체",회차설정!$B$9,회차설정!$B$8),"1등급",IF($C24&gt;=IF($B24="언어와 매체",회차설정!$C$9,회차설정!$C$8),"2등급",IF($C24&gt;=IF($B24="언어와 매체",회차설정!$D$9,회차설정!$D$8),"3등급",IF($C24&gt;=IF($B24="언어와 매체",회차설정!$E$9,회차설정!$E$8),"4등급","등급 외")))))</f>
        <v/>
      </c>
      <c r="E24" s="72">
        <f>IF($A24="","",IF(LEN(답안입력!$D24)&gt;=1,VALUE(MID(답안입력!$D24,1,1)),IF(답안입력!E24="","",답안입력!E24)))</f>
        <v/>
      </c>
      <c r="F24" s="72">
        <f>IF($A24="","",IF(LEN(답안입력!$D24)&gt;=2,VALUE(MID(답안입력!$D24,2,1)),IF(답안입력!F24="","",답안입력!F24)))</f>
        <v/>
      </c>
      <c r="G24" s="72">
        <f>IF($A24="","",IF(LEN(답안입력!$D24)&gt;=3,VALUE(MID(답안입력!$D24,3,1)),IF(답안입력!G24="","",답안입력!G24)))</f>
        <v/>
      </c>
      <c r="H24" s="72">
        <f>IF($A24="","",IF(LEN(답안입력!$D24)&gt;=4,VALUE(MID(답안입력!$D24,4,1)),IF(답안입력!H24="","",답안입력!H24)))</f>
        <v/>
      </c>
      <c r="I24" s="72">
        <f>IF($A24="","",IF(LEN(답안입력!$D24)&gt;=5,VALUE(MID(답안입력!$D24,5,1)),IF(답안입력!I24="","",답안입력!I24)))</f>
        <v/>
      </c>
      <c r="J24" s="72">
        <f>IF($A24="","",IF(LEN(답안입력!$D24)&gt;=6,VALUE(MID(답안입력!$D24,6,1)),IF(답안입력!J24="","",답안입력!J24)))</f>
        <v/>
      </c>
      <c r="K24" s="72">
        <f>IF($A24="","",IF(LEN(답안입력!$D24)&gt;=7,VALUE(MID(답안입력!$D24,7,1)),IF(답안입력!K24="","",답안입력!K24)))</f>
        <v/>
      </c>
      <c r="L24" s="72">
        <f>IF($A24="","",IF(LEN(답안입력!$D24)&gt;=8,VALUE(MID(답안입력!$D24,8,1)),IF(답안입력!L24="","",답안입력!L24)))</f>
        <v/>
      </c>
      <c r="M24" s="72">
        <f>IF($A24="","",IF(LEN(답안입력!$D24)&gt;=9,VALUE(MID(답안입력!$D24,9,1)),IF(답안입력!M24="","",답안입력!M24)))</f>
        <v/>
      </c>
      <c r="N24" s="72">
        <f>IF($A24="","",IF(LEN(답안입력!$D24)&gt;=10,VALUE(MID(답안입력!$D24,10,1)),IF(답안입력!N24="","",답안입력!N24)))</f>
        <v/>
      </c>
      <c r="O24" s="72">
        <f>IF($A24="","",IF(LEN(답안입력!$D24)&gt;=11,VALUE(MID(답안입력!$D24,11,1)),IF(답안입력!O24="","",답안입력!O24)))</f>
        <v/>
      </c>
      <c r="P24" s="72">
        <f>IF($A24="","",IF(LEN(답안입력!$D24)&gt;=12,VALUE(MID(답안입력!$D24,12,1)),IF(답안입력!P24="","",답안입력!P24)))</f>
        <v/>
      </c>
      <c r="Q24" s="72">
        <f>IF($A24="","",IF(LEN(답안입력!$D24)&gt;=13,VALUE(MID(답안입력!$D24,13,1)),IF(답안입력!Q24="","",답안입력!Q24)))</f>
        <v/>
      </c>
      <c r="R24" s="72">
        <f>IF($A24="","",IF(LEN(답안입력!$D24)&gt;=14,VALUE(MID(답안입력!$D24,14,1)),IF(답안입력!R24="","",답안입력!R24)))</f>
        <v/>
      </c>
      <c r="S24" s="72">
        <f>IF($A24="","",IF(LEN(답안입력!$D24)&gt;=15,VALUE(MID(답안입력!$D24,15,1)),IF(답안입력!S24="","",답안입력!S24)))</f>
        <v/>
      </c>
      <c r="T24" s="72">
        <f>IF($A24="","",IF(LEN(답안입력!$D24)&gt;=16,VALUE(MID(답안입력!$D24,16,1)),IF(답안입력!T24="","",답안입력!T24)))</f>
        <v/>
      </c>
      <c r="U24" s="72">
        <f>IF($A24="","",IF(LEN(답안입력!$D24)&gt;=17,VALUE(MID(답안입력!$D24,17,1)),IF(답안입력!U24="","",답안입력!U24)))</f>
        <v/>
      </c>
      <c r="V24" s="72">
        <f>IF($A24="","",IF(LEN(답안입력!$D24)&gt;=18,VALUE(MID(답안입력!$D24,18,1)),IF(답안입력!V24="","",답안입력!V24)))</f>
        <v/>
      </c>
      <c r="W24" s="72">
        <f>IF($A24="","",IF(LEN(답안입력!$D24)&gt;=19,VALUE(MID(답안입력!$D24,19,1)),IF(답안입력!W24="","",답안입력!W24)))</f>
        <v/>
      </c>
      <c r="X24" s="72">
        <f>IF($A24="","",IF(LEN(답안입력!$D24)&gt;=20,VALUE(MID(답안입력!$D24,20,1)),IF(답안입력!X24="","",답안입력!X24)))</f>
        <v/>
      </c>
      <c r="Y24" s="72">
        <f>IF($A24="","",IF(LEN(답안입력!$D24)&gt;=21,VALUE(MID(답안입력!$D24,21,1)),IF(답안입력!Y24="","",답안입력!Y24)))</f>
        <v/>
      </c>
      <c r="Z24" s="72">
        <f>IF($A24="","",IF(LEN(답안입력!$D24)&gt;=22,VALUE(MID(답안입력!$D24,22,1)),IF(답안입력!Z24="","",답안입력!Z24)))</f>
        <v/>
      </c>
      <c r="AA24" s="72">
        <f>IF($A24="","",IF(LEN(답안입력!$D24)&gt;=23,VALUE(MID(답안입력!$D24,23,1)),IF(답안입력!AA24="","",답안입력!AA24)))</f>
        <v/>
      </c>
      <c r="AB24" s="72">
        <f>IF($A24="","",IF(LEN(답안입력!$D24)&gt;=24,VALUE(MID(답안입력!$D24,24,1)),IF(답안입력!AB24="","",답안입력!AB24)))</f>
        <v/>
      </c>
      <c r="AC24" s="72">
        <f>IF($A24="","",IF(LEN(답안입력!$D24)&gt;=25,VALUE(MID(답안입력!$D24,25,1)),IF(답안입력!AC24="","",답안입력!AC24)))</f>
        <v/>
      </c>
      <c r="AD24" s="72">
        <f>IF($A24="","",IF(LEN(답안입력!$D24)&gt;=26,VALUE(MID(답안입력!$D24,26,1)),IF(답안입력!AD24="","",답안입력!AD24)))</f>
        <v/>
      </c>
      <c r="AE24" s="72">
        <f>IF($A24="","",IF(LEN(답안입력!$D24)&gt;=27,VALUE(MID(답안입력!$D24,27,1)),IF(답안입력!AE24="","",답안입력!AE24)))</f>
        <v/>
      </c>
      <c r="AF24" s="72">
        <f>IF($A24="","",IF(LEN(답안입력!$D24)&gt;=28,VALUE(MID(답안입력!$D24,28,1)),IF(답안입력!AF24="","",답안입력!AF24)))</f>
        <v/>
      </c>
      <c r="AG24" s="72">
        <f>IF($A24="","",IF(LEN(답안입력!$D24)&gt;=29,VALUE(MID(답안입력!$D24,29,1)),IF(답안입력!AG24="","",답안입력!AG24)))</f>
        <v/>
      </c>
      <c r="AH24" s="72">
        <f>IF($A24="","",IF(LEN(답안입력!$D24)&gt;=30,VALUE(MID(답안입력!$D24,30,1)),IF(답안입력!AH24="","",답안입력!AH24)))</f>
        <v/>
      </c>
      <c r="AI24" s="72">
        <f>IF($A24="","",IF(LEN(답안입력!$D24)&gt;=31,VALUE(MID(답안입력!$D24,31,1)),IF(답안입력!AI24="","",답안입력!AI24)))</f>
        <v/>
      </c>
      <c r="AJ24" s="72">
        <f>IF($A24="","",IF(LEN(답안입력!$D24)&gt;=32,VALUE(MID(답안입력!$D24,32,1)),IF(답안입력!AJ24="","",답안입력!AJ24)))</f>
        <v/>
      </c>
      <c r="AK24" s="72">
        <f>IF($A24="","",IF(LEN(답안입력!$D24)&gt;=33,VALUE(MID(답안입력!$D24,33,1)),IF(답안입력!AK24="","",답안입력!AK24)))</f>
        <v/>
      </c>
      <c r="AL24" s="72">
        <f>IF($A24="","",IF(LEN(답안입력!$D24)&gt;=34,VALUE(MID(답안입력!$D24,34,1)),IF(답안입력!AL24="","",답안입력!AL24)))</f>
        <v/>
      </c>
      <c r="AM24" s="72">
        <f>IF($A24="","",IF(LEN(답안입력!$D24)&gt;=35,VALUE(MID(답안입력!$D24,35,1)),IF(답안입력!AM24="","",답안입력!AM24)))</f>
        <v/>
      </c>
      <c r="AN24" s="72">
        <f>IF($A24="","",IF(LEN(답안입력!$D24)&gt;=36,VALUE(MID(답안입력!$D24,36,1)),IF(답안입력!AN24="","",답안입력!AN24)))</f>
        <v/>
      </c>
      <c r="AO24" s="72">
        <f>IF($A24="","",IF(LEN(답안입력!$D24)&gt;=37,VALUE(MID(답안입력!$D24,37,1)),IF(답안입력!AO24="","",답안입력!AO24)))</f>
        <v/>
      </c>
      <c r="AP24" s="72">
        <f>IF($A24="","",IF(LEN(답안입력!$D24)&gt;=38,VALUE(MID(답안입력!$D24,38,1)),IF(답안입력!AP24="","",답안입력!AP24)))</f>
        <v/>
      </c>
      <c r="AQ24" s="72">
        <f>IF($A24="","",IF(LEN(답안입력!$D24)&gt;=39,VALUE(MID(답안입력!$D24,39,1)),IF(답안입력!AQ24="","",답안입력!AQ24)))</f>
        <v/>
      </c>
      <c r="AR24" s="72">
        <f>IF($A24="","",IF(LEN(답안입력!$D24)&gt;=40,VALUE(MID(답안입력!$D24,40,1)),IF(답안입력!AR24="","",답안입력!AR24)))</f>
        <v/>
      </c>
      <c r="AS24" s="72">
        <f>IF($A24="","",IF(LEN(답안입력!$D24)&gt;=41,VALUE(MID(답안입력!$D24,41,1)),IF(답안입력!AS24="","",답안입력!AS24)))</f>
        <v/>
      </c>
      <c r="AT24" s="72">
        <f>IF($A24="","",IF(LEN(답안입력!$D24)&gt;=42,VALUE(MID(답안입력!$D24,42,1)),IF(답안입력!AT24="","",답안입력!AT24)))</f>
        <v/>
      </c>
      <c r="AU24" s="72">
        <f>IF($A24="","",IF(LEN(답안입력!$D24)&gt;=43,VALUE(MID(답안입력!$D24,43,1)),IF(답안입력!AU24="","",답안입력!AU24)))</f>
        <v/>
      </c>
      <c r="AV24" s="72">
        <f>IF($A24="","",IF(LEN(답안입력!$D24)&gt;=44,VALUE(MID(답안입력!$D24,44,1)),IF(답안입력!AV24="","",답안입력!AV24)))</f>
        <v/>
      </c>
      <c r="AW24" s="72">
        <f>IF($A24="","",IF(LEN(답안입력!$D24)&gt;=45,VALUE(MID(답안입력!$D24,45,1)),IF(답안입력!AW24="","",답안입력!AW24)))</f>
        <v/>
      </c>
      <c r="AX24" s="72">
        <f>IF($A24="","",IF(E24="",0,IF(E24=IF($B24="언어와 매체",자동계산!$D$4,자동계산!$B$4),IF($B24="언어와 매체",자동계산!$E$4,자동계산!$C$4),0)))</f>
        <v/>
      </c>
      <c r="AY24" s="72">
        <f>IF($A24="","",IF(F24="",0,IF(F24=IF($B24="언어와 매체",자동계산!$D$5,자동계산!$B$5),IF($B24="언어와 매체",자동계산!$E$5,자동계산!$C$5),0)))</f>
        <v/>
      </c>
      <c r="AZ24" s="72">
        <f>IF($A24="","",IF(G24="",0,IF(G24=IF($B24="언어와 매체",자동계산!$D$6,자동계산!$B$6),IF($B24="언어와 매체",자동계산!$E$6,자동계산!$C$6),0)))</f>
        <v/>
      </c>
      <c r="BA24" s="72">
        <f>IF($A24="","",IF(H24="",0,IF(H24=IF($B24="언어와 매체",자동계산!$D$7,자동계산!$B$7),IF($B24="언어와 매체",자동계산!$E$7,자동계산!$C$7),0)))</f>
        <v/>
      </c>
      <c r="BB24" s="72">
        <f>IF($A24="","",IF(I24="",0,IF(I24=IF($B24="언어와 매체",자동계산!$D$8,자동계산!$B$8),IF($B24="언어와 매체",자동계산!$E$8,자동계산!$C$8),0)))</f>
        <v/>
      </c>
      <c r="BC24" s="72">
        <f>IF($A24="","",IF(J24="",0,IF(J24=IF($B24="언어와 매체",자동계산!$D$9,자동계산!$B$9),IF($B24="언어와 매체",자동계산!$E$9,자동계산!$C$9),0)))</f>
        <v/>
      </c>
      <c r="BD24" s="72">
        <f>IF($A24="","",IF(K24="",0,IF(K24=IF($B24="언어와 매체",자동계산!$D$10,자동계산!$B$10),IF($B24="언어와 매체",자동계산!$E$10,자동계산!$C$10),0)))</f>
        <v/>
      </c>
      <c r="BE24" s="72">
        <f>IF($A24="","",IF(L24="",0,IF(L24=IF($B24="언어와 매체",자동계산!$D$11,자동계산!$B$11),IF($B24="언어와 매체",자동계산!$E$11,자동계산!$C$11),0)))</f>
        <v/>
      </c>
      <c r="BF24" s="72">
        <f>IF($A24="","",IF(M24="",0,IF(M24=IF($B24="언어와 매체",자동계산!$D$12,자동계산!$B$12),IF($B24="언어와 매체",자동계산!$E$12,자동계산!$C$12),0)))</f>
        <v/>
      </c>
      <c r="BG24" s="72">
        <f>IF($A24="","",IF(N24="",0,IF(N24=IF($B24="언어와 매체",자동계산!$D$13,자동계산!$B$13),IF($B24="언어와 매체",자동계산!$E$13,자동계산!$C$13),0)))</f>
        <v/>
      </c>
      <c r="BH24" s="72">
        <f>IF($A24="","",IF(O24="",0,IF(O24=IF($B24="언어와 매체",자동계산!$D$14,자동계산!$B$14),IF($B24="언어와 매체",자동계산!$E$14,자동계산!$C$14),0)))</f>
        <v/>
      </c>
      <c r="BI24" s="72">
        <f>IF($A24="","",IF(P24="",0,IF(P24=IF($B24="언어와 매체",자동계산!$D$15,자동계산!$B$15),IF($B24="언어와 매체",자동계산!$E$15,자동계산!$C$15),0)))</f>
        <v/>
      </c>
      <c r="BJ24" s="72">
        <f>IF($A24="","",IF(Q24="",0,IF(Q24=IF($B24="언어와 매체",자동계산!$D$16,자동계산!$B$16),IF($B24="언어와 매체",자동계산!$E$16,자동계산!$C$16),0)))</f>
        <v/>
      </c>
      <c r="BK24" s="72">
        <f>IF($A24="","",IF(R24="",0,IF(R24=IF($B24="언어와 매체",자동계산!$D$17,자동계산!$B$17),IF($B24="언어와 매체",자동계산!$E$17,자동계산!$C$17),0)))</f>
        <v/>
      </c>
      <c r="BL24" s="72">
        <f>IF($A24="","",IF(S24="",0,IF(S24=IF($B24="언어와 매체",자동계산!$D$18,자동계산!$B$18),IF($B24="언어와 매체",자동계산!$E$18,자동계산!$C$18),0)))</f>
        <v/>
      </c>
      <c r="BM24" s="72">
        <f>IF($A24="","",IF(T24="",0,IF(T24=IF($B24="언어와 매체",자동계산!$D$19,자동계산!$B$19),IF($B24="언어와 매체",자동계산!$E$19,자동계산!$C$19),0)))</f>
        <v/>
      </c>
      <c r="BN24" s="72">
        <f>IF($A24="","",IF(U24="",0,IF(U24=IF($B24="언어와 매체",자동계산!$D$20,자동계산!$B$20),IF($B24="언어와 매체",자동계산!$E$20,자동계산!$C$20),0)))</f>
        <v/>
      </c>
      <c r="BO24" s="72">
        <f>IF($A24="","",IF(V24="",0,IF(V24=IF($B24="언어와 매체",자동계산!$D$21,자동계산!$B$21),IF($B24="언어와 매체",자동계산!$E$21,자동계산!$C$21),0)))</f>
        <v/>
      </c>
      <c r="BP24" s="72">
        <f>IF($A24="","",IF(W24="",0,IF(W24=IF($B24="언어와 매체",자동계산!$D$22,자동계산!$B$22),IF($B24="언어와 매체",자동계산!$E$22,자동계산!$C$22),0)))</f>
        <v/>
      </c>
      <c r="BQ24" s="72">
        <f>IF($A24="","",IF(X24="",0,IF(X24=IF($B24="언어와 매체",자동계산!$D$23,자동계산!$B$23),IF($B24="언어와 매체",자동계산!$E$23,자동계산!$C$23),0)))</f>
        <v/>
      </c>
      <c r="BR24" s="72">
        <f>IF($A24="","",IF(Y24="",0,IF(Y24=IF($B24="언어와 매체",자동계산!$D$24,자동계산!$B$24),IF($B24="언어와 매체",자동계산!$E$24,자동계산!$C$24),0)))</f>
        <v/>
      </c>
      <c r="BS24" s="72">
        <f>IF($A24="","",IF(Z24="",0,IF(Z24=IF($B24="언어와 매체",자동계산!$D$25,자동계산!$B$25),IF($B24="언어와 매체",자동계산!$E$25,자동계산!$C$25),0)))</f>
        <v/>
      </c>
      <c r="BT24" s="72">
        <f>IF($A24="","",IF(AA24="",0,IF(AA24=IF($B24="언어와 매체",자동계산!$D$26,자동계산!$B$26),IF($B24="언어와 매체",자동계산!$E$26,자동계산!$C$26),0)))</f>
        <v/>
      </c>
      <c r="BU24" s="72">
        <f>IF($A24="","",IF(AB24="",0,IF(AB24=IF($B24="언어와 매체",자동계산!$D$27,자동계산!$B$27),IF($B24="언어와 매체",자동계산!$E$27,자동계산!$C$27),0)))</f>
        <v/>
      </c>
      <c r="BV24" s="72">
        <f>IF($A24="","",IF(AC24="",0,IF(AC24=IF($B24="언어와 매체",자동계산!$D$28,자동계산!$B$28),IF($B24="언어와 매체",자동계산!$E$28,자동계산!$C$28),0)))</f>
        <v/>
      </c>
      <c r="BW24" s="72">
        <f>IF($A24="","",IF(AD24="",0,IF(AD24=IF($B24="언어와 매체",자동계산!$D$29,자동계산!$B$29),IF($B24="언어와 매체",자동계산!$E$29,자동계산!$C$29),0)))</f>
        <v/>
      </c>
      <c r="BX24" s="72">
        <f>IF($A24="","",IF(AE24="",0,IF(AE24=IF($B24="언어와 매체",자동계산!$D$30,자동계산!$B$30),IF($B24="언어와 매체",자동계산!$E$30,자동계산!$C$30),0)))</f>
        <v/>
      </c>
      <c r="BY24" s="72">
        <f>IF($A24="","",IF(AF24="",0,IF(AF24=IF($B24="언어와 매체",자동계산!$D$31,자동계산!$B$31),IF($B24="언어와 매체",자동계산!$E$31,자동계산!$C$31),0)))</f>
        <v/>
      </c>
      <c r="BZ24" s="72">
        <f>IF($A24="","",IF(AG24="",0,IF(AG24=IF($B24="언어와 매체",자동계산!$D$32,자동계산!$B$32),IF($B24="언어와 매체",자동계산!$E$32,자동계산!$C$32),0)))</f>
        <v/>
      </c>
      <c r="CA24" s="72">
        <f>IF($A24="","",IF(AH24="",0,IF(AH24=IF($B24="언어와 매체",자동계산!$D$33,자동계산!$B$33),IF($B24="언어와 매체",자동계산!$E$33,자동계산!$C$33),0)))</f>
        <v/>
      </c>
      <c r="CB24" s="72">
        <f>IF($A24="","",IF(AI24="",0,IF(AI24=IF($B24="언어와 매체",자동계산!$D$34,자동계산!$B$34),IF($B24="언어와 매체",자동계산!$E$34,자동계산!$C$34),0)))</f>
        <v/>
      </c>
      <c r="CC24" s="72">
        <f>IF($A24="","",IF(AJ24="",0,IF(AJ24=IF($B24="언어와 매체",자동계산!$D$35,자동계산!$B$35),IF($B24="언어와 매체",자동계산!$E$35,자동계산!$C$35),0)))</f>
        <v/>
      </c>
      <c r="CD24" s="72">
        <f>IF($A24="","",IF(AK24="",0,IF(AK24=IF($B24="언어와 매체",자동계산!$D$36,자동계산!$B$36),IF($B24="언어와 매체",자동계산!$E$36,자동계산!$C$36),0)))</f>
        <v/>
      </c>
      <c r="CE24" s="72">
        <f>IF($A24="","",IF(AL24="",0,IF(AL24=IF($B24="언어와 매체",자동계산!$D$37,자동계산!$B$37),IF($B24="언어와 매체",자동계산!$E$37,자동계산!$C$37),0)))</f>
        <v/>
      </c>
      <c r="CF24" s="72">
        <f>IF($A24="","",IF(AM24="",0,IF(AM24=IF($B24="언어와 매체",자동계산!$D$38,자동계산!$B$38),IF($B24="언어와 매체",자동계산!$E$38,자동계산!$C$38),0)))</f>
        <v/>
      </c>
      <c r="CG24" s="72">
        <f>IF($A24="","",IF(AN24="",0,IF(AN24=IF($B24="언어와 매체",자동계산!$D$39,자동계산!$B$39),IF($B24="언어와 매체",자동계산!$E$39,자동계산!$C$39),0)))</f>
        <v/>
      </c>
      <c r="CH24" s="72">
        <f>IF($A24="","",IF(AO24="",0,IF(AO24=IF($B24="언어와 매체",자동계산!$D$40,자동계산!$B$40),IF($B24="언어와 매체",자동계산!$E$40,자동계산!$C$40),0)))</f>
        <v/>
      </c>
      <c r="CI24" s="72">
        <f>IF($A24="","",IF(AP24="",0,IF(AP24=IF($B24="언어와 매체",자동계산!$D$41,자동계산!$B$41),IF($B24="언어와 매체",자동계산!$E$41,자동계산!$C$41),0)))</f>
        <v/>
      </c>
      <c r="CJ24" s="72">
        <f>IF($A24="","",IF(AQ24="",0,IF(AQ24=IF($B24="언어와 매체",자동계산!$D$42,자동계산!$B$42),IF($B24="언어와 매체",자동계산!$E$42,자동계산!$C$42),0)))</f>
        <v/>
      </c>
      <c r="CK24" s="72">
        <f>IF($A24="","",IF(AR24="",0,IF(AR24=IF($B24="언어와 매체",자동계산!$D$43,자동계산!$B$43),IF($B24="언어와 매체",자동계산!$E$43,자동계산!$C$43),0)))</f>
        <v/>
      </c>
      <c r="CL24" s="72">
        <f>IF($A24="","",IF(AS24="",0,IF(AS24=IF($B24="언어와 매체",자동계산!$D$44,자동계산!$B$44),IF($B24="언어와 매체",자동계산!$E$44,자동계산!$C$44),0)))</f>
        <v/>
      </c>
      <c r="CM24" s="72">
        <f>IF($A24="","",IF(AT24="",0,IF(AT24=IF($B24="언어와 매체",자동계산!$D$45,자동계산!$B$45),IF($B24="언어와 매체",자동계산!$E$45,자동계산!$C$45),0)))</f>
        <v/>
      </c>
      <c r="CN24" s="72">
        <f>IF($A24="","",IF(AU24="",0,IF(AU24=IF($B24="언어와 매체",자동계산!$D$46,자동계산!$B$46),IF($B24="언어와 매체",자동계산!$E$46,자동계산!$C$46),0)))</f>
        <v/>
      </c>
      <c r="CO24" s="72">
        <f>IF($A24="","",IF(AV24="",0,IF(AV24=IF($B24="언어와 매체",자동계산!$D$47,자동계산!$B$47),IF($B24="언어와 매체",자동계산!$E$47,자동계산!$C$47),0)))</f>
        <v/>
      </c>
      <c r="CP24" s="72">
        <f>IF($A24="","",IF(AW24="",0,IF(AW24=IF($B24="언어와 매체",자동계산!$D$48,자동계산!$B$48),IF($B24="언어와 매체",자동계산!$E$48,자동계산!$C$48),0)))</f>
        <v/>
      </c>
    </row>
    <row r="25">
      <c r="A25" s="70">
        <f>IF(답안입력!A25="","",답안입력!A25)</f>
        <v/>
      </c>
      <c r="B25" s="70">
        <f>IF($A25="","",답안입력!C25)</f>
        <v/>
      </c>
      <c r="C25" s="71">
        <f>IF($A25="","",SUM(AX25:CP25))</f>
        <v/>
      </c>
      <c r="D25" s="70">
        <f>IF($A25="","",IF($C25&gt;=IF($B25="언어와 매체",회차설정!$B$9,회차설정!$B$8),"1등급",IF($C25&gt;=IF($B25="언어와 매체",회차설정!$C$9,회차설정!$C$8),"2등급",IF($C25&gt;=IF($B25="언어와 매체",회차설정!$D$9,회차설정!$D$8),"3등급",IF($C25&gt;=IF($B25="언어와 매체",회차설정!$E$9,회차설정!$E$8),"4등급","등급 외")))))</f>
        <v/>
      </c>
      <c r="E25" s="72">
        <f>IF($A25="","",IF(LEN(답안입력!$D25)&gt;=1,VALUE(MID(답안입력!$D25,1,1)),IF(답안입력!E25="","",답안입력!E25)))</f>
        <v/>
      </c>
      <c r="F25" s="72">
        <f>IF($A25="","",IF(LEN(답안입력!$D25)&gt;=2,VALUE(MID(답안입력!$D25,2,1)),IF(답안입력!F25="","",답안입력!F25)))</f>
        <v/>
      </c>
      <c r="G25" s="72">
        <f>IF($A25="","",IF(LEN(답안입력!$D25)&gt;=3,VALUE(MID(답안입력!$D25,3,1)),IF(답안입력!G25="","",답안입력!G25)))</f>
        <v/>
      </c>
      <c r="H25" s="72">
        <f>IF($A25="","",IF(LEN(답안입력!$D25)&gt;=4,VALUE(MID(답안입력!$D25,4,1)),IF(답안입력!H25="","",답안입력!H25)))</f>
        <v/>
      </c>
      <c r="I25" s="72">
        <f>IF($A25="","",IF(LEN(답안입력!$D25)&gt;=5,VALUE(MID(답안입력!$D25,5,1)),IF(답안입력!I25="","",답안입력!I25)))</f>
        <v/>
      </c>
      <c r="J25" s="72">
        <f>IF($A25="","",IF(LEN(답안입력!$D25)&gt;=6,VALUE(MID(답안입력!$D25,6,1)),IF(답안입력!J25="","",답안입력!J25)))</f>
        <v/>
      </c>
      <c r="K25" s="72">
        <f>IF($A25="","",IF(LEN(답안입력!$D25)&gt;=7,VALUE(MID(답안입력!$D25,7,1)),IF(답안입력!K25="","",답안입력!K25)))</f>
        <v/>
      </c>
      <c r="L25" s="72">
        <f>IF($A25="","",IF(LEN(답안입력!$D25)&gt;=8,VALUE(MID(답안입력!$D25,8,1)),IF(답안입력!L25="","",답안입력!L25)))</f>
        <v/>
      </c>
      <c r="M25" s="72">
        <f>IF($A25="","",IF(LEN(답안입력!$D25)&gt;=9,VALUE(MID(답안입력!$D25,9,1)),IF(답안입력!M25="","",답안입력!M25)))</f>
        <v/>
      </c>
      <c r="N25" s="72">
        <f>IF($A25="","",IF(LEN(답안입력!$D25)&gt;=10,VALUE(MID(답안입력!$D25,10,1)),IF(답안입력!N25="","",답안입력!N25)))</f>
        <v/>
      </c>
      <c r="O25" s="72">
        <f>IF($A25="","",IF(LEN(답안입력!$D25)&gt;=11,VALUE(MID(답안입력!$D25,11,1)),IF(답안입력!O25="","",답안입력!O25)))</f>
        <v/>
      </c>
      <c r="P25" s="72">
        <f>IF($A25="","",IF(LEN(답안입력!$D25)&gt;=12,VALUE(MID(답안입력!$D25,12,1)),IF(답안입력!P25="","",답안입력!P25)))</f>
        <v/>
      </c>
      <c r="Q25" s="72">
        <f>IF($A25="","",IF(LEN(답안입력!$D25)&gt;=13,VALUE(MID(답안입력!$D25,13,1)),IF(답안입력!Q25="","",답안입력!Q25)))</f>
        <v/>
      </c>
      <c r="R25" s="72">
        <f>IF($A25="","",IF(LEN(답안입력!$D25)&gt;=14,VALUE(MID(답안입력!$D25,14,1)),IF(답안입력!R25="","",답안입력!R25)))</f>
        <v/>
      </c>
      <c r="S25" s="72">
        <f>IF($A25="","",IF(LEN(답안입력!$D25)&gt;=15,VALUE(MID(답안입력!$D25,15,1)),IF(답안입력!S25="","",답안입력!S25)))</f>
        <v/>
      </c>
      <c r="T25" s="72">
        <f>IF($A25="","",IF(LEN(답안입력!$D25)&gt;=16,VALUE(MID(답안입력!$D25,16,1)),IF(답안입력!T25="","",답안입력!T25)))</f>
        <v/>
      </c>
      <c r="U25" s="72">
        <f>IF($A25="","",IF(LEN(답안입력!$D25)&gt;=17,VALUE(MID(답안입력!$D25,17,1)),IF(답안입력!U25="","",답안입력!U25)))</f>
        <v/>
      </c>
      <c r="V25" s="72">
        <f>IF($A25="","",IF(LEN(답안입력!$D25)&gt;=18,VALUE(MID(답안입력!$D25,18,1)),IF(답안입력!V25="","",답안입력!V25)))</f>
        <v/>
      </c>
      <c r="W25" s="72">
        <f>IF($A25="","",IF(LEN(답안입력!$D25)&gt;=19,VALUE(MID(답안입력!$D25,19,1)),IF(답안입력!W25="","",답안입력!W25)))</f>
        <v/>
      </c>
      <c r="X25" s="72">
        <f>IF($A25="","",IF(LEN(답안입력!$D25)&gt;=20,VALUE(MID(답안입력!$D25,20,1)),IF(답안입력!X25="","",답안입력!X25)))</f>
        <v/>
      </c>
      <c r="Y25" s="72">
        <f>IF($A25="","",IF(LEN(답안입력!$D25)&gt;=21,VALUE(MID(답안입력!$D25,21,1)),IF(답안입력!Y25="","",답안입력!Y25)))</f>
        <v/>
      </c>
      <c r="Z25" s="72">
        <f>IF($A25="","",IF(LEN(답안입력!$D25)&gt;=22,VALUE(MID(답안입력!$D25,22,1)),IF(답안입력!Z25="","",답안입력!Z25)))</f>
        <v/>
      </c>
      <c r="AA25" s="72">
        <f>IF($A25="","",IF(LEN(답안입력!$D25)&gt;=23,VALUE(MID(답안입력!$D25,23,1)),IF(답안입력!AA25="","",답안입력!AA25)))</f>
        <v/>
      </c>
      <c r="AB25" s="72">
        <f>IF($A25="","",IF(LEN(답안입력!$D25)&gt;=24,VALUE(MID(답안입력!$D25,24,1)),IF(답안입력!AB25="","",답안입력!AB25)))</f>
        <v/>
      </c>
      <c r="AC25" s="72">
        <f>IF($A25="","",IF(LEN(답안입력!$D25)&gt;=25,VALUE(MID(답안입력!$D25,25,1)),IF(답안입력!AC25="","",답안입력!AC25)))</f>
        <v/>
      </c>
      <c r="AD25" s="72">
        <f>IF($A25="","",IF(LEN(답안입력!$D25)&gt;=26,VALUE(MID(답안입력!$D25,26,1)),IF(답안입력!AD25="","",답안입력!AD25)))</f>
        <v/>
      </c>
      <c r="AE25" s="72">
        <f>IF($A25="","",IF(LEN(답안입력!$D25)&gt;=27,VALUE(MID(답안입력!$D25,27,1)),IF(답안입력!AE25="","",답안입력!AE25)))</f>
        <v/>
      </c>
      <c r="AF25" s="72">
        <f>IF($A25="","",IF(LEN(답안입력!$D25)&gt;=28,VALUE(MID(답안입력!$D25,28,1)),IF(답안입력!AF25="","",답안입력!AF25)))</f>
        <v/>
      </c>
      <c r="AG25" s="72">
        <f>IF($A25="","",IF(LEN(답안입력!$D25)&gt;=29,VALUE(MID(답안입력!$D25,29,1)),IF(답안입력!AG25="","",답안입력!AG25)))</f>
        <v/>
      </c>
      <c r="AH25" s="72">
        <f>IF($A25="","",IF(LEN(답안입력!$D25)&gt;=30,VALUE(MID(답안입력!$D25,30,1)),IF(답안입력!AH25="","",답안입력!AH25)))</f>
        <v/>
      </c>
      <c r="AI25" s="72">
        <f>IF($A25="","",IF(LEN(답안입력!$D25)&gt;=31,VALUE(MID(답안입력!$D25,31,1)),IF(답안입력!AI25="","",답안입력!AI25)))</f>
        <v/>
      </c>
      <c r="AJ25" s="72">
        <f>IF($A25="","",IF(LEN(답안입력!$D25)&gt;=32,VALUE(MID(답안입력!$D25,32,1)),IF(답안입력!AJ25="","",답안입력!AJ25)))</f>
        <v/>
      </c>
      <c r="AK25" s="72">
        <f>IF($A25="","",IF(LEN(답안입력!$D25)&gt;=33,VALUE(MID(답안입력!$D25,33,1)),IF(답안입력!AK25="","",답안입력!AK25)))</f>
        <v/>
      </c>
      <c r="AL25" s="72">
        <f>IF($A25="","",IF(LEN(답안입력!$D25)&gt;=34,VALUE(MID(답안입력!$D25,34,1)),IF(답안입력!AL25="","",답안입력!AL25)))</f>
        <v/>
      </c>
      <c r="AM25" s="72">
        <f>IF($A25="","",IF(LEN(답안입력!$D25)&gt;=35,VALUE(MID(답안입력!$D25,35,1)),IF(답안입력!AM25="","",답안입력!AM25)))</f>
        <v/>
      </c>
      <c r="AN25" s="72">
        <f>IF($A25="","",IF(LEN(답안입력!$D25)&gt;=36,VALUE(MID(답안입력!$D25,36,1)),IF(답안입력!AN25="","",답안입력!AN25)))</f>
        <v/>
      </c>
      <c r="AO25" s="72">
        <f>IF($A25="","",IF(LEN(답안입력!$D25)&gt;=37,VALUE(MID(답안입력!$D25,37,1)),IF(답안입력!AO25="","",답안입력!AO25)))</f>
        <v/>
      </c>
      <c r="AP25" s="72">
        <f>IF($A25="","",IF(LEN(답안입력!$D25)&gt;=38,VALUE(MID(답안입력!$D25,38,1)),IF(답안입력!AP25="","",답안입력!AP25)))</f>
        <v/>
      </c>
      <c r="AQ25" s="72">
        <f>IF($A25="","",IF(LEN(답안입력!$D25)&gt;=39,VALUE(MID(답안입력!$D25,39,1)),IF(답안입력!AQ25="","",답안입력!AQ25)))</f>
        <v/>
      </c>
      <c r="AR25" s="72">
        <f>IF($A25="","",IF(LEN(답안입력!$D25)&gt;=40,VALUE(MID(답안입력!$D25,40,1)),IF(답안입력!AR25="","",답안입력!AR25)))</f>
        <v/>
      </c>
      <c r="AS25" s="72">
        <f>IF($A25="","",IF(LEN(답안입력!$D25)&gt;=41,VALUE(MID(답안입력!$D25,41,1)),IF(답안입력!AS25="","",답안입력!AS25)))</f>
        <v/>
      </c>
      <c r="AT25" s="72">
        <f>IF($A25="","",IF(LEN(답안입력!$D25)&gt;=42,VALUE(MID(답안입력!$D25,42,1)),IF(답안입력!AT25="","",답안입력!AT25)))</f>
        <v/>
      </c>
      <c r="AU25" s="72">
        <f>IF($A25="","",IF(LEN(답안입력!$D25)&gt;=43,VALUE(MID(답안입력!$D25,43,1)),IF(답안입력!AU25="","",답안입력!AU25)))</f>
        <v/>
      </c>
      <c r="AV25" s="72">
        <f>IF($A25="","",IF(LEN(답안입력!$D25)&gt;=44,VALUE(MID(답안입력!$D25,44,1)),IF(답안입력!AV25="","",답안입력!AV25)))</f>
        <v/>
      </c>
      <c r="AW25" s="72">
        <f>IF($A25="","",IF(LEN(답안입력!$D25)&gt;=45,VALUE(MID(답안입력!$D25,45,1)),IF(답안입력!AW25="","",답안입력!AW25)))</f>
        <v/>
      </c>
      <c r="AX25" s="72">
        <f>IF($A25="","",IF(E25="",0,IF(E25=IF($B25="언어와 매체",자동계산!$D$4,자동계산!$B$4),IF($B25="언어와 매체",자동계산!$E$4,자동계산!$C$4),0)))</f>
        <v/>
      </c>
      <c r="AY25" s="72">
        <f>IF($A25="","",IF(F25="",0,IF(F25=IF($B25="언어와 매체",자동계산!$D$5,자동계산!$B$5),IF($B25="언어와 매체",자동계산!$E$5,자동계산!$C$5),0)))</f>
        <v/>
      </c>
      <c r="AZ25" s="72">
        <f>IF($A25="","",IF(G25="",0,IF(G25=IF($B25="언어와 매체",자동계산!$D$6,자동계산!$B$6),IF($B25="언어와 매체",자동계산!$E$6,자동계산!$C$6),0)))</f>
        <v/>
      </c>
      <c r="BA25" s="72">
        <f>IF($A25="","",IF(H25="",0,IF(H25=IF($B25="언어와 매체",자동계산!$D$7,자동계산!$B$7),IF($B25="언어와 매체",자동계산!$E$7,자동계산!$C$7),0)))</f>
        <v/>
      </c>
      <c r="BB25" s="72">
        <f>IF($A25="","",IF(I25="",0,IF(I25=IF($B25="언어와 매체",자동계산!$D$8,자동계산!$B$8),IF($B25="언어와 매체",자동계산!$E$8,자동계산!$C$8),0)))</f>
        <v/>
      </c>
      <c r="BC25" s="72">
        <f>IF($A25="","",IF(J25="",0,IF(J25=IF($B25="언어와 매체",자동계산!$D$9,자동계산!$B$9),IF($B25="언어와 매체",자동계산!$E$9,자동계산!$C$9),0)))</f>
        <v/>
      </c>
      <c r="BD25" s="72">
        <f>IF($A25="","",IF(K25="",0,IF(K25=IF($B25="언어와 매체",자동계산!$D$10,자동계산!$B$10),IF($B25="언어와 매체",자동계산!$E$10,자동계산!$C$10),0)))</f>
        <v/>
      </c>
      <c r="BE25" s="72">
        <f>IF($A25="","",IF(L25="",0,IF(L25=IF($B25="언어와 매체",자동계산!$D$11,자동계산!$B$11),IF($B25="언어와 매체",자동계산!$E$11,자동계산!$C$11),0)))</f>
        <v/>
      </c>
      <c r="BF25" s="72">
        <f>IF($A25="","",IF(M25="",0,IF(M25=IF($B25="언어와 매체",자동계산!$D$12,자동계산!$B$12),IF($B25="언어와 매체",자동계산!$E$12,자동계산!$C$12),0)))</f>
        <v/>
      </c>
      <c r="BG25" s="72">
        <f>IF($A25="","",IF(N25="",0,IF(N25=IF($B25="언어와 매체",자동계산!$D$13,자동계산!$B$13),IF($B25="언어와 매체",자동계산!$E$13,자동계산!$C$13),0)))</f>
        <v/>
      </c>
      <c r="BH25" s="72">
        <f>IF($A25="","",IF(O25="",0,IF(O25=IF($B25="언어와 매체",자동계산!$D$14,자동계산!$B$14),IF($B25="언어와 매체",자동계산!$E$14,자동계산!$C$14),0)))</f>
        <v/>
      </c>
      <c r="BI25" s="72">
        <f>IF($A25="","",IF(P25="",0,IF(P25=IF($B25="언어와 매체",자동계산!$D$15,자동계산!$B$15),IF($B25="언어와 매체",자동계산!$E$15,자동계산!$C$15),0)))</f>
        <v/>
      </c>
      <c r="BJ25" s="72">
        <f>IF($A25="","",IF(Q25="",0,IF(Q25=IF($B25="언어와 매체",자동계산!$D$16,자동계산!$B$16),IF($B25="언어와 매체",자동계산!$E$16,자동계산!$C$16),0)))</f>
        <v/>
      </c>
      <c r="BK25" s="72">
        <f>IF($A25="","",IF(R25="",0,IF(R25=IF($B25="언어와 매체",자동계산!$D$17,자동계산!$B$17),IF($B25="언어와 매체",자동계산!$E$17,자동계산!$C$17),0)))</f>
        <v/>
      </c>
      <c r="BL25" s="72">
        <f>IF($A25="","",IF(S25="",0,IF(S25=IF($B25="언어와 매체",자동계산!$D$18,자동계산!$B$18),IF($B25="언어와 매체",자동계산!$E$18,자동계산!$C$18),0)))</f>
        <v/>
      </c>
      <c r="BM25" s="72">
        <f>IF($A25="","",IF(T25="",0,IF(T25=IF($B25="언어와 매체",자동계산!$D$19,자동계산!$B$19),IF($B25="언어와 매체",자동계산!$E$19,자동계산!$C$19),0)))</f>
        <v/>
      </c>
      <c r="BN25" s="72">
        <f>IF($A25="","",IF(U25="",0,IF(U25=IF($B25="언어와 매체",자동계산!$D$20,자동계산!$B$20),IF($B25="언어와 매체",자동계산!$E$20,자동계산!$C$20),0)))</f>
        <v/>
      </c>
      <c r="BO25" s="72">
        <f>IF($A25="","",IF(V25="",0,IF(V25=IF($B25="언어와 매체",자동계산!$D$21,자동계산!$B$21),IF($B25="언어와 매체",자동계산!$E$21,자동계산!$C$21),0)))</f>
        <v/>
      </c>
      <c r="BP25" s="72">
        <f>IF($A25="","",IF(W25="",0,IF(W25=IF($B25="언어와 매체",자동계산!$D$22,자동계산!$B$22),IF($B25="언어와 매체",자동계산!$E$22,자동계산!$C$22),0)))</f>
        <v/>
      </c>
      <c r="BQ25" s="72">
        <f>IF($A25="","",IF(X25="",0,IF(X25=IF($B25="언어와 매체",자동계산!$D$23,자동계산!$B$23),IF($B25="언어와 매체",자동계산!$E$23,자동계산!$C$23),0)))</f>
        <v/>
      </c>
      <c r="BR25" s="72">
        <f>IF($A25="","",IF(Y25="",0,IF(Y25=IF($B25="언어와 매체",자동계산!$D$24,자동계산!$B$24),IF($B25="언어와 매체",자동계산!$E$24,자동계산!$C$24),0)))</f>
        <v/>
      </c>
      <c r="BS25" s="72">
        <f>IF($A25="","",IF(Z25="",0,IF(Z25=IF($B25="언어와 매체",자동계산!$D$25,자동계산!$B$25),IF($B25="언어와 매체",자동계산!$E$25,자동계산!$C$25),0)))</f>
        <v/>
      </c>
      <c r="BT25" s="72">
        <f>IF($A25="","",IF(AA25="",0,IF(AA25=IF($B25="언어와 매체",자동계산!$D$26,자동계산!$B$26),IF($B25="언어와 매체",자동계산!$E$26,자동계산!$C$26),0)))</f>
        <v/>
      </c>
      <c r="BU25" s="72">
        <f>IF($A25="","",IF(AB25="",0,IF(AB25=IF($B25="언어와 매체",자동계산!$D$27,자동계산!$B$27),IF($B25="언어와 매체",자동계산!$E$27,자동계산!$C$27),0)))</f>
        <v/>
      </c>
      <c r="BV25" s="72">
        <f>IF($A25="","",IF(AC25="",0,IF(AC25=IF($B25="언어와 매체",자동계산!$D$28,자동계산!$B$28),IF($B25="언어와 매체",자동계산!$E$28,자동계산!$C$28),0)))</f>
        <v/>
      </c>
      <c r="BW25" s="72">
        <f>IF($A25="","",IF(AD25="",0,IF(AD25=IF($B25="언어와 매체",자동계산!$D$29,자동계산!$B$29),IF($B25="언어와 매체",자동계산!$E$29,자동계산!$C$29),0)))</f>
        <v/>
      </c>
      <c r="BX25" s="72">
        <f>IF($A25="","",IF(AE25="",0,IF(AE25=IF($B25="언어와 매체",자동계산!$D$30,자동계산!$B$30),IF($B25="언어와 매체",자동계산!$E$30,자동계산!$C$30),0)))</f>
        <v/>
      </c>
      <c r="BY25" s="72">
        <f>IF($A25="","",IF(AF25="",0,IF(AF25=IF($B25="언어와 매체",자동계산!$D$31,자동계산!$B$31),IF($B25="언어와 매체",자동계산!$E$31,자동계산!$C$31),0)))</f>
        <v/>
      </c>
      <c r="BZ25" s="72">
        <f>IF($A25="","",IF(AG25="",0,IF(AG25=IF($B25="언어와 매체",자동계산!$D$32,자동계산!$B$32),IF($B25="언어와 매체",자동계산!$E$32,자동계산!$C$32),0)))</f>
        <v/>
      </c>
      <c r="CA25" s="72">
        <f>IF($A25="","",IF(AH25="",0,IF(AH25=IF($B25="언어와 매체",자동계산!$D$33,자동계산!$B$33),IF($B25="언어와 매체",자동계산!$E$33,자동계산!$C$33),0)))</f>
        <v/>
      </c>
      <c r="CB25" s="72">
        <f>IF($A25="","",IF(AI25="",0,IF(AI25=IF($B25="언어와 매체",자동계산!$D$34,자동계산!$B$34),IF($B25="언어와 매체",자동계산!$E$34,자동계산!$C$34),0)))</f>
        <v/>
      </c>
      <c r="CC25" s="72">
        <f>IF($A25="","",IF(AJ25="",0,IF(AJ25=IF($B25="언어와 매체",자동계산!$D$35,자동계산!$B$35),IF($B25="언어와 매체",자동계산!$E$35,자동계산!$C$35),0)))</f>
        <v/>
      </c>
      <c r="CD25" s="72">
        <f>IF($A25="","",IF(AK25="",0,IF(AK25=IF($B25="언어와 매체",자동계산!$D$36,자동계산!$B$36),IF($B25="언어와 매체",자동계산!$E$36,자동계산!$C$36),0)))</f>
        <v/>
      </c>
      <c r="CE25" s="72">
        <f>IF($A25="","",IF(AL25="",0,IF(AL25=IF($B25="언어와 매체",자동계산!$D$37,자동계산!$B$37),IF($B25="언어와 매체",자동계산!$E$37,자동계산!$C$37),0)))</f>
        <v/>
      </c>
      <c r="CF25" s="72">
        <f>IF($A25="","",IF(AM25="",0,IF(AM25=IF($B25="언어와 매체",자동계산!$D$38,자동계산!$B$38),IF($B25="언어와 매체",자동계산!$E$38,자동계산!$C$38),0)))</f>
        <v/>
      </c>
      <c r="CG25" s="72">
        <f>IF($A25="","",IF(AN25="",0,IF(AN25=IF($B25="언어와 매체",자동계산!$D$39,자동계산!$B$39),IF($B25="언어와 매체",자동계산!$E$39,자동계산!$C$39),0)))</f>
        <v/>
      </c>
      <c r="CH25" s="72">
        <f>IF($A25="","",IF(AO25="",0,IF(AO25=IF($B25="언어와 매체",자동계산!$D$40,자동계산!$B$40),IF($B25="언어와 매체",자동계산!$E$40,자동계산!$C$40),0)))</f>
        <v/>
      </c>
      <c r="CI25" s="72">
        <f>IF($A25="","",IF(AP25="",0,IF(AP25=IF($B25="언어와 매체",자동계산!$D$41,자동계산!$B$41),IF($B25="언어와 매체",자동계산!$E$41,자동계산!$C$41),0)))</f>
        <v/>
      </c>
      <c r="CJ25" s="72">
        <f>IF($A25="","",IF(AQ25="",0,IF(AQ25=IF($B25="언어와 매체",자동계산!$D$42,자동계산!$B$42),IF($B25="언어와 매체",자동계산!$E$42,자동계산!$C$42),0)))</f>
        <v/>
      </c>
      <c r="CK25" s="72">
        <f>IF($A25="","",IF(AR25="",0,IF(AR25=IF($B25="언어와 매체",자동계산!$D$43,자동계산!$B$43),IF($B25="언어와 매체",자동계산!$E$43,자동계산!$C$43),0)))</f>
        <v/>
      </c>
      <c r="CL25" s="72">
        <f>IF($A25="","",IF(AS25="",0,IF(AS25=IF($B25="언어와 매체",자동계산!$D$44,자동계산!$B$44),IF($B25="언어와 매체",자동계산!$E$44,자동계산!$C$44),0)))</f>
        <v/>
      </c>
      <c r="CM25" s="72">
        <f>IF($A25="","",IF(AT25="",0,IF(AT25=IF($B25="언어와 매체",자동계산!$D$45,자동계산!$B$45),IF($B25="언어와 매체",자동계산!$E$45,자동계산!$C$45),0)))</f>
        <v/>
      </c>
      <c r="CN25" s="72">
        <f>IF($A25="","",IF(AU25="",0,IF(AU25=IF($B25="언어와 매체",자동계산!$D$46,자동계산!$B$46),IF($B25="언어와 매체",자동계산!$E$46,자동계산!$C$46),0)))</f>
        <v/>
      </c>
      <c r="CO25" s="72">
        <f>IF($A25="","",IF(AV25="",0,IF(AV25=IF($B25="언어와 매체",자동계산!$D$47,자동계산!$B$47),IF($B25="언어와 매체",자동계산!$E$47,자동계산!$C$47),0)))</f>
        <v/>
      </c>
      <c r="CP25" s="72">
        <f>IF($A25="","",IF(AW25="",0,IF(AW25=IF($B25="언어와 매체",자동계산!$D$48,자동계산!$B$48),IF($B25="언어와 매체",자동계산!$E$48,자동계산!$C$48),0)))</f>
        <v/>
      </c>
    </row>
    <row r="26">
      <c r="A26" s="70">
        <f>IF(답안입력!A26="","",답안입력!A26)</f>
        <v/>
      </c>
      <c r="B26" s="70">
        <f>IF($A26="","",답안입력!C26)</f>
        <v/>
      </c>
      <c r="C26" s="71">
        <f>IF($A26="","",SUM(AX26:CP26))</f>
        <v/>
      </c>
      <c r="D26" s="70">
        <f>IF($A26="","",IF($C26&gt;=IF($B26="언어와 매체",회차설정!$B$9,회차설정!$B$8),"1등급",IF($C26&gt;=IF($B26="언어와 매체",회차설정!$C$9,회차설정!$C$8),"2등급",IF($C26&gt;=IF($B26="언어와 매체",회차설정!$D$9,회차설정!$D$8),"3등급",IF($C26&gt;=IF($B26="언어와 매체",회차설정!$E$9,회차설정!$E$8),"4등급","등급 외")))))</f>
        <v/>
      </c>
      <c r="E26" s="72">
        <f>IF($A26="","",IF(LEN(답안입력!$D26)&gt;=1,VALUE(MID(답안입력!$D26,1,1)),IF(답안입력!E26="","",답안입력!E26)))</f>
        <v/>
      </c>
      <c r="F26" s="72">
        <f>IF($A26="","",IF(LEN(답안입력!$D26)&gt;=2,VALUE(MID(답안입력!$D26,2,1)),IF(답안입력!F26="","",답안입력!F26)))</f>
        <v/>
      </c>
      <c r="G26" s="72">
        <f>IF($A26="","",IF(LEN(답안입력!$D26)&gt;=3,VALUE(MID(답안입력!$D26,3,1)),IF(답안입력!G26="","",답안입력!G26)))</f>
        <v/>
      </c>
      <c r="H26" s="72">
        <f>IF($A26="","",IF(LEN(답안입력!$D26)&gt;=4,VALUE(MID(답안입력!$D26,4,1)),IF(답안입력!H26="","",답안입력!H26)))</f>
        <v/>
      </c>
      <c r="I26" s="72">
        <f>IF($A26="","",IF(LEN(답안입력!$D26)&gt;=5,VALUE(MID(답안입력!$D26,5,1)),IF(답안입력!I26="","",답안입력!I26)))</f>
        <v/>
      </c>
      <c r="J26" s="72">
        <f>IF($A26="","",IF(LEN(답안입력!$D26)&gt;=6,VALUE(MID(답안입력!$D26,6,1)),IF(답안입력!J26="","",답안입력!J26)))</f>
        <v/>
      </c>
      <c r="K26" s="72">
        <f>IF($A26="","",IF(LEN(답안입력!$D26)&gt;=7,VALUE(MID(답안입력!$D26,7,1)),IF(답안입력!K26="","",답안입력!K26)))</f>
        <v/>
      </c>
      <c r="L26" s="72">
        <f>IF($A26="","",IF(LEN(답안입력!$D26)&gt;=8,VALUE(MID(답안입력!$D26,8,1)),IF(답안입력!L26="","",답안입력!L26)))</f>
        <v/>
      </c>
      <c r="M26" s="72">
        <f>IF($A26="","",IF(LEN(답안입력!$D26)&gt;=9,VALUE(MID(답안입력!$D26,9,1)),IF(답안입력!M26="","",답안입력!M26)))</f>
        <v/>
      </c>
      <c r="N26" s="72">
        <f>IF($A26="","",IF(LEN(답안입력!$D26)&gt;=10,VALUE(MID(답안입력!$D26,10,1)),IF(답안입력!N26="","",답안입력!N26)))</f>
        <v/>
      </c>
      <c r="O26" s="72">
        <f>IF($A26="","",IF(LEN(답안입력!$D26)&gt;=11,VALUE(MID(답안입력!$D26,11,1)),IF(답안입력!O26="","",답안입력!O26)))</f>
        <v/>
      </c>
      <c r="P26" s="72">
        <f>IF($A26="","",IF(LEN(답안입력!$D26)&gt;=12,VALUE(MID(답안입력!$D26,12,1)),IF(답안입력!P26="","",답안입력!P26)))</f>
        <v/>
      </c>
      <c r="Q26" s="72">
        <f>IF($A26="","",IF(LEN(답안입력!$D26)&gt;=13,VALUE(MID(답안입력!$D26,13,1)),IF(답안입력!Q26="","",답안입력!Q26)))</f>
        <v/>
      </c>
      <c r="R26" s="72">
        <f>IF($A26="","",IF(LEN(답안입력!$D26)&gt;=14,VALUE(MID(답안입력!$D26,14,1)),IF(답안입력!R26="","",답안입력!R26)))</f>
        <v/>
      </c>
      <c r="S26" s="72">
        <f>IF($A26="","",IF(LEN(답안입력!$D26)&gt;=15,VALUE(MID(답안입력!$D26,15,1)),IF(답안입력!S26="","",답안입력!S26)))</f>
        <v/>
      </c>
      <c r="T26" s="72">
        <f>IF($A26="","",IF(LEN(답안입력!$D26)&gt;=16,VALUE(MID(답안입력!$D26,16,1)),IF(답안입력!T26="","",답안입력!T26)))</f>
        <v/>
      </c>
      <c r="U26" s="72">
        <f>IF($A26="","",IF(LEN(답안입력!$D26)&gt;=17,VALUE(MID(답안입력!$D26,17,1)),IF(답안입력!U26="","",답안입력!U26)))</f>
        <v/>
      </c>
      <c r="V26" s="72">
        <f>IF($A26="","",IF(LEN(답안입력!$D26)&gt;=18,VALUE(MID(답안입력!$D26,18,1)),IF(답안입력!V26="","",답안입력!V26)))</f>
        <v/>
      </c>
      <c r="W26" s="72">
        <f>IF($A26="","",IF(LEN(답안입력!$D26)&gt;=19,VALUE(MID(답안입력!$D26,19,1)),IF(답안입력!W26="","",답안입력!W26)))</f>
        <v/>
      </c>
      <c r="X26" s="72">
        <f>IF($A26="","",IF(LEN(답안입력!$D26)&gt;=20,VALUE(MID(답안입력!$D26,20,1)),IF(답안입력!X26="","",답안입력!X26)))</f>
        <v/>
      </c>
      <c r="Y26" s="72">
        <f>IF($A26="","",IF(LEN(답안입력!$D26)&gt;=21,VALUE(MID(답안입력!$D26,21,1)),IF(답안입력!Y26="","",답안입력!Y26)))</f>
        <v/>
      </c>
      <c r="Z26" s="72">
        <f>IF($A26="","",IF(LEN(답안입력!$D26)&gt;=22,VALUE(MID(답안입력!$D26,22,1)),IF(답안입력!Z26="","",답안입력!Z26)))</f>
        <v/>
      </c>
      <c r="AA26" s="72">
        <f>IF($A26="","",IF(LEN(답안입력!$D26)&gt;=23,VALUE(MID(답안입력!$D26,23,1)),IF(답안입력!AA26="","",답안입력!AA26)))</f>
        <v/>
      </c>
      <c r="AB26" s="72">
        <f>IF($A26="","",IF(LEN(답안입력!$D26)&gt;=24,VALUE(MID(답안입력!$D26,24,1)),IF(답안입력!AB26="","",답안입력!AB26)))</f>
        <v/>
      </c>
      <c r="AC26" s="72">
        <f>IF($A26="","",IF(LEN(답안입력!$D26)&gt;=25,VALUE(MID(답안입력!$D26,25,1)),IF(답안입력!AC26="","",답안입력!AC26)))</f>
        <v/>
      </c>
      <c r="AD26" s="72">
        <f>IF($A26="","",IF(LEN(답안입력!$D26)&gt;=26,VALUE(MID(답안입력!$D26,26,1)),IF(답안입력!AD26="","",답안입력!AD26)))</f>
        <v/>
      </c>
      <c r="AE26" s="72">
        <f>IF($A26="","",IF(LEN(답안입력!$D26)&gt;=27,VALUE(MID(답안입력!$D26,27,1)),IF(답안입력!AE26="","",답안입력!AE26)))</f>
        <v/>
      </c>
      <c r="AF26" s="72">
        <f>IF($A26="","",IF(LEN(답안입력!$D26)&gt;=28,VALUE(MID(답안입력!$D26,28,1)),IF(답안입력!AF26="","",답안입력!AF26)))</f>
        <v/>
      </c>
      <c r="AG26" s="72">
        <f>IF($A26="","",IF(LEN(답안입력!$D26)&gt;=29,VALUE(MID(답안입력!$D26,29,1)),IF(답안입력!AG26="","",답안입력!AG26)))</f>
        <v/>
      </c>
      <c r="AH26" s="72">
        <f>IF($A26="","",IF(LEN(답안입력!$D26)&gt;=30,VALUE(MID(답안입력!$D26,30,1)),IF(답안입력!AH26="","",답안입력!AH26)))</f>
        <v/>
      </c>
      <c r="AI26" s="72">
        <f>IF($A26="","",IF(LEN(답안입력!$D26)&gt;=31,VALUE(MID(답안입력!$D26,31,1)),IF(답안입력!AI26="","",답안입력!AI26)))</f>
        <v/>
      </c>
      <c r="AJ26" s="72">
        <f>IF($A26="","",IF(LEN(답안입력!$D26)&gt;=32,VALUE(MID(답안입력!$D26,32,1)),IF(답안입력!AJ26="","",답안입력!AJ26)))</f>
        <v/>
      </c>
      <c r="AK26" s="72">
        <f>IF($A26="","",IF(LEN(답안입력!$D26)&gt;=33,VALUE(MID(답안입력!$D26,33,1)),IF(답안입력!AK26="","",답안입력!AK26)))</f>
        <v/>
      </c>
      <c r="AL26" s="72">
        <f>IF($A26="","",IF(LEN(답안입력!$D26)&gt;=34,VALUE(MID(답안입력!$D26,34,1)),IF(답안입력!AL26="","",답안입력!AL26)))</f>
        <v/>
      </c>
      <c r="AM26" s="72">
        <f>IF($A26="","",IF(LEN(답안입력!$D26)&gt;=35,VALUE(MID(답안입력!$D26,35,1)),IF(답안입력!AM26="","",답안입력!AM26)))</f>
        <v/>
      </c>
      <c r="AN26" s="72">
        <f>IF($A26="","",IF(LEN(답안입력!$D26)&gt;=36,VALUE(MID(답안입력!$D26,36,1)),IF(답안입력!AN26="","",답안입력!AN26)))</f>
        <v/>
      </c>
      <c r="AO26" s="72">
        <f>IF($A26="","",IF(LEN(답안입력!$D26)&gt;=37,VALUE(MID(답안입력!$D26,37,1)),IF(답안입력!AO26="","",답안입력!AO26)))</f>
        <v/>
      </c>
      <c r="AP26" s="72">
        <f>IF($A26="","",IF(LEN(답안입력!$D26)&gt;=38,VALUE(MID(답안입력!$D26,38,1)),IF(답안입력!AP26="","",답안입력!AP26)))</f>
        <v/>
      </c>
      <c r="AQ26" s="72">
        <f>IF($A26="","",IF(LEN(답안입력!$D26)&gt;=39,VALUE(MID(답안입력!$D26,39,1)),IF(답안입력!AQ26="","",답안입력!AQ26)))</f>
        <v/>
      </c>
      <c r="AR26" s="72">
        <f>IF($A26="","",IF(LEN(답안입력!$D26)&gt;=40,VALUE(MID(답안입력!$D26,40,1)),IF(답안입력!AR26="","",답안입력!AR26)))</f>
        <v/>
      </c>
      <c r="AS26" s="72">
        <f>IF($A26="","",IF(LEN(답안입력!$D26)&gt;=41,VALUE(MID(답안입력!$D26,41,1)),IF(답안입력!AS26="","",답안입력!AS26)))</f>
        <v/>
      </c>
      <c r="AT26" s="72">
        <f>IF($A26="","",IF(LEN(답안입력!$D26)&gt;=42,VALUE(MID(답안입력!$D26,42,1)),IF(답안입력!AT26="","",답안입력!AT26)))</f>
        <v/>
      </c>
      <c r="AU26" s="72">
        <f>IF($A26="","",IF(LEN(답안입력!$D26)&gt;=43,VALUE(MID(답안입력!$D26,43,1)),IF(답안입력!AU26="","",답안입력!AU26)))</f>
        <v/>
      </c>
      <c r="AV26" s="72">
        <f>IF($A26="","",IF(LEN(답안입력!$D26)&gt;=44,VALUE(MID(답안입력!$D26,44,1)),IF(답안입력!AV26="","",답안입력!AV26)))</f>
        <v/>
      </c>
      <c r="AW26" s="72">
        <f>IF($A26="","",IF(LEN(답안입력!$D26)&gt;=45,VALUE(MID(답안입력!$D26,45,1)),IF(답안입력!AW26="","",답안입력!AW26)))</f>
        <v/>
      </c>
      <c r="AX26" s="72">
        <f>IF($A26="","",IF(E26="",0,IF(E26=IF($B26="언어와 매체",자동계산!$D$4,자동계산!$B$4),IF($B26="언어와 매체",자동계산!$E$4,자동계산!$C$4),0)))</f>
        <v/>
      </c>
      <c r="AY26" s="72">
        <f>IF($A26="","",IF(F26="",0,IF(F26=IF($B26="언어와 매체",자동계산!$D$5,자동계산!$B$5),IF($B26="언어와 매체",자동계산!$E$5,자동계산!$C$5),0)))</f>
        <v/>
      </c>
      <c r="AZ26" s="72">
        <f>IF($A26="","",IF(G26="",0,IF(G26=IF($B26="언어와 매체",자동계산!$D$6,자동계산!$B$6),IF($B26="언어와 매체",자동계산!$E$6,자동계산!$C$6),0)))</f>
        <v/>
      </c>
      <c r="BA26" s="72">
        <f>IF($A26="","",IF(H26="",0,IF(H26=IF($B26="언어와 매체",자동계산!$D$7,자동계산!$B$7),IF($B26="언어와 매체",자동계산!$E$7,자동계산!$C$7),0)))</f>
        <v/>
      </c>
      <c r="BB26" s="72">
        <f>IF($A26="","",IF(I26="",0,IF(I26=IF($B26="언어와 매체",자동계산!$D$8,자동계산!$B$8),IF($B26="언어와 매체",자동계산!$E$8,자동계산!$C$8),0)))</f>
        <v/>
      </c>
      <c r="BC26" s="72">
        <f>IF($A26="","",IF(J26="",0,IF(J26=IF($B26="언어와 매체",자동계산!$D$9,자동계산!$B$9),IF($B26="언어와 매체",자동계산!$E$9,자동계산!$C$9),0)))</f>
        <v/>
      </c>
      <c r="BD26" s="72">
        <f>IF($A26="","",IF(K26="",0,IF(K26=IF($B26="언어와 매체",자동계산!$D$10,자동계산!$B$10),IF($B26="언어와 매체",자동계산!$E$10,자동계산!$C$10),0)))</f>
        <v/>
      </c>
      <c r="BE26" s="72">
        <f>IF($A26="","",IF(L26="",0,IF(L26=IF($B26="언어와 매체",자동계산!$D$11,자동계산!$B$11),IF($B26="언어와 매체",자동계산!$E$11,자동계산!$C$11),0)))</f>
        <v/>
      </c>
      <c r="BF26" s="72">
        <f>IF($A26="","",IF(M26="",0,IF(M26=IF($B26="언어와 매체",자동계산!$D$12,자동계산!$B$12),IF($B26="언어와 매체",자동계산!$E$12,자동계산!$C$12),0)))</f>
        <v/>
      </c>
      <c r="BG26" s="72">
        <f>IF($A26="","",IF(N26="",0,IF(N26=IF($B26="언어와 매체",자동계산!$D$13,자동계산!$B$13),IF($B26="언어와 매체",자동계산!$E$13,자동계산!$C$13),0)))</f>
        <v/>
      </c>
      <c r="BH26" s="72">
        <f>IF($A26="","",IF(O26="",0,IF(O26=IF($B26="언어와 매체",자동계산!$D$14,자동계산!$B$14),IF($B26="언어와 매체",자동계산!$E$14,자동계산!$C$14),0)))</f>
        <v/>
      </c>
      <c r="BI26" s="72">
        <f>IF($A26="","",IF(P26="",0,IF(P26=IF($B26="언어와 매체",자동계산!$D$15,자동계산!$B$15),IF($B26="언어와 매체",자동계산!$E$15,자동계산!$C$15),0)))</f>
        <v/>
      </c>
      <c r="BJ26" s="72">
        <f>IF($A26="","",IF(Q26="",0,IF(Q26=IF($B26="언어와 매체",자동계산!$D$16,자동계산!$B$16),IF($B26="언어와 매체",자동계산!$E$16,자동계산!$C$16),0)))</f>
        <v/>
      </c>
      <c r="BK26" s="72">
        <f>IF($A26="","",IF(R26="",0,IF(R26=IF($B26="언어와 매체",자동계산!$D$17,자동계산!$B$17),IF($B26="언어와 매체",자동계산!$E$17,자동계산!$C$17),0)))</f>
        <v/>
      </c>
      <c r="BL26" s="72">
        <f>IF($A26="","",IF(S26="",0,IF(S26=IF($B26="언어와 매체",자동계산!$D$18,자동계산!$B$18),IF($B26="언어와 매체",자동계산!$E$18,자동계산!$C$18),0)))</f>
        <v/>
      </c>
      <c r="BM26" s="72">
        <f>IF($A26="","",IF(T26="",0,IF(T26=IF($B26="언어와 매체",자동계산!$D$19,자동계산!$B$19),IF($B26="언어와 매체",자동계산!$E$19,자동계산!$C$19),0)))</f>
        <v/>
      </c>
      <c r="BN26" s="72">
        <f>IF($A26="","",IF(U26="",0,IF(U26=IF($B26="언어와 매체",자동계산!$D$20,자동계산!$B$20),IF($B26="언어와 매체",자동계산!$E$20,자동계산!$C$20),0)))</f>
        <v/>
      </c>
      <c r="BO26" s="72">
        <f>IF($A26="","",IF(V26="",0,IF(V26=IF($B26="언어와 매체",자동계산!$D$21,자동계산!$B$21),IF($B26="언어와 매체",자동계산!$E$21,자동계산!$C$21),0)))</f>
        <v/>
      </c>
      <c r="BP26" s="72">
        <f>IF($A26="","",IF(W26="",0,IF(W26=IF($B26="언어와 매체",자동계산!$D$22,자동계산!$B$22),IF($B26="언어와 매체",자동계산!$E$22,자동계산!$C$22),0)))</f>
        <v/>
      </c>
      <c r="BQ26" s="72">
        <f>IF($A26="","",IF(X26="",0,IF(X26=IF($B26="언어와 매체",자동계산!$D$23,자동계산!$B$23),IF($B26="언어와 매체",자동계산!$E$23,자동계산!$C$23),0)))</f>
        <v/>
      </c>
      <c r="BR26" s="72">
        <f>IF($A26="","",IF(Y26="",0,IF(Y26=IF($B26="언어와 매체",자동계산!$D$24,자동계산!$B$24),IF($B26="언어와 매체",자동계산!$E$24,자동계산!$C$24),0)))</f>
        <v/>
      </c>
      <c r="BS26" s="72">
        <f>IF($A26="","",IF(Z26="",0,IF(Z26=IF($B26="언어와 매체",자동계산!$D$25,자동계산!$B$25),IF($B26="언어와 매체",자동계산!$E$25,자동계산!$C$25),0)))</f>
        <v/>
      </c>
      <c r="BT26" s="72">
        <f>IF($A26="","",IF(AA26="",0,IF(AA26=IF($B26="언어와 매체",자동계산!$D$26,자동계산!$B$26),IF($B26="언어와 매체",자동계산!$E$26,자동계산!$C$26),0)))</f>
        <v/>
      </c>
      <c r="BU26" s="72">
        <f>IF($A26="","",IF(AB26="",0,IF(AB26=IF($B26="언어와 매체",자동계산!$D$27,자동계산!$B$27),IF($B26="언어와 매체",자동계산!$E$27,자동계산!$C$27),0)))</f>
        <v/>
      </c>
      <c r="BV26" s="72">
        <f>IF($A26="","",IF(AC26="",0,IF(AC26=IF($B26="언어와 매체",자동계산!$D$28,자동계산!$B$28),IF($B26="언어와 매체",자동계산!$E$28,자동계산!$C$28),0)))</f>
        <v/>
      </c>
      <c r="BW26" s="72">
        <f>IF($A26="","",IF(AD26="",0,IF(AD26=IF($B26="언어와 매체",자동계산!$D$29,자동계산!$B$29),IF($B26="언어와 매체",자동계산!$E$29,자동계산!$C$29),0)))</f>
        <v/>
      </c>
      <c r="BX26" s="72">
        <f>IF($A26="","",IF(AE26="",0,IF(AE26=IF($B26="언어와 매체",자동계산!$D$30,자동계산!$B$30),IF($B26="언어와 매체",자동계산!$E$30,자동계산!$C$30),0)))</f>
        <v/>
      </c>
      <c r="BY26" s="72">
        <f>IF($A26="","",IF(AF26="",0,IF(AF26=IF($B26="언어와 매체",자동계산!$D$31,자동계산!$B$31),IF($B26="언어와 매체",자동계산!$E$31,자동계산!$C$31),0)))</f>
        <v/>
      </c>
      <c r="BZ26" s="72">
        <f>IF($A26="","",IF(AG26="",0,IF(AG26=IF($B26="언어와 매체",자동계산!$D$32,자동계산!$B$32),IF($B26="언어와 매체",자동계산!$E$32,자동계산!$C$32),0)))</f>
        <v/>
      </c>
      <c r="CA26" s="72">
        <f>IF($A26="","",IF(AH26="",0,IF(AH26=IF($B26="언어와 매체",자동계산!$D$33,자동계산!$B$33),IF($B26="언어와 매체",자동계산!$E$33,자동계산!$C$33),0)))</f>
        <v/>
      </c>
      <c r="CB26" s="72">
        <f>IF($A26="","",IF(AI26="",0,IF(AI26=IF($B26="언어와 매체",자동계산!$D$34,자동계산!$B$34),IF($B26="언어와 매체",자동계산!$E$34,자동계산!$C$34),0)))</f>
        <v/>
      </c>
      <c r="CC26" s="72">
        <f>IF($A26="","",IF(AJ26="",0,IF(AJ26=IF($B26="언어와 매체",자동계산!$D$35,자동계산!$B$35),IF($B26="언어와 매체",자동계산!$E$35,자동계산!$C$35),0)))</f>
        <v/>
      </c>
      <c r="CD26" s="72">
        <f>IF($A26="","",IF(AK26="",0,IF(AK26=IF($B26="언어와 매체",자동계산!$D$36,자동계산!$B$36),IF($B26="언어와 매체",자동계산!$E$36,자동계산!$C$36),0)))</f>
        <v/>
      </c>
      <c r="CE26" s="72">
        <f>IF($A26="","",IF(AL26="",0,IF(AL26=IF($B26="언어와 매체",자동계산!$D$37,자동계산!$B$37),IF($B26="언어와 매체",자동계산!$E$37,자동계산!$C$37),0)))</f>
        <v/>
      </c>
      <c r="CF26" s="72">
        <f>IF($A26="","",IF(AM26="",0,IF(AM26=IF($B26="언어와 매체",자동계산!$D$38,자동계산!$B$38),IF($B26="언어와 매체",자동계산!$E$38,자동계산!$C$38),0)))</f>
        <v/>
      </c>
      <c r="CG26" s="72">
        <f>IF($A26="","",IF(AN26="",0,IF(AN26=IF($B26="언어와 매체",자동계산!$D$39,자동계산!$B$39),IF($B26="언어와 매체",자동계산!$E$39,자동계산!$C$39),0)))</f>
        <v/>
      </c>
      <c r="CH26" s="72">
        <f>IF($A26="","",IF(AO26="",0,IF(AO26=IF($B26="언어와 매체",자동계산!$D$40,자동계산!$B$40),IF($B26="언어와 매체",자동계산!$E$40,자동계산!$C$40),0)))</f>
        <v/>
      </c>
      <c r="CI26" s="72">
        <f>IF($A26="","",IF(AP26="",0,IF(AP26=IF($B26="언어와 매체",자동계산!$D$41,자동계산!$B$41),IF($B26="언어와 매체",자동계산!$E$41,자동계산!$C$41),0)))</f>
        <v/>
      </c>
      <c r="CJ26" s="72">
        <f>IF($A26="","",IF(AQ26="",0,IF(AQ26=IF($B26="언어와 매체",자동계산!$D$42,자동계산!$B$42),IF($B26="언어와 매체",자동계산!$E$42,자동계산!$C$42),0)))</f>
        <v/>
      </c>
      <c r="CK26" s="72">
        <f>IF($A26="","",IF(AR26="",0,IF(AR26=IF($B26="언어와 매체",자동계산!$D$43,자동계산!$B$43),IF($B26="언어와 매체",자동계산!$E$43,자동계산!$C$43),0)))</f>
        <v/>
      </c>
      <c r="CL26" s="72">
        <f>IF($A26="","",IF(AS26="",0,IF(AS26=IF($B26="언어와 매체",자동계산!$D$44,자동계산!$B$44),IF($B26="언어와 매체",자동계산!$E$44,자동계산!$C$44),0)))</f>
        <v/>
      </c>
      <c r="CM26" s="72">
        <f>IF($A26="","",IF(AT26="",0,IF(AT26=IF($B26="언어와 매체",자동계산!$D$45,자동계산!$B$45),IF($B26="언어와 매체",자동계산!$E$45,자동계산!$C$45),0)))</f>
        <v/>
      </c>
      <c r="CN26" s="72">
        <f>IF($A26="","",IF(AU26="",0,IF(AU26=IF($B26="언어와 매체",자동계산!$D$46,자동계산!$B$46),IF($B26="언어와 매체",자동계산!$E$46,자동계산!$C$46),0)))</f>
        <v/>
      </c>
      <c r="CO26" s="72">
        <f>IF($A26="","",IF(AV26="",0,IF(AV26=IF($B26="언어와 매체",자동계산!$D$47,자동계산!$B$47),IF($B26="언어와 매체",자동계산!$E$47,자동계산!$C$47),0)))</f>
        <v/>
      </c>
      <c r="CP26" s="72">
        <f>IF($A26="","",IF(AW26="",0,IF(AW26=IF($B26="언어와 매체",자동계산!$D$48,자동계산!$B$48),IF($B26="언어와 매체",자동계산!$E$48,자동계산!$C$48),0)))</f>
        <v/>
      </c>
    </row>
    <row r="27">
      <c r="A27" s="70">
        <f>IF(답안입력!A27="","",답안입력!A27)</f>
        <v/>
      </c>
      <c r="B27" s="70">
        <f>IF($A27="","",답안입력!C27)</f>
        <v/>
      </c>
      <c r="C27" s="71">
        <f>IF($A27="","",SUM(AX27:CP27))</f>
        <v/>
      </c>
      <c r="D27" s="70">
        <f>IF($A27="","",IF($C27&gt;=IF($B27="언어와 매체",회차설정!$B$9,회차설정!$B$8),"1등급",IF($C27&gt;=IF($B27="언어와 매체",회차설정!$C$9,회차설정!$C$8),"2등급",IF($C27&gt;=IF($B27="언어와 매체",회차설정!$D$9,회차설정!$D$8),"3등급",IF($C27&gt;=IF($B27="언어와 매체",회차설정!$E$9,회차설정!$E$8),"4등급","등급 외")))))</f>
        <v/>
      </c>
      <c r="E27" s="72">
        <f>IF($A27="","",IF(LEN(답안입력!$D27)&gt;=1,VALUE(MID(답안입력!$D27,1,1)),IF(답안입력!E27="","",답안입력!E27)))</f>
        <v/>
      </c>
      <c r="F27" s="72">
        <f>IF($A27="","",IF(LEN(답안입력!$D27)&gt;=2,VALUE(MID(답안입력!$D27,2,1)),IF(답안입력!F27="","",답안입력!F27)))</f>
        <v/>
      </c>
      <c r="G27" s="72">
        <f>IF($A27="","",IF(LEN(답안입력!$D27)&gt;=3,VALUE(MID(답안입력!$D27,3,1)),IF(답안입력!G27="","",답안입력!G27)))</f>
        <v/>
      </c>
      <c r="H27" s="72">
        <f>IF($A27="","",IF(LEN(답안입력!$D27)&gt;=4,VALUE(MID(답안입력!$D27,4,1)),IF(답안입력!H27="","",답안입력!H27)))</f>
        <v/>
      </c>
      <c r="I27" s="72">
        <f>IF($A27="","",IF(LEN(답안입력!$D27)&gt;=5,VALUE(MID(답안입력!$D27,5,1)),IF(답안입력!I27="","",답안입력!I27)))</f>
        <v/>
      </c>
      <c r="J27" s="72">
        <f>IF($A27="","",IF(LEN(답안입력!$D27)&gt;=6,VALUE(MID(답안입력!$D27,6,1)),IF(답안입력!J27="","",답안입력!J27)))</f>
        <v/>
      </c>
      <c r="K27" s="72">
        <f>IF($A27="","",IF(LEN(답안입력!$D27)&gt;=7,VALUE(MID(답안입력!$D27,7,1)),IF(답안입력!K27="","",답안입력!K27)))</f>
        <v/>
      </c>
      <c r="L27" s="72">
        <f>IF($A27="","",IF(LEN(답안입력!$D27)&gt;=8,VALUE(MID(답안입력!$D27,8,1)),IF(답안입력!L27="","",답안입력!L27)))</f>
        <v/>
      </c>
      <c r="M27" s="72">
        <f>IF($A27="","",IF(LEN(답안입력!$D27)&gt;=9,VALUE(MID(답안입력!$D27,9,1)),IF(답안입력!M27="","",답안입력!M27)))</f>
        <v/>
      </c>
      <c r="N27" s="72">
        <f>IF($A27="","",IF(LEN(답안입력!$D27)&gt;=10,VALUE(MID(답안입력!$D27,10,1)),IF(답안입력!N27="","",답안입력!N27)))</f>
        <v/>
      </c>
      <c r="O27" s="72">
        <f>IF($A27="","",IF(LEN(답안입력!$D27)&gt;=11,VALUE(MID(답안입력!$D27,11,1)),IF(답안입력!O27="","",답안입력!O27)))</f>
        <v/>
      </c>
      <c r="P27" s="72">
        <f>IF($A27="","",IF(LEN(답안입력!$D27)&gt;=12,VALUE(MID(답안입력!$D27,12,1)),IF(답안입력!P27="","",답안입력!P27)))</f>
        <v/>
      </c>
      <c r="Q27" s="72">
        <f>IF($A27="","",IF(LEN(답안입력!$D27)&gt;=13,VALUE(MID(답안입력!$D27,13,1)),IF(답안입력!Q27="","",답안입력!Q27)))</f>
        <v/>
      </c>
      <c r="R27" s="72">
        <f>IF($A27="","",IF(LEN(답안입력!$D27)&gt;=14,VALUE(MID(답안입력!$D27,14,1)),IF(답안입력!R27="","",답안입력!R27)))</f>
        <v/>
      </c>
      <c r="S27" s="72">
        <f>IF($A27="","",IF(LEN(답안입력!$D27)&gt;=15,VALUE(MID(답안입력!$D27,15,1)),IF(답안입력!S27="","",답안입력!S27)))</f>
        <v/>
      </c>
      <c r="T27" s="72">
        <f>IF($A27="","",IF(LEN(답안입력!$D27)&gt;=16,VALUE(MID(답안입력!$D27,16,1)),IF(답안입력!T27="","",답안입력!T27)))</f>
        <v/>
      </c>
      <c r="U27" s="72">
        <f>IF($A27="","",IF(LEN(답안입력!$D27)&gt;=17,VALUE(MID(답안입력!$D27,17,1)),IF(답안입력!U27="","",답안입력!U27)))</f>
        <v/>
      </c>
      <c r="V27" s="72">
        <f>IF($A27="","",IF(LEN(답안입력!$D27)&gt;=18,VALUE(MID(답안입력!$D27,18,1)),IF(답안입력!V27="","",답안입력!V27)))</f>
        <v/>
      </c>
      <c r="W27" s="72">
        <f>IF($A27="","",IF(LEN(답안입력!$D27)&gt;=19,VALUE(MID(답안입력!$D27,19,1)),IF(답안입력!W27="","",답안입력!W27)))</f>
        <v/>
      </c>
      <c r="X27" s="72">
        <f>IF($A27="","",IF(LEN(답안입력!$D27)&gt;=20,VALUE(MID(답안입력!$D27,20,1)),IF(답안입력!X27="","",답안입력!X27)))</f>
        <v/>
      </c>
      <c r="Y27" s="72">
        <f>IF($A27="","",IF(LEN(답안입력!$D27)&gt;=21,VALUE(MID(답안입력!$D27,21,1)),IF(답안입력!Y27="","",답안입력!Y27)))</f>
        <v/>
      </c>
      <c r="Z27" s="72">
        <f>IF($A27="","",IF(LEN(답안입력!$D27)&gt;=22,VALUE(MID(답안입력!$D27,22,1)),IF(답안입력!Z27="","",답안입력!Z27)))</f>
        <v/>
      </c>
      <c r="AA27" s="72">
        <f>IF($A27="","",IF(LEN(답안입력!$D27)&gt;=23,VALUE(MID(답안입력!$D27,23,1)),IF(답안입력!AA27="","",답안입력!AA27)))</f>
        <v/>
      </c>
      <c r="AB27" s="72">
        <f>IF($A27="","",IF(LEN(답안입력!$D27)&gt;=24,VALUE(MID(답안입력!$D27,24,1)),IF(답안입력!AB27="","",답안입력!AB27)))</f>
        <v/>
      </c>
      <c r="AC27" s="72">
        <f>IF($A27="","",IF(LEN(답안입력!$D27)&gt;=25,VALUE(MID(답안입력!$D27,25,1)),IF(답안입력!AC27="","",답안입력!AC27)))</f>
        <v/>
      </c>
      <c r="AD27" s="72">
        <f>IF($A27="","",IF(LEN(답안입력!$D27)&gt;=26,VALUE(MID(답안입력!$D27,26,1)),IF(답안입력!AD27="","",답안입력!AD27)))</f>
        <v/>
      </c>
      <c r="AE27" s="72">
        <f>IF($A27="","",IF(LEN(답안입력!$D27)&gt;=27,VALUE(MID(답안입력!$D27,27,1)),IF(답안입력!AE27="","",답안입력!AE27)))</f>
        <v/>
      </c>
      <c r="AF27" s="72">
        <f>IF($A27="","",IF(LEN(답안입력!$D27)&gt;=28,VALUE(MID(답안입력!$D27,28,1)),IF(답안입력!AF27="","",답안입력!AF27)))</f>
        <v/>
      </c>
      <c r="AG27" s="72">
        <f>IF($A27="","",IF(LEN(답안입력!$D27)&gt;=29,VALUE(MID(답안입력!$D27,29,1)),IF(답안입력!AG27="","",답안입력!AG27)))</f>
        <v/>
      </c>
      <c r="AH27" s="72">
        <f>IF($A27="","",IF(LEN(답안입력!$D27)&gt;=30,VALUE(MID(답안입력!$D27,30,1)),IF(답안입력!AH27="","",답안입력!AH27)))</f>
        <v/>
      </c>
      <c r="AI27" s="72">
        <f>IF($A27="","",IF(LEN(답안입력!$D27)&gt;=31,VALUE(MID(답안입력!$D27,31,1)),IF(답안입력!AI27="","",답안입력!AI27)))</f>
        <v/>
      </c>
      <c r="AJ27" s="72">
        <f>IF($A27="","",IF(LEN(답안입력!$D27)&gt;=32,VALUE(MID(답안입력!$D27,32,1)),IF(답안입력!AJ27="","",답안입력!AJ27)))</f>
        <v/>
      </c>
      <c r="AK27" s="72">
        <f>IF($A27="","",IF(LEN(답안입력!$D27)&gt;=33,VALUE(MID(답안입력!$D27,33,1)),IF(답안입력!AK27="","",답안입력!AK27)))</f>
        <v/>
      </c>
      <c r="AL27" s="72">
        <f>IF($A27="","",IF(LEN(답안입력!$D27)&gt;=34,VALUE(MID(답안입력!$D27,34,1)),IF(답안입력!AL27="","",답안입력!AL27)))</f>
        <v/>
      </c>
      <c r="AM27" s="72">
        <f>IF($A27="","",IF(LEN(답안입력!$D27)&gt;=35,VALUE(MID(답안입력!$D27,35,1)),IF(답안입력!AM27="","",답안입력!AM27)))</f>
        <v/>
      </c>
      <c r="AN27" s="72">
        <f>IF($A27="","",IF(LEN(답안입력!$D27)&gt;=36,VALUE(MID(답안입력!$D27,36,1)),IF(답안입력!AN27="","",답안입력!AN27)))</f>
        <v/>
      </c>
      <c r="AO27" s="72">
        <f>IF($A27="","",IF(LEN(답안입력!$D27)&gt;=37,VALUE(MID(답안입력!$D27,37,1)),IF(답안입력!AO27="","",답안입력!AO27)))</f>
        <v/>
      </c>
      <c r="AP27" s="72">
        <f>IF($A27="","",IF(LEN(답안입력!$D27)&gt;=38,VALUE(MID(답안입력!$D27,38,1)),IF(답안입력!AP27="","",답안입력!AP27)))</f>
        <v/>
      </c>
      <c r="AQ27" s="72">
        <f>IF($A27="","",IF(LEN(답안입력!$D27)&gt;=39,VALUE(MID(답안입력!$D27,39,1)),IF(답안입력!AQ27="","",답안입력!AQ27)))</f>
        <v/>
      </c>
      <c r="AR27" s="72">
        <f>IF($A27="","",IF(LEN(답안입력!$D27)&gt;=40,VALUE(MID(답안입력!$D27,40,1)),IF(답안입력!AR27="","",답안입력!AR27)))</f>
        <v/>
      </c>
      <c r="AS27" s="72">
        <f>IF($A27="","",IF(LEN(답안입력!$D27)&gt;=41,VALUE(MID(답안입력!$D27,41,1)),IF(답안입력!AS27="","",답안입력!AS27)))</f>
        <v/>
      </c>
      <c r="AT27" s="72">
        <f>IF($A27="","",IF(LEN(답안입력!$D27)&gt;=42,VALUE(MID(답안입력!$D27,42,1)),IF(답안입력!AT27="","",답안입력!AT27)))</f>
        <v/>
      </c>
      <c r="AU27" s="72">
        <f>IF($A27="","",IF(LEN(답안입력!$D27)&gt;=43,VALUE(MID(답안입력!$D27,43,1)),IF(답안입력!AU27="","",답안입력!AU27)))</f>
        <v/>
      </c>
      <c r="AV27" s="72">
        <f>IF($A27="","",IF(LEN(답안입력!$D27)&gt;=44,VALUE(MID(답안입력!$D27,44,1)),IF(답안입력!AV27="","",답안입력!AV27)))</f>
        <v/>
      </c>
      <c r="AW27" s="72">
        <f>IF($A27="","",IF(LEN(답안입력!$D27)&gt;=45,VALUE(MID(답안입력!$D27,45,1)),IF(답안입력!AW27="","",답안입력!AW27)))</f>
        <v/>
      </c>
      <c r="AX27" s="72">
        <f>IF($A27="","",IF(E27="",0,IF(E27=IF($B27="언어와 매체",자동계산!$D$4,자동계산!$B$4),IF($B27="언어와 매체",자동계산!$E$4,자동계산!$C$4),0)))</f>
        <v/>
      </c>
      <c r="AY27" s="72">
        <f>IF($A27="","",IF(F27="",0,IF(F27=IF($B27="언어와 매체",자동계산!$D$5,자동계산!$B$5),IF($B27="언어와 매체",자동계산!$E$5,자동계산!$C$5),0)))</f>
        <v/>
      </c>
      <c r="AZ27" s="72">
        <f>IF($A27="","",IF(G27="",0,IF(G27=IF($B27="언어와 매체",자동계산!$D$6,자동계산!$B$6),IF($B27="언어와 매체",자동계산!$E$6,자동계산!$C$6),0)))</f>
        <v/>
      </c>
      <c r="BA27" s="72">
        <f>IF($A27="","",IF(H27="",0,IF(H27=IF($B27="언어와 매체",자동계산!$D$7,자동계산!$B$7),IF($B27="언어와 매체",자동계산!$E$7,자동계산!$C$7),0)))</f>
        <v/>
      </c>
      <c r="BB27" s="72">
        <f>IF($A27="","",IF(I27="",0,IF(I27=IF($B27="언어와 매체",자동계산!$D$8,자동계산!$B$8),IF($B27="언어와 매체",자동계산!$E$8,자동계산!$C$8),0)))</f>
        <v/>
      </c>
      <c r="BC27" s="72">
        <f>IF($A27="","",IF(J27="",0,IF(J27=IF($B27="언어와 매체",자동계산!$D$9,자동계산!$B$9),IF($B27="언어와 매체",자동계산!$E$9,자동계산!$C$9),0)))</f>
        <v/>
      </c>
      <c r="BD27" s="72">
        <f>IF($A27="","",IF(K27="",0,IF(K27=IF($B27="언어와 매체",자동계산!$D$10,자동계산!$B$10),IF($B27="언어와 매체",자동계산!$E$10,자동계산!$C$10),0)))</f>
        <v/>
      </c>
      <c r="BE27" s="72">
        <f>IF($A27="","",IF(L27="",0,IF(L27=IF($B27="언어와 매체",자동계산!$D$11,자동계산!$B$11),IF($B27="언어와 매체",자동계산!$E$11,자동계산!$C$11),0)))</f>
        <v/>
      </c>
      <c r="BF27" s="72">
        <f>IF($A27="","",IF(M27="",0,IF(M27=IF($B27="언어와 매체",자동계산!$D$12,자동계산!$B$12),IF($B27="언어와 매체",자동계산!$E$12,자동계산!$C$12),0)))</f>
        <v/>
      </c>
      <c r="BG27" s="72">
        <f>IF($A27="","",IF(N27="",0,IF(N27=IF($B27="언어와 매체",자동계산!$D$13,자동계산!$B$13),IF($B27="언어와 매체",자동계산!$E$13,자동계산!$C$13),0)))</f>
        <v/>
      </c>
      <c r="BH27" s="72">
        <f>IF($A27="","",IF(O27="",0,IF(O27=IF($B27="언어와 매체",자동계산!$D$14,자동계산!$B$14),IF($B27="언어와 매체",자동계산!$E$14,자동계산!$C$14),0)))</f>
        <v/>
      </c>
      <c r="BI27" s="72">
        <f>IF($A27="","",IF(P27="",0,IF(P27=IF($B27="언어와 매체",자동계산!$D$15,자동계산!$B$15),IF($B27="언어와 매체",자동계산!$E$15,자동계산!$C$15),0)))</f>
        <v/>
      </c>
      <c r="BJ27" s="72">
        <f>IF($A27="","",IF(Q27="",0,IF(Q27=IF($B27="언어와 매체",자동계산!$D$16,자동계산!$B$16),IF($B27="언어와 매체",자동계산!$E$16,자동계산!$C$16),0)))</f>
        <v/>
      </c>
      <c r="BK27" s="72">
        <f>IF($A27="","",IF(R27="",0,IF(R27=IF($B27="언어와 매체",자동계산!$D$17,자동계산!$B$17),IF($B27="언어와 매체",자동계산!$E$17,자동계산!$C$17),0)))</f>
        <v/>
      </c>
      <c r="BL27" s="72">
        <f>IF($A27="","",IF(S27="",0,IF(S27=IF($B27="언어와 매체",자동계산!$D$18,자동계산!$B$18),IF($B27="언어와 매체",자동계산!$E$18,자동계산!$C$18),0)))</f>
        <v/>
      </c>
      <c r="BM27" s="72">
        <f>IF($A27="","",IF(T27="",0,IF(T27=IF($B27="언어와 매체",자동계산!$D$19,자동계산!$B$19),IF($B27="언어와 매체",자동계산!$E$19,자동계산!$C$19),0)))</f>
        <v/>
      </c>
      <c r="BN27" s="72">
        <f>IF($A27="","",IF(U27="",0,IF(U27=IF($B27="언어와 매체",자동계산!$D$20,자동계산!$B$20),IF($B27="언어와 매체",자동계산!$E$20,자동계산!$C$20),0)))</f>
        <v/>
      </c>
      <c r="BO27" s="72">
        <f>IF($A27="","",IF(V27="",0,IF(V27=IF($B27="언어와 매체",자동계산!$D$21,자동계산!$B$21),IF($B27="언어와 매체",자동계산!$E$21,자동계산!$C$21),0)))</f>
        <v/>
      </c>
      <c r="BP27" s="72">
        <f>IF($A27="","",IF(W27="",0,IF(W27=IF($B27="언어와 매체",자동계산!$D$22,자동계산!$B$22),IF($B27="언어와 매체",자동계산!$E$22,자동계산!$C$22),0)))</f>
        <v/>
      </c>
      <c r="BQ27" s="72">
        <f>IF($A27="","",IF(X27="",0,IF(X27=IF($B27="언어와 매체",자동계산!$D$23,자동계산!$B$23),IF($B27="언어와 매체",자동계산!$E$23,자동계산!$C$23),0)))</f>
        <v/>
      </c>
      <c r="BR27" s="72">
        <f>IF($A27="","",IF(Y27="",0,IF(Y27=IF($B27="언어와 매체",자동계산!$D$24,자동계산!$B$24),IF($B27="언어와 매체",자동계산!$E$24,자동계산!$C$24),0)))</f>
        <v/>
      </c>
      <c r="BS27" s="72">
        <f>IF($A27="","",IF(Z27="",0,IF(Z27=IF($B27="언어와 매체",자동계산!$D$25,자동계산!$B$25),IF($B27="언어와 매체",자동계산!$E$25,자동계산!$C$25),0)))</f>
        <v/>
      </c>
      <c r="BT27" s="72">
        <f>IF($A27="","",IF(AA27="",0,IF(AA27=IF($B27="언어와 매체",자동계산!$D$26,자동계산!$B$26),IF($B27="언어와 매체",자동계산!$E$26,자동계산!$C$26),0)))</f>
        <v/>
      </c>
      <c r="BU27" s="72">
        <f>IF($A27="","",IF(AB27="",0,IF(AB27=IF($B27="언어와 매체",자동계산!$D$27,자동계산!$B$27),IF($B27="언어와 매체",자동계산!$E$27,자동계산!$C$27),0)))</f>
        <v/>
      </c>
      <c r="BV27" s="72">
        <f>IF($A27="","",IF(AC27="",0,IF(AC27=IF($B27="언어와 매체",자동계산!$D$28,자동계산!$B$28),IF($B27="언어와 매체",자동계산!$E$28,자동계산!$C$28),0)))</f>
        <v/>
      </c>
      <c r="BW27" s="72">
        <f>IF($A27="","",IF(AD27="",0,IF(AD27=IF($B27="언어와 매체",자동계산!$D$29,자동계산!$B$29),IF($B27="언어와 매체",자동계산!$E$29,자동계산!$C$29),0)))</f>
        <v/>
      </c>
      <c r="BX27" s="72">
        <f>IF($A27="","",IF(AE27="",0,IF(AE27=IF($B27="언어와 매체",자동계산!$D$30,자동계산!$B$30),IF($B27="언어와 매체",자동계산!$E$30,자동계산!$C$30),0)))</f>
        <v/>
      </c>
      <c r="BY27" s="72">
        <f>IF($A27="","",IF(AF27="",0,IF(AF27=IF($B27="언어와 매체",자동계산!$D$31,자동계산!$B$31),IF($B27="언어와 매체",자동계산!$E$31,자동계산!$C$31),0)))</f>
        <v/>
      </c>
      <c r="BZ27" s="72">
        <f>IF($A27="","",IF(AG27="",0,IF(AG27=IF($B27="언어와 매체",자동계산!$D$32,자동계산!$B$32),IF($B27="언어와 매체",자동계산!$E$32,자동계산!$C$32),0)))</f>
        <v/>
      </c>
      <c r="CA27" s="72">
        <f>IF($A27="","",IF(AH27="",0,IF(AH27=IF($B27="언어와 매체",자동계산!$D$33,자동계산!$B$33),IF($B27="언어와 매체",자동계산!$E$33,자동계산!$C$33),0)))</f>
        <v/>
      </c>
      <c r="CB27" s="72">
        <f>IF($A27="","",IF(AI27="",0,IF(AI27=IF($B27="언어와 매체",자동계산!$D$34,자동계산!$B$34),IF($B27="언어와 매체",자동계산!$E$34,자동계산!$C$34),0)))</f>
        <v/>
      </c>
      <c r="CC27" s="72">
        <f>IF($A27="","",IF(AJ27="",0,IF(AJ27=IF($B27="언어와 매체",자동계산!$D$35,자동계산!$B$35),IF($B27="언어와 매체",자동계산!$E$35,자동계산!$C$35),0)))</f>
        <v/>
      </c>
      <c r="CD27" s="72">
        <f>IF($A27="","",IF(AK27="",0,IF(AK27=IF($B27="언어와 매체",자동계산!$D$36,자동계산!$B$36),IF($B27="언어와 매체",자동계산!$E$36,자동계산!$C$36),0)))</f>
        <v/>
      </c>
      <c r="CE27" s="72">
        <f>IF($A27="","",IF(AL27="",0,IF(AL27=IF($B27="언어와 매체",자동계산!$D$37,자동계산!$B$37),IF($B27="언어와 매체",자동계산!$E$37,자동계산!$C$37),0)))</f>
        <v/>
      </c>
      <c r="CF27" s="72">
        <f>IF($A27="","",IF(AM27="",0,IF(AM27=IF($B27="언어와 매체",자동계산!$D$38,자동계산!$B$38),IF($B27="언어와 매체",자동계산!$E$38,자동계산!$C$38),0)))</f>
        <v/>
      </c>
      <c r="CG27" s="72">
        <f>IF($A27="","",IF(AN27="",0,IF(AN27=IF($B27="언어와 매체",자동계산!$D$39,자동계산!$B$39),IF($B27="언어와 매체",자동계산!$E$39,자동계산!$C$39),0)))</f>
        <v/>
      </c>
      <c r="CH27" s="72">
        <f>IF($A27="","",IF(AO27="",0,IF(AO27=IF($B27="언어와 매체",자동계산!$D$40,자동계산!$B$40),IF($B27="언어와 매체",자동계산!$E$40,자동계산!$C$40),0)))</f>
        <v/>
      </c>
      <c r="CI27" s="72">
        <f>IF($A27="","",IF(AP27="",0,IF(AP27=IF($B27="언어와 매체",자동계산!$D$41,자동계산!$B$41),IF($B27="언어와 매체",자동계산!$E$41,자동계산!$C$41),0)))</f>
        <v/>
      </c>
      <c r="CJ27" s="72">
        <f>IF($A27="","",IF(AQ27="",0,IF(AQ27=IF($B27="언어와 매체",자동계산!$D$42,자동계산!$B$42),IF($B27="언어와 매체",자동계산!$E$42,자동계산!$C$42),0)))</f>
        <v/>
      </c>
      <c r="CK27" s="72">
        <f>IF($A27="","",IF(AR27="",0,IF(AR27=IF($B27="언어와 매체",자동계산!$D$43,자동계산!$B$43),IF($B27="언어와 매체",자동계산!$E$43,자동계산!$C$43),0)))</f>
        <v/>
      </c>
      <c r="CL27" s="72">
        <f>IF($A27="","",IF(AS27="",0,IF(AS27=IF($B27="언어와 매체",자동계산!$D$44,자동계산!$B$44),IF($B27="언어와 매체",자동계산!$E$44,자동계산!$C$44),0)))</f>
        <v/>
      </c>
      <c r="CM27" s="72">
        <f>IF($A27="","",IF(AT27="",0,IF(AT27=IF($B27="언어와 매체",자동계산!$D$45,자동계산!$B$45),IF($B27="언어와 매체",자동계산!$E$45,자동계산!$C$45),0)))</f>
        <v/>
      </c>
      <c r="CN27" s="72">
        <f>IF($A27="","",IF(AU27="",0,IF(AU27=IF($B27="언어와 매체",자동계산!$D$46,자동계산!$B$46),IF($B27="언어와 매체",자동계산!$E$46,자동계산!$C$46),0)))</f>
        <v/>
      </c>
      <c r="CO27" s="72">
        <f>IF($A27="","",IF(AV27="",0,IF(AV27=IF($B27="언어와 매체",자동계산!$D$47,자동계산!$B$47),IF($B27="언어와 매체",자동계산!$E$47,자동계산!$C$47),0)))</f>
        <v/>
      </c>
      <c r="CP27" s="72">
        <f>IF($A27="","",IF(AW27="",0,IF(AW27=IF($B27="언어와 매체",자동계산!$D$48,자동계산!$B$48),IF($B27="언어와 매체",자동계산!$E$48,자동계산!$C$48),0)))</f>
        <v/>
      </c>
    </row>
    <row r="28">
      <c r="A28" s="70">
        <f>IF(답안입력!A28="","",답안입력!A28)</f>
        <v/>
      </c>
      <c r="B28" s="70">
        <f>IF($A28="","",답안입력!C28)</f>
        <v/>
      </c>
      <c r="C28" s="71">
        <f>IF($A28="","",SUM(AX28:CP28))</f>
        <v/>
      </c>
      <c r="D28" s="70">
        <f>IF($A28="","",IF($C28&gt;=IF($B28="언어와 매체",회차설정!$B$9,회차설정!$B$8),"1등급",IF($C28&gt;=IF($B28="언어와 매체",회차설정!$C$9,회차설정!$C$8),"2등급",IF($C28&gt;=IF($B28="언어와 매체",회차설정!$D$9,회차설정!$D$8),"3등급",IF($C28&gt;=IF($B28="언어와 매체",회차설정!$E$9,회차설정!$E$8),"4등급","등급 외")))))</f>
        <v/>
      </c>
      <c r="E28" s="72">
        <f>IF($A28="","",IF(LEN(답안입력!$D28)&gt;=1,VALUE(MID(답안입력!$D28,1,1)),IF(답안입력!E28="","",답안입력!E28)))</f>
        <v/>
      </c>
      <c r="F28" s="72">
        <f>IF($A28="","",IF(LEN(답안입력!$D28)&gt;=2,VALUE(MID(답안입력!$D28,2,1)),IF(답안입력!F28="","",답안입력!F28)))</f>
        <v/>
      </c>
      <c r="G28" s="72">
        <f>IF($A28="","",IF(LEN(답안입력!$D28)&gt;=3,VALUE(MID(답안입력!$D28,3,1)),IF(답안입력!G28="","",답안입력!G28)))</f>
        <v/>
      </c>
      <c r="H28" s="72">
        <f>IF($A28="","",IF(LEN(답안입력!$D28)&gt;=4,VALUE(MID(답안입력!$D28,4,1)),IF(답안입력!H28="","",답안입력!H28)))</f>
        <v/>
      </c>
      <c r="I28" s="72">
        <f>IF($A28="","",IF(LEN(답안입력!$D28)&gt;=5,VALUE(MID(답안입력!$D28,5,1)),IF(답안입력!I28="","",답안입력!I28)))</f>
        <v/>
      </c>
      <c r="J28" s="72">
        <f>IF($A28="","",IF(LEN(답안입력!$D28)&gt;=6,VALUE(MID(답안입력!$D28,6,1)),IF(답안입력!J28="","",답안입력!J28)))</f>
        <v/>
      </c>
      <c r="K28" s="72">
        <f>IF($A28="","",IF(LEN(답안입력!$D28)&gt;=7,VALUE(MID(답안입력!$D28,7,1)),IF(답안입력!K28="","",답안입력!K28)))</f>
        <v/>
      </c>
      <c r="L28" s="72">
        <f>IF($A28="","",IF(LEN(답안입력!$D28)&gt;=8,VALUE(MID(답안입력!$D28,8,1)),IF(답안입력!L28="","",답안입력!L28)))</f>
        <v/>
      </c>
      <c r="M28" s="72">
        <f>IF($A28="","",IF(LEN(답안입력!$D28)&gt;=9,VALUE(MID(답안입력!$D28,9,1)),IF(답안입력!M28="","",답안입력!M28)))</f>
        <v/>
      </c>
      <c r="N28" s="72">
        <f>IF($A28="","",IF(LEN(답안입력!$D28)&gt;=10,VALUE(MID(답안입력!$D28,10,1)),IF(답안입력!N28="","",답안입력!N28)))</f>
        <v/>
      </c>
      <c r="O28" s="72">
        <f>IF($A28="","",IF(LEN(답안입력!$D28)&gt;=11,VALUE(MID(답안입력!$D28,11,1)),IF(답안입력!O28="","",답안입력!O28)))</f>
        <v/>
      </c>
      <c r="P28" s="72">
        <f>IF($A28="","",IF(LEN(답안입력!$D28)&gt;=12,VALUE(MID(답안입력!$D28,12,1)),IF(답안입력!P28="","",답안입력!P28)))</f>
        <v/>
      </c>
      <c r="Q28" s="72">
        <f>IF($A28="","",IF(LEN(답안입력!$D28)&gt;=13,VALUE(MID(답안입력!$D28,13,1)),IF(답안입력!Q28="","",답안입력!Q28)))</f>
        <v/>
      </c>
      <c r="R28" s="72">
        <f>IF($A28="","",IF(LEN(답안입력!$D28)&gt;=14,VALUE(MID(답안입력!$D28,14,1)),IF(답안입력!R28="","",답안입력!R28)))</f>
        <v/>
      </c>
      <c r="S28" s="72">
        <f>IF($A28="","",IF(LEN(답안입력!$D28)&gt;=15,VALUE(MID(답안입력!$D28,15,1)),IF(답안입력!S28="","",답안입력!S28)))</f>
        <v/>
      </c>
      <c r="T28" s="72">
        <f>IF($A28="","",IF(LEN(답안입력!$D28)&gt;=16,VALUE(MID(답안입력!$D28,16,1)),IF(답안입력!T28="","",답안입력!T28)))</f>
        <v/>
      </c>
      <c r="U28" s="72">
        <f>IF($A28="","",IF(LEN(답안입력!$D28)&gt;=17,VALUE(MID(답안입력!$D28,17,1)),IF(답안입력!U28="","",답안입력!U28)))</f>
        <v/>
      </c>
      <c r="V28" s="72">
        <f>IF($A28="","",IF(LEN(답안입력!$D28)&gt;=18,VALUE(MID(답안입력!$D28,18,1)),IF(답안입력!V28="","",답안입력!V28)))</f>
        <v/>
      </c>
      <c r="W28" s="72">
        <f>IF($A28="","",IF(LEN(답안입력!$D28)&gt;=19,VALUE(MID(답안입력!$D28,19,1)),IF(답안입력!W28="","",답안입력!W28)))</f>
        <v/>
      </c>
      <c r="X28" s="72">
        <f>IF($A28="","",IF(LEN(답안입력!$D28)&gt;=20,VALUE(MID(답안입력!$D28,20,1)),IF(답안입력!X28="","",답안입력!X28)))</f>
        <v/>
      </c>
      <c r="Y28" s="72">
        <f>IF($A28="","",IF(LEN(답안입력!$D28)&gt;=21,VALUE(MID(답안입력!$D28,21,1)),IF(답안입력!Y28="","",답안입력!Y28)))</f>
        <v/>
      </c>
      <c r="Z28" s="72">
        <f>IF($A28="","",IF(LEN(답안입력!$D28)&gt;=22,VALUE(MID(답안입력!$D28,22,1)),IF(답안입력!Z28="","",답안입력!Z28)))</f>
        <v/>
      </c>
      <c r="AA28" s="72">
        <f>IF($A28="","",IF(LEN(답안입력!$D28)&gt;=23,VALUE(MID(답안입력!$D28,23,1)),IF(답안입력!AA28="","",답안입력!AA28)))</f>
        <v/>
      </c>
      <c r="AB28" s="72">
        <f>IF($A28="","",IF(LEN(답안입력!$D28)&gt;=24,VALUE(MID(답안입력!$D28,24,1)),IF(답안입력!AB28="","",답안입력!AB28)))</f>
        <v/>
      </c>
      <c r="AC28" s="72">
        <f>IF($A28="","",IF(LEN(답안입력!$D28)&gt;=25,VALUE(MID(답안입력!$D28,25,1)),IF(답안입력!AC28="","",답안입력!AC28)))</f>
        <v/>
      </c>
      <c r="AD28" s="72">
        <f>IF($A28="","",IF(LEN(답안입력!$D28)&gt;=26,VALUE(MID(답안입력!$D28,26,1)),IF(답안입력!AD28="","",답안입력!AD28)))</f>
        <v/>
      </c>
      <c r="AE28" s="72">
        <f>IF($A28="","",IF(LEN(답안입력!$D28)&gt;=27,VALUE(MID(답안입력!$D28,27,1)),IF(답안입력!AE28="","",답안입력!AE28)))</f>
        <v/>
      </c>
      <c r="AF28" s="72">
        <f>IF($A28="","",IF(LEN(답안입력!$D28)&gt;=28,VALUE(MID(답안입력!$D28,28,1)),IF(답안입력!AF28="","",답안입력!AF28)))</f>
        <v/>
      </c>
      <c r="AG28" s="72">
        <f>IF($A28="","",IF(LEN(답안입력!$D28)&gt;=29,VALUE(MID(답안입력!$D28,29,1)),IF(답안입력!AG28="","",답안입력!AG28)))</f>
        <v/>
      </c>
      <c r="AH28" s="72">
        <f>IF($A28="","",IF(LEN(답안입력!$D28)&gt;=30,VALUE(MID(답안입력!$D28,30,1)),IF(답안입력!AH28="","",답안입력!AH28)))</f>
        <v/>
      </c>
      <c r="AI28" s="72">
        <f>IF($A28="","",IF(LEN(답안입력!$D28)&gt;=31,VALUE(MID(답안입력!$D28,31,1)),IF(답안입력!AI28="","",답안입력!AI28)))</f>
        <v/>
      </c>
      <c r="AJ28" s="72">
        <f>IF($A28="","",IF(LEN(답안입력!$D28)&gt;=32,VALUE(MID(답안입력!$D28,32,1)),IF(답안입력!AJ28="","",답안입력!AJ28)))</f>
        <v/>
      </c>
      <c r="AK28" s="72">
        <f>IF($A28="","",IF(LEN(답안입력!$D28)&gt;=33,VALUE(MID(답안입력!$D28,33,1)),IF(답안입력!AK28="","",답안입력!AK28)))</f>
        <v/>
      </c>
      <c r="AL28" s="72">
        <f>IF($A28="","",IF(LEN(답안입력!$D28)&gt;=34,VALUE(MID(답안입력!$D28,34,1)),IF(답안입력!AL28="","",답안입력!AL28)))</f>
        <v/>
      </c>
      <c r="AM28" s="72">
        <f>IF($A28="","",IF(LEN(답안입력!$D28)&gt;=35,VALUE(MID(답안입력!$D28,35,1)),IF(답안입력!AM28="","",답안입력!AM28)))</f>
        <v/>
      </c>
      <c r="AN28" s="72">
        <f>IF($A28="","",IF(LEN(답안입력!$D28)&gt;=36,VALUE(MID(답안입력!$D28,36,1)),IF(답안입력!AN28="","",답안입력!AN28)))</f>
        <v/>
      </c>
      <c r="AO28" s="72">
        <f>IF($A28="","",IF(LEN(답안입력!$D28)&gt;=37,VALUE(MID(답안입력!$D28,37,1)),IF(답안입력!AO28="","",답안입력!AO28)))</f>
        <v/>
      </c>
      <c r="AP28" s="72">
        <f>IF($A28="","",IF(LEN(답안입력!$D28)&gt;=38,VALUE(MID(답안입력!$D28,38,1)),IF(답안입력!AP28="","",답안입력!AP28)))</f>
        <v/>
      </c>
      <c r="AQ28" s="72">
        <f>IF($A28="","",IF(LEN(답안입력!$D28)&gt;=39,VALUE(MID(답안입력!$D28,39,1)),IF(답안입력!AQ28="","",답안입력!AQ28)))</f>
        <v/>
      </c>
      <c r="AR28" s="72">
        <f>IF($A28="","",IF(LEN(답안입력!$D28)&gt;=40,VALUE(MID(답안입력!$D28,40,1)),IF(답안입력!AR28="","",답안입력!AR28)))</f>
        <v/>
      </c>
      <c r="AS28" s="72">
        <f>IF($A28="","",IF(LEN(답안입력!$D28)&gt;=41,VALUE(MID(답안입력!$D28,41,1)),IF(답안입력!AS28="","",답안입력!AS28)))</f>
        <v/>
      </c>
      <c r="AT28" s="72">
        <f>IF($A28="","",IF(LEN(답안입력!$D28)&gt;=42,VALUE(MID(답안입력!$D28,42,1)),IF(답안입력!AT28="","",답안입력!AT28)))</f>
        <v/>
      </c>
      <c r="AU28" s="72">
        <f>IF($A28="","",IF(LEN(답안입력!$D28)&gt;=43,VALUE(MID(답안입력!$D28,43,1)),IF(답안입력!AU28="","",답안입력!AU28)))</f>
        <v/>
      </c>
      <c r="AV28" s="72">
        <f>IF($A28="","",IF(LEN(답안입력!$D28)&gt;=44,VALUE(MID(답안입력!$D28,44,1)),IF(답안입력!AV28="","",답안입력!AV28)))</f>
        <v/>
      </c>
      <c r="AW28" s="72">
        <f>IF($A28="","",IF(LEN(답안입력!$D28)&gt;=45,VALUE(MID(답안입력!$D28,45,1)),IF(답안입력!AW28="","",답안입력!AW28)))</f>
        <v/>
      </c>
      <c r="AX28" s="72">
        <f>IF($A28="","",IF(E28="",0,IF(E28=IF($B28="언어와 매체",자동계산!$D$4,자동계산!$B$4),IF($B28="언어와 매체",자동계산!$E$4,자동계산!$C$4),0)))</f>
        <v/>
      </c>
      <c r="AY28" s="72">
        <f>IF($A28="","",IF(F28="",0,IF(F28=IF($B28="언어와 매체",자동계산!$D$5,자동계산!$B$5),IF($B28="언어와 매체",자동계산!$E$5,자동계산!$C$5),0)))</f>
        <v/>
      </c>
      <c r="AZ28" s="72">
        <f>IF($A28="","",IF(G28="",0,IF(G28=IF($B28="언어와 매체",자동계산!$D$6,자동계산!$B$6),IF($B28="언어와 매체",자동계산!$E$6,자동계산!$C$6),0)))</f>
        <v/>
      </c>
      <c r="BA28" s="72">
        <f>IF($A28="","",IF(H28="",0,IF(H28=IF($B28="언어와 매체",자동계산!$D$7,자동계산!$B$7),IF($B28="언어와 매체",자동계산!$E$7,자동계산!$C$7),0)))</f>
        <v/>
      </c>
      <c r="BB28" s="72">
        <f>IF($A28="","",IF(I28="",0,IF(I28=IF($B28="언어와 매체",자동계산!$D$8,자동계산!$B$8),IF($B28="언어와 매체",자동계산!$E$8,자동계산!$C$8),0)))</f>
        <v/>
      </c>
      <c r="BC28" s="72">
        <f>IF($A28="","",IF(J28="",0,IF(J28=IF($B28="언어와 매체",자동계산!$D$9,자동계산!$B$9),IF($B28="언어와 매체",자동계산!$E$9,자동계산!$C$9),0)))</f>
        <v/>
      </c>
      <c r="BD28" s="72">
        <f>IF($A28="","",IF(K28="",0,IF(K28=IF($B28="언어와 매체",자동계산!$D$10,자동계산!$B$10),IF($B28="언어와 매체",자동계산!$E$10,자동계산!$C$10),0)))</f>
        <v/>
      </c>
      <c r="BE28" s="72">
        <f>IF($A28="","",IF(L28="",0,IF(L28=IF($B28="언어와 매체",자동계산!$D$11,자동계산!$B$11),IF($B28="언어와 매체",자동계산!$E$11,자동계산!$C$11),0)))</f>
        <v/>
      </c>
      <c r="BF28" s="72">
        <f>IF($A28="","",IF(M28="",0,IF(M28=IF($B28="언어와 매체",자동계산!$D$12,자동계산!$B$12),IF($B28="언어와 매체",자동계산!$E$12,자동계산!$C$12),0)))</f>
        <v/>
      </c>
      <c r="BG28" s="72">
        <f>IF($A28="","",IF(N28="",0,IF(N28=IF($B28="언어와 매체",자동계산!$D$13,자동계산!$B$13),IF($B28="언어와 매체",자동계산!$E$13,자동계산!$C$13),0)))</f>
        <v/>
      </c>
      <c r="BH28" s="72">
        <f>IF($A28="","",IF(O28="",0,IF(O28=IF($B28="언어와 매체",자동계산!$D$14,자동계산!$B$14),IF($B28="언어와 매체",자동계산!$E$14,자동계산!$C$14),0)))</f>
        <v/>
      </c>
      <c r="BI28" s="72">
        <f>IF($A28="","",IF(P28="",0,IF(P28=IF($B28="언어와 매체",자동계산!$D$15,자동계산!$B$15),IF($B28="언어와 매체",자동계산!$E$15,자동계산!$C$15),0)))</f>
        <v/>
      </c>
      <c r="BJ28" s="72">
        <f>IF($A28="","",IF(Q28="",0,IF(Q28=IF($B28="언어와 매체",자동계산!$D$16,자동계산!$B$16),IF($B28="언어와 매체",자동계산!$E$16,자동계산!$C$16),0)))</f>
        <v/>
      </c>
      <c r="BK28" s="72">
        <f>IF($A28="","",IF(R28="",0,IF(R28=IF($B28="언어와 매체",자동계산!$D$17,자동계산!$B$17),IF($B28="언어와 매체",자동계산!$E$17,자동계산!$C$17),0)))</f>
        <v/>
      </c>
      <c r="BL28" s="72">
        <f>IF($A28="","",IF(S28="",0,IF(S28=IF($B28="언어와 매체",자동계산!$D$18,자동계산!$B$18),IF($B28="언어와 매체",자동계산!$E$18,자동계산!$C$18),0)))</f>
        <v/>
      </c>
      <c r="BM28" s="72">
        <f>IF($A28="","",IF(T28="",0,IF(T28=IF($B28="언어와 매체",자동계산!$D$19,자동계산!$B$19),IF($B28="언어와 매체",자동계산!$E$19,자동계산!$C$19),0)))</f>
        <v/>
      </c>
      <c r="BN28" s="72">
        <f>IF($A28="","",IF(U28="",0,IF(U28=IF($B28="언어와 매체",자동계산!$D$20,자동계산!$B$20),IF($B28="언어와 매체",자동계산!$E$20,자동계산!$C$20),0)))</f>
        <v/>
      </c>
      <c r="BO28" s="72">
        <f>IF($A28="","",IF(V28="",0,IF(V28=IF($B28="언어와 매체",자동계산!$D$21,자동계산!$B$21),IF($B28="언어와 매체",자동계산!$E$21,자동계산!$C$21),0)))</f>
        <v/>
      </c>
      <c r="BP28" s="72">
        <f>IF($A28="","",IF(W28="",0,IF(W28=IF($B28="언어와 매체",자동계산!$D$22,자동계산!$B$22),IF($B28="언어와 매체",자동계산!$E$22,자동계산!$C$22),0)))</f>
        <v/>
      </c>
      <c r="BQ28" s="72">
        <f>IF($A28="","",IF(X28="",0,IF(X28=IF($B28="언어와 매체",자동계산!$D$23,자동계산!$B$23),IF($B28="언어와 매체",자동계산!$E$23,자동계산!$C$23),0)))</f>
        <v/>
      </c>
      <c r="BR28" s="72">
        <f>IF($A28="","",IF(Y28="",0,IF(Y28=IF($B28="언어와 매체",자동계산!$D$24,자동계산!$B$24),IF($B28="언어와 매체",자동계산!$E$24,자동계산!$C$24),0)))</f>
        <v/>
      </c>
      <c r="BS28" s="72">
        <f>IF($A28="","",IF(Z28="",0,IF(Z28=IF($B28="언어와 매체",자동계산!$D$25,자동계산!$B$25),IF($B28="언어와 매체",자동계산!$E$25,자동계산!$C$25),0)))</f>
        <v/>
      </c>
      <c r="BT28" s="72">
        <f>IF($A28="","",IF(AA28="",0,IF(AA28=IF($B28="언어와 매체",자동계산!$D$26,자동계산!$B$26),IF($B28="언어와 매체",자동계산!$E$26,자동계산!$C$26),0)))</f>
        <v/>
      </c>
      <c r="BU28" s="72">
        <f>IF($A28="","",IF(AB28="",0,IF(AB28=IF($B28="언어와 매체",자동계산!$D$27,자동계산!$B$27),IF($B28="언어와 매체",자동계산!$E$27,자동계산!$C$27),0)))</f>
        <v/>
      </c>
      <c r="BV28" s="72">
        <f>IF($A28="","",IF(AC28="",0,IF(AC28=IF($B28="언어와 매체",자동계산!$D$28,자동계산!$B$28),IF($B28="언어와 매체",자동계산!$E$28,자동계산!$C$28),0)))</f>
        <v/>
      </c>
      <c r="BW28" s="72">
        <f>IF($A28="","",IF(AD28="",0,IF(AD28=IF($B28="언어와 매체",자동계산!$D$29,자동계산!$B$29),IF($B28="언어와 매체",자동계산!$E$29,자동계산!$C$29),0)))</f>
        <v/>
      </c>
      <c r="BX28" s="72">
        <f>IF($A28="","",IF(AE28="",0,IF(AE28=IF($B28="언어와 매체",자동계산!$D$30,자동계산!$B$30),IF($B28="언어와 매체",자동계산!$E$30,자동계산!$C$30),0)))</f>
        <v/>
      </c>
      <c r="BY28" s="72">
        <f>IF($A28="","",IF(AF28="",0,IF(AF28=IF($B28="언어와 매체",자동계산!$D$31,자동계산!$B$31),IF($B28="언어와 매체",자동계산!$E$31,자동계산!$C$31),0)))</f>
        <v/>
      </c>
      <c r="BZ28" s="72">
        <f>IF($A28="","",IF(AG28="",0,IF(AG28=IF($B28="언어와 매체",자동계산!$D$32,자동계산!$B$32),IF($B28="언어와 매체",자동계산!$E$32,자동계산!$C$32),0)))</f>
        <v/>
      </c>
      <c r="CA28" s="72">
        <f>IF($A28="","",IF(AH28="",0,IF(AH28=IF($B28="언어와 매체",자동계산!$D$33,자동계산!$B$33),IF($B28="언어와 매체",자동계산!$E$33,자동계산!$C$33),0)))</f>
        <v/>
      </c>
      <c r="CB28" s="72">
        <f>IF($A28="","",IF(AI28="",0,IF(AI28=IF($B28="언어와 매체",자동계산!$D$34,자동계산!$B$34),IF($B28="언어와 매체",자동계산!$E$34,자동계산!$C$34),0)))</f>
        <v/>
      </c>
      <c r="CC28" s="72">
        <f>IF($A28="","",IF(AJ28="",0,IF(AJ28=IF($B28="언어와 매체",자동계산!$D$35,자동계산!$B$35),IF($B28="언어와 매체",자동계산!$E$35,자동계산!$C$35),0)))</f>
        <v/>
      </c>
      <c r="CD28" s="72">
        <f>IF($A28="","",IF(AK28="",0,IF(AK28=IF($B28="언어와 매체",자동계산!$D$36,자동계산!$B$36),IF($B28="언어와 매체",자동계산!$E$36,자동계산!$C$36),0)))</f>
        <v/>
      </c>
      <c r="CE28" s="72">
        <f>IF($A28="","",IF(AL28="",0,IF(AL28=IF($B28="언어와 매체",자동계산!$D$37,자동계산!$B$37),IF($B28="언어와 매체",자동계산!$E$37,자동계산!$C$37),0)))</f>
        <v/>
      </c>
      <c r="CF28" s="72">
        <f>IF($A28="","",IF(AM28="",0,IF(AM28=IF($B28="언어와 매체",자동계산!$D$38,자동계산!$B$38),IF($B28="언어와 매체",자동계산!$E$38,자동계산!$C$38),0)))</f>
        <v/>
      </c>
      <c r="CG28" s="72">
        <f>IF($A28="","",IF(AN28="",0,IF(AN28=IF($B28="언어와 매체",자동계산!$D$39,자동계산!$B$39),IF($B28="언어와 매체",자동계산!$E$39,자동계산!$C$39),0)))</f>
        <v/>
      </c>
      <c r="CH28" s="72">
        <f>IF($A28="","",IF(AO28="",0,IF(AO28=IF($B28="언어와 매체",자동계산!$D$40,자동계산!$B$40),IF($B28="언어와 매체",자동계산!$E$40,자동계산!$C$40),0)))</f>
        <v/>
      </c>
      <c r="CI28" s="72">
        <f>IF($A28="","",IF(AP28="",0,IF(AP28=IF($B28="언어와 매체",자동계산!$D$41,자동계산!$B$41),IF($B28="언어와 매체",자동계산!$E$41,자동계산!$C$41),0)))</f>
        <v/>
      </c>
      <c r="CJ28" s="72">
        <f>IF($A28="","",IF(AQ28="",0,IF(AQ28=IF($B28="언어와 매체",자동계산!$D$42,자동계산!$B$42),IF($B28="언어와 매체",자동계산!$E$42,자동계산!$C$42),0)))</f>
        <v/>
      </c>
      <c r="CK28" s="72">
        <f>IF($A28="","",IF(AR28="",0,IF(AR28=IF($B28="언어와 매체",자동계산!$D$43,자동계산!$B$43),IF($B28="언어와 매체",자동계산!$E$43,자동계산!$C$43),0)))</f>
        <v/>
      </c>
      <c r="CL28" s="72">
        <f>IF($A28="","",IF(AS28="",0,IF(AS28=IF($B28="언어와 매체",자동계산!$D$44,자동계산!$B$44),IF($B28="언어와 매체",자동계산!$E$44,자동계산!$C$44),0)))</f>
        <v/>
      </c>
      <c r="CM28" s="72">
        <f>IF($A28="","",IF(AT28="",0,IF(AT28=IF($B28="언어와 매체",자동계산!$D$45,자동계산!$B$45),IF($B28="언어와 매체",자동계산!$E$45,자동계산!$C$45),0)))</f>
        <v/>
      </c>
      <c r="CN28" s="72">
        <f>IF($A28="","",IF(AU28="",0,IF(AU28=IF($B28="언어와 매체",자동계산!$D$46,자동계산!$B$46),IF($B28="언어와 매체",자동계산!$E$46,자동계산!$C$46),0)))</f>
        <v/>
      </c>
      <c r="CO28" s="72">
        <f>IF($A28="","",IF(AV28="",0,IF(AV28=IF($B28="언어와 매체",자동계산!$D$47,자동계산!$B$47),IF($B28="언어와 매체",자동계산!$E$47,자동계산!$C$47),0)))</f>
        <v/>
      </c>
      <c r="CP28" s="72">
        <f>IF($A28="","",IF(AW28="",0,IF(AW28=IF($B28="언어와 매체",자동계산!$D$48,자동계산!$B$48),IF($B28="언어와 매체",자동계산!$E$48,자동계산!$C$48),0)))</f>
        <v/>
      </c>
    </row>
    <row r="29">
      <c r="A29" s="70">
        <f>IF(답안입력!A29="","",답안입력!A29)</f>
        <v/>
      </c>
      <c r="B29" s="70">
        <f>IF($A29="","",답안입력!C29)</f>
        <v/>
      </c>
      <c r="C29" s="71">
        <f>IF($A29="","",SUM(AX29:CP29))</f>
        <v/>
      </c>
      <c r="D29" s="70">
        <f>IF($A29="","",IF($C29&gt;=IF($B29="언어와 매체",회차설정!$B$9,회차설정!$B$8),"1등급",IF($C29&gt;=IF($B29="언어와 매체",회차설정!$C$9,회차설정!$C$8),"2등급",IF($C29&gt;=IF($B29="언어와 매체",회차설정!$D$9,회차설정!$D$8),"3등급",IF($C29&gt;=IF($B29="언어와 매체",회차설정!$E$9,회차설정!$E$8),"4등급","등급 외")))))</f>
        <v/>
      </c>
      <c r="E29" s="72">
        <f>IF($A29="","",IF(LEN(답안입력!$D29)&gt;=1,VALUE(MID(답안입력!$D29,1,1)),IF(답안입력!E29="","",답안입력!E29)))</f>
        <v/>
      </c>
      <c r="F29" s="72">
        <f>IF($A29="","",IF(LEN(답안입력!$D29)&gt;=2,VALUE(MID(답안입력!$D29,2,1)),IF(답안입력!F29="","",답안입력!F29)))</f>
        <v/>
      </c>
      <c r="G29" s="72">
        <f>IF($A29="","",IF(LEN(답안입력!$D29)&gt;=3,VALUE(MID(답안입력!$D29,3,1)),IF(답안입력!G29="","",답안입력!G29)))</f>
        <v/>
      </c>
      <c r="H29" s="72">
        <f>IF($A29="","",IF(LEN(답안입력!$D29)&gt;=4,VALUE(MID(답안입력!$D29,4,1)),IF(답안입력!H29="","",답안입력!H29)))</f>
        <v/>
      </c>
      <c r="I29" s="72">
        <f>IF($A29="","",IF(LEN(답안입력!$D29)&gt;=5,VALUE(MID(답안입력!$D29,5,1)),IF(답안입력!I29="","",답안입력!I29)))</f>
        <v/>
      </c>
      <c r="J29" s="72">
        <f>IF($A29="","",IF(LEN(답안입력!$D29)&gt;=6,VALUE(MID(답안입력!$D29,6,1)),IF(답안입력!J29="","",답안입력!J29)))</f>
        <v/>
      </c>
      <c r="K29" s="72">
        <f>IF($A29="","",IF(LEN(답안입력!$D29)&gt;=7,VALUE(MID(답안입력!$D29,7,1)),IF(답안입력!K29="","",답안입력!K29)))</f>
        <v/>
      </c>
      <c r="L29" s="72">
        <f>IF($A29="","",IF(LEN(답안입력!$D29)&gt;=8,VALUE(MID(답안입력!$D29,8,1)),IF(답안입력!L29="","",답안입력!L29)))</f>
        <v/>
      </c>
      <c r="M29" s="72">
        <f>IF($A29="","",IF(LEN(답안입력!$D29)&gt;=9,VALUE(MID(답안입력!$D29,9,1)),IF(답안입력!M29="","",답안입력!M29)))</f>
        <v/>
      </c>
      <c r="N29" s="72">
        <f>IF($A29="","",IF(LEN(답안입력!$D29)&gt;=10,VALUE(MID(답안입력!$D29,10,1)),IF(답안입력!N29="","",답안입력!N29)))</f>
        <v/>
      </c>
      <c r="O29" s="72">
        <f>IF($A29="","",IF(LEN(답안입력!$D29)&gt;=11,VALUE(MID(답안입력!$D29,11,1)),IF(답안입력!O29="","",답안입력!O29)))</f>
        <v/>
      </c>
      <c r="P29" s="72">
        <f>IF($A29="","",IF(LEN(답안입력!$D29)&gt;=12,VALUE(MID(답안입력!$D29,12,1)),IF(답안입력!P29="","",답안입력!P29)))</f>
        <v/>
      </c>
      <c r="Q29" s="72">
        <f>IF($A29="","",IF(LEN(답안입력!$D29)&gt;=13,VALUE(MID(답안입력!$D29,13,1)),IF(답안입력!Q29="","",답안입력!Q29)))</f>
        <v/>
      </c>
      <c r="R29" s="72">
        <f>IF($A29="","",IF(LEN(답안입력!$D29)&gt;=14,VALUE(MID(답안입력!$D29,14,1)),IF(답안입력!R29="","",답안입력!R29)))</f>
        <v/>
      </c>
      <c r="S29" s="72">
        <f>IF($A29="","",IF(LEN(답안입력!$D29)&gt;=15,VALUE(MID(답안입력!$D29,15,1)),IF(답안입력!S29="","",답안입력!S29)))</f>
        <v/>
      </c>
      <c r="T29" s="72">
        <f>IF($A29="","",IF(LEN(답안입력!$D29)&gt;=16,VALUE(MID(답안입력!$D29,16,1)),IF(답안입력!T29="","",답안입력!T29)))</f>
        <v/>
      </c>
      <c r="U29" s="72">
        <f>IF($A29="","",IF(LEN(답안입력!$D29)&gt;=17,VALUE(MID(답안입력!$D29,17,1)),IF(답안입력!U29="","",답안입력!U29)))</f>
        <v/>
      </c>
      <c r="V29" s="72">
        <f>IF($A29="","",IF(LEN(답안입력!$D29)&gt;=18,VALUE(MID(답안입력!$D29,18,1)),IF(답안입력!V29="","",답안입력!V29)))</f>
        <v/>
      </c>
      <c r="W29" s="72">
        <f>IF($A29="","",IF(LEN(답안입력!$D29)&gt;=19,VALUE(MID(답안입력!$D29,19,1)),IF(답안입력!W29="","",답안입력!W29)))</f>
        <v/>
      </c>
      <c r="X29" s="72">
        <f>IF($A29="","",IF(LEN(답안입력!$D29)&gt;=20,VALUE(MID(답안입력!$D29,20,1)),IF(답안입력!X29="","",답안입력!X29)))</f>
        <v/>
      </c>
      <c r="Y29" s="72">
        <f>IF($A29="","",IF(LEN(답안입력!$D29)&gt;=21,VALUE(MID(답안입력!$D29,21,1)),IF(답안입력!Y29="","",답안입력!Y29)))</f>
        <v/>
      </c>
      <c r="Z29" s="72">
        <f>IF($A29="","",IF(LEN(답안입력!$D29)&gt;=22,VALUE(MID(답안입력!$D29,22,1)),IF(답안입력!Z29="","",답안입력!Z29)))</f>
        <v/>
      </c>
      <c r="AA29" s="72">
        <f>IF($A29="","",IF(LEN(답안입력!$D29)&gt;=23,VALUE(MID(답안입력!$D29,23,1)),IF(답안입력!AA29="","",답안입력!AA29)))</f>
        <v/>
      </c>
      <c r="AB29" s="72">
        <f>IF($A29="","",IF(LEN(답안입력!$D29)&gt;=24,VALUE(MID(답안입력!$D29,24,1)),IF(답안입력!AB29="","",답안입력!AB29)))</f>
        <v/>
      </c>
      <c r="AC29" s="72">
        <f>IF($A29="","",IF(LEN(답안입력!$D29)&gt;=25,VALUE(MID(답안입력!$D29,25,1)),IF(답안입력!AC29="","",답안입력!AC29)))</f>
        <v/>
      </c>
      <c r="AD29" s="72">
        <f>IF($A29="","",IF(LEN(답안입력!$D29)&gt;=26,VALUE(MID(답안입력!$D29,26,1)),IF(답안입력!AD29="","",답안입력!AD29)))</f>
        <v/>
      </c>
      <c r="AE29" s="72">
        <f>IF($A29="","",IF(LEN(답안입력!$D29)&gt;=27,VALUE(MID(답안입력!$D29,27,1)),IF(답안입력!AE29="","",답안입력!AE29)))</f>
        <v/>
      </c>
      <c r="AF29" s="72">
        <f>IF($A29="","",IF(LEN(답안입력!$D29)&gt;=28,VALUE(MID(답안입력!$D29,28,1)),IF(답안입력!AF29="","",답안입력!AF29)))</f>
        <v/>
      </c>
      <c r="AG29" s="72">
        <f>IF($A29="","",IF(LEN(답안입력!$D29)&gt;=29,VALUE(MID(답안입력!$D29,29,1)),IF(답안입력!AG29="","",답안입력!AG29)))</f>
        <v/>
      </c>
      <c r="AH29" s="72">
        <f>IF($A29="","",IF(LEN(답안입력!$D29)&gt;=30,VALUE(MID(답안입력!$D29,30,1)),IF(답안입력!AH29="","",답안입력!AH29)))</f>
        <v/>
      </c>
      <c r="AI29" s="72">
        <f>IF($A29="","",IF(LEN(답안입력!$D29)&gt;=31,VALUE(MID(답안입력!$D29,31,1)),IF(답안입력!AI29="","",답안입력!AI29)))</f>
        <v/>
      </c>
      <c r="AJ29" s="72">
        <f>IF($A29="","",IF(LEN(답안입력!$D29)&gt;=32,VALUE(MID(답안입력!$D29,32,1)),IF(답안입력!AJ29="","",답안입력!AJ29)))</f>
        <v/>
      </c>
      <c r="AK29" s="72">
        <f>IF($A29="","",IF(LEN(답안입력!$D29)&gt;=33,VALUE(MID(답안입력!$D29,33,1)),IF(답안입력!AK29="","",답안입력!AK29)))</f>
        <v/>
      </c>
      <c r="AL29" s="72">
        <f>IF($A29="","",IF(LEN(답안입력!$D29)&gt;=34,VALUE(MID(답안입력!$D29,34,1)),IF(답안입력!AL29="","",답안입력!AL29)))</f>
        <v/>
      </c>
      <c r="AM29" s="72">
        <f>IF($A29="","",IF(LEN(답안입력!$D29)&gt;=35,VALUE(MID(답안입력!$D29,35,1)),IF(답안입력!AM29="","",답안입력!AM29)))</f>
        <v/>
      </c>
      <c r="AN29" s="72">
        <f>IF($A29="","",IF(LEN(답안입력!$D29)&gt;=36,VALUE(MID(답안입력!$D29,36,1)),IF(답안입력!AN29="","",답안입력!AN29)))</f>
        <v/>
      </c>
      <c r="AO29" s="72">
        <f>IF($A29="","",IF(LEN(답안입력!$D29)&gt;=37,VALUE(MID(답안입력!$D29,37,1)),IF(답안입력!AO29="","",답안입력!AO29)))</f>
        <v/>
      </c>
      <c r="AP29" s="72">
        <f>IF($A29="","",IF(LEN(답안입력!$D29)&gt;=38,VALUE(MID(답안입력!$D29,38,1)),IF(답안입력!AP29="","",답안입력!AP29)))</f>
        <v/>
      </c>
      <c r="AQ29" s="72">
        <f>IF($A29="","",IF(LEN(답안입력!$D29)&gt;=39,VALUE(MID(답안입력!$D29,39,1)),IF(답안입력!AQ29="","",답안입력!AQ29)))</f>
        <v/>
      </c>
      <c r="AR29" s="72">
        <f>IF($A29="","",IF(LEN(답안입력!$D29)&gt;=40,VALUE(MID(답안입력!$D29,40,1)),IF(답안입력!AR29="","",답안입력!AR29)))</f>
        <v/>
      </c>
      <c r="AS29" s="72">
        <f>IF($A29="","",IF(LEN(답안입력!$D29)&gt;=41,VALUE(MID(답안입력!$D29,41,1)),IF(답안입력!AS29="","",답안입력!AS29)))</f>
        <v/>
      </c>
      <c r="AT29" s="72">
        <f>IF($A29="","",IF(LEN(답안입력!$D29)&gt;=42,VALUE(MID(답안입력!$D29,42,1)),IF(답안입력!AT29="","",답안입력!AT29)))</f>
        <v/>
      </c>
      <c r="AU29" s="72">
        <f>IF($A29="","",IF(LEN(답안입력!$D29)&gt;=43,VALUE(MID(답안입력!$D29,43,1)),IF(답안입력!AU29="","",답안입력!AU29)))</f>
        <v/>
      </c>
      <c r="AV29" s="72">
        <f>IF($A29="","",IF(LEN(답안입력!$D29)&gt;=44,VALUE(MID(답안입력!$D29,44,1)),IF(답안입력!AV29="","",답안입력!AV29)))</f>
        <v/>
      </c>
      <c r="AW29" s="72">
        <f>IF($A29="","",IF(LEN(답안입력!$D29)&gt;=45,VALUE(MID(답안입력!$D29,45,1)),IF(답안입력!AW29="","",답안입력!AW29)))</f>
        <v/>
      </c>
      <c r="AX29" s="72">
        <f>IF($A29="","",IF(E29="",0,IF(E29=IF($B29="언어와 매체",자동계산!$D$4,자동계산!$B$4),IF($B29="언어와 매체",자동계산!$E$4,자동계산!$C$4),0)))</f>
        <v/>
      </c>
      <c r="AY29" s="72">
        <f>IF($A29="","",IF(F29="",0,IF(F29=IF($B29="언어와 매체",자동계산!$D$5,자동계산!$B$5),IF($B29="언어와 매체",자동계산!$E$5,자동계산!$C$5),0)))</f>
        <v/>
      </c>
      <c r="AZ29" s="72">
        <f>IF($A29="","",IF(G29="",0,IF(G29=IF($B29="언어와 매체",자동계산!$D$6,자동계산!$B$6),IF($B29="언어와 매체",자동계산!$E$6,자동계산!$C$6),0)))</f>
        <v/>
      </c>
      <c r="BA29" s="72">
        <f>IF($A29="","",IF(H29="",0,IF(H29=IF($B29="언어와 매체",자동계산!$D$7,자동계산!$B$7),IF($B29="언어와 매체",자동계산!$E$7,자동계산!$C$7),0)))</f>
        <v/>
      </c>
      <c r="BB29" s="72">
        <f>IF($A29="","",IF(I29="",0,IF(I29=IF($B29="언어와 매체",자동계산!$D$8,자동계산!$B$8),IF($B29="언어와 매체",자동계산!$E$8,자동계산!$C$8),0)))</f>
        <v/>
      </c>
      <c r="BC29" s="72">
        <f>IF($A29="","",IF(J29="",0,IF(J29=IF($B29="언어와 매체",자동계산!$D$9,자동계산!$B$9),IF($B29="언어와 매체",자동계산!$E$9,자동계산!$C$9),0)))</f>
        <v/>
      </c>
      <c r="BD29" s="72">
        <f>IF($A29="","",IF(K29="",0,IF(K29=IF($B29="언어와 매체",자동계산!$D$10,자동계산!$B$10),IF($B29="언어와 매체",자동계산!$E$10,자동계산!$C$10),0)))</f>
        <v/>
      </c>
      <c r="BE29" s="72">
        <f>IF($A29="","",IF(L29="",0,IF(L29=IF($B29="언어와 매체",자동계산!$D$11,자동계산!$B$11),IF($B29="언어와 매체",자동계산!$E$11,자동계산!$C$11),0)))</f>
        <v/>
      </c>
      <c r="BF29" s="72">
        <f>IF($A29="","",IF(M29="",0,IF(M29=IF($B29="언어와 매체",자동계산!$D$12,자동계산!$B$12),IF($B29="언어와 매체",자동계산!$E$12,자동계산!$C$12),0)))</f>
        <v/>
      </c>
      <c r="BG29" s="72">
        <f>IF($A29="","",IF(N29="",0,IF(N29=IF($B29="언어와 매체",자동계산!$D$13,자동계산!$B$13),IF($B29="언어와 매체",자동계산!$E$13,자동계산!$C$13),0)))</f>
        <v/>
      </c>
      <c r="BH29" s="72">
        <f>IF($A29="","",IF(O29="",0,IF(O29=IF($B29="언어와 매체",자동계산!$D$14,자동계산!$B$14),IF($B29="언어와 매체",자동계산!$E$14,자동계산!$C$14),0)))</f>
        <v/>
      </c>
      <c r="BI29" s="72">
        <f>IF($A29="","",IF(P29="",0,IF(P29=IF($B29="언어와 매체",자동계산!$D$15,자동계산!$B$15),IF($B29="언어와 매체",자동계산!$E$15,자동계산!$C$15),0)))</f>
        <v/>
      </c>
      <c r="BJ29" s="72">
        <f>IF($A29="","",IF(Q29="",0,IF(Q29=IF($B29="언어와 매체",자동계산!$D$16,자동계산!$B$16),IF($B29="언어와 매체",자동계산!$E$16,자동계산!$C$16),0)))</f>
        <v/>
      </c>
      <c r="BK29" s="72">
        <f>IF($A29="","",IF(R29="",0,IF(R29=IF($B29="언어와 매체",자동계산!$D$17,자동계산!$B$17),IF($B29="언어와 매체",자동계산!$E$17,자동계산!$C$17),0)))</f>
        <v/>
      </c>
      <c r="BL29" s="72">
        <f>IF($A29="","",IF(S29="",0,IF(S29=IF($B29="언어와 매체",자동계산!$D$18,자동계산!$B$18),IF($B29="언어와 매체",자동계산!$E$18,자동계산!$C$18),0)))</f>
        <v/>
      </c>
      <c r="BM29" s="72">
        <f>IF($A29="","",IF(T29="",0,IF(T29=IF($B29="언어와 매체",자동계산!$D$19,자동계산!$B$19),IF($B29="언어와 매체",자동계산!$E$19,자동계산!$C$19),0)))</f>
        <v/>
      </c>
      <c r="BN29" s="72">
        <f>IF($A29="","",IF(U29="",0,IF(U29=IF($B29="언어와 매체",자동계산!$D$20,자동계산!$B$20),IF($B29="언어와 매체",자동계산!$E$20,자동계산!$C$20),0)))</f>
        <v/>
      </c>
      <c r="BO29" s="72">
        <f>IF($A29="","",IF(V29="",0,IF(V29=IF($B29="언어와 매체",자동계산!$D$21,자동계산!$B$21),IF($B29="언어와 매체",자동계산!$E$21,자동계산!$C$21),0)))</f>
        <v/>
      </c>
      <c r="BP29" s="72">
        <f>IF($A29="","",IF(W29="",0,IF(W29=IF($B29="언어와 매체",자동계산!$D$22,자동계산!$B$22),IF($B29="언어와 매체",자동계산!$E$22,자동계산!$C$22),0)))</f>
        <v/>
      </c>
      <c r="BQ29" s="72">
        <f>IF($A29="","",IF(X29="",0,IF(X29=IF($B29="언어와 매체",자동계산!$D$23,자동계산!$B$23),IF($B29="언어와 매체",자동계산!$E$23,자동계산!$C$23),0)))</f>
        <v/>
      </c>
      <c r="BR29" s="72">
        <f>IF($A29="","",IF(Y29="",0,IF(Y29=IF($B29="언어와 매체",자동계산!$D$24,자동계산!$B$24),IF($B29="언어와 매체",자동계산!$E$24,자동계산!$C$24),0)))</f>
        <v/>
      </c>
      <c r="BS29" s="72">
        <f>IF($A29="","",IF(Z29="",0,IF(Z29=IF($B29="언어와 매체",자동계산!$D$25,자동계산!$B$25),IF($B29="언어와 매체",자동계산!$E$25,자동계산!$C$25),0)))</f>
        <v/>
      </c>
      <c r="BT29" s="72">
        <f>IF($A29="","",IF(AA29="",0,IF(AA29=IF($B29="언어와 매체",자동계산!$D$26,자동계산!$B$26),IF($B29="언어와 매체",자동계산!$E$26,자동계산!$C$26),0)))</f>
        <v/>
      </c>
      <c r="BU29" s="72">
        <f>IF($A29="","",IF(AB29="",0,IF(AB29=IF($B29="언어와 매체",자동계산!$D$27,자동계산!$B$27),IF($B29="언어와 매체",자동계산!$E$27,자동계산!$C$27),0)))</f>
        <v/>
      </c>
      <c r="BV29" s="72">
        <f>IF($A29="","",IF(AC29="",0,IF(AC29=IF($B29="언어와 매체",자동계산!$D$28,자동계산!$B$28),IF($B29="언어와 매체",자동계산!$E$28,자동계산!$C$28),0)))</f>
        <v/>
      </c>
      <c r="BW29" s="72">
        <f>IF($A29="","",IF(AD29="",0,IF(AD29=IF($B29="언어와 매체",자동계산!$D$29,자동계산!$B$29),IF($B29="언어와 매체",자동계산!$E$29,자동계산!$C$29),0)))</f>
        <v/>
      </c>
      <c r="BX29" s="72">
        <f>IF($A29="","",IF(AE29="",0,IF(AE29=IF($B29="언어와 매체",자동계산!$D$30,자동계산!$B$30),IF($B29="언어와 매체",자동계산!$E$30,자동계산!$C$30),0)))</f>
        <v/>
      </c>
      <c r="BY29" s="72">
        <f>IF($A29="","",IF(AF29="",0,IF(AF29=IF($B29="언어와 매체",자동계산!$D$31,자동계산!$B$31),IF($B29="언어와 매체",자동계산!$E$31,자동계산!$C$31),0)))</f>
        <v/>
      </c>
      <c r="BZ29" s="72">
        <f>IF($A29="","",IF(AG29="",0,IF(AG29=IF($B29="언어와 매체",자동계산!$D$32,자동계산!$B$32),IF($B29="언어와 매체",자동계산!$E$32,자동계산!$C$32),0)))</f>
        <v/>
      </c>
      <c r="CA29" s="72">
        <f>IF($A29="","",IF(AH29="",0,IF(AH29=IF($B29="언어와 매체",자동계산!$D$33,자동계산!$B$33),IF($B29="언어와 매체",자동계산!$E$33,자동계산!$C$33),0)))</f>
        <v/>
      </c>
      <c r="CB29" s="72">
        <f>IF($A29="","",IF(AI29="",0,IF(AI29=IF($B29="언어와 매체",자동계산!$D$34,자동계산!$B$34),IF($B29="언어와 매체",자동계산!$E$34,자동계산!$C$34),0)))</f>
        <v/>
      </c>
      <c r="CC29" s="72">
        <f>IF($A29="","",IF(AJ29="",0,IF(AJ29=IF($B29="언어와 매체",자동계산!$D$35,자동계산!$B$35),IF($B29="언어와 매체",자동계산!$E$35,자동계산!$C$35),0)))</f>
        <v/>
      </c>
      <c r="CD29" s="72">
        <f>IF($A29="","",IF(AK29="",0,IF(AK29=IF($B29="언어와 매체",자동계산!$D$36,자동계산!$B$36),IF($B29="언어와 매체",자동계산!$E$36,자동계산!$C$36),0)))</f>
        <v/>
      </c>
      <c r="CE29" s="72">
        <f>IF($A29="","",IF(AL29="",0,IF(AL29=IF($B29="언어와 매체",자동계산!$D$37,자동계산!$B$37),IF($B29="언어와 매체",자동계산!$E$37,자동계산!$C$37),0)))</f>
        <v/>
      </c>
      <c r="CF29" s="72">
        <f>IF($A29="","",IF(AM29="",0,IF(AM29=IF($B29="언어와 매체",자동계산!$D$38,자동계산!$B$38),IF($B29="언어와 매체",자동계산!$E$38,자동계산!$C$38),0)))</f>
        <v/>
      </c>
      <c r="CG29" s="72">
        <f>IF($A29="","",IF(AN29="",0,IF(AN29=IF($B29="언어와 매체",자동계산!$D$39,자동계산!$B$39),IF($B29="언어와 매체",자동계산!$E$39,자동계산!$C$39),0)))</f>
        <v/>
      </c>
      <c r="CH29" s="72">
        <f>IF($A29="","",IF(AO29="",0,IF(AO29=IF($B29="언어와 매체",자동계산!$D$40,자동계산!$B$40),IF($B29="언어와 매체",자동계산!$E$40,자동계산!$C$40),0)))</f>
        <v/>
      </c>
      <c r="CI29" s="72">
        <f>IF($A29="","",IF(AP29="",0,IF(AP29=IF($B29="언어와 매체",자동계산!$D$41,자동계산!$B$41),IF($B29="언어와 매체",자동계산!$E$41,자동계산!$C$41),0)))</f>
        <v/>
      </c>
      <c r="CJ29" s="72">
        <f>IF($A29="","",IF(AQ29="",0,IF(AQ29=IF($B29="언어와 매체",자동계산!$D$42,자동계산!$B$42),IF($B29="언어와 매체",자동계산!$E$42,자동계산!$C$42),0)))</f>
        <v/>
      </c>
      <c r="CK29" s="72">
        <f>IF($A29="","",IF(AR29="",0,IF(AR29=IF($B29="언어와 매체",자동계산!$D$43,자동계산!$B$43),IF($B29="언어와 매체",자동계산!$E$43,자동계산!$C$43),0)))</f>
        <v/>
      </c>
      <c r="CL29" s="72">
        <f>IF($A29="","",IF(AS29="",0,IF(AS29=IF($B29="언어와 매체",자동계산!$D$44,자동계산!$B$44),IF($B29="언어와 매체",자동계산!$E$44,자동계산!$C$44),0)))</f>
        <v/>
      </c>
      <c r="CM29" s="72">
        <f>IF($A29="","",IF(AT29="",0,IF(AT29=IF($B29="언어와 매체",자동계산!$D$45,자동계산!$B$45),IF($B29="언어와 매체",자동계산!$E$45,자동계산!$C$45),0)))</f>
        <v/>
      </c>
      <c r="CN29" s="72">
        <f>IF($A29="","",IF(AU29="",0,IF(AU29=IF($B29="언어와 매체",자동계산!$D$46,자동계산!$B$46),IF($B29="언어와 매체",자동계산!$E$46,자동계산!$C$46),0)))</f>
        <v/>
      </c>
      <c r="CO29" s="72">
        <f>IF($A29="","",IF(AV29="",0,IF(AV29=IF($B29="언어와 매체",자동계산!$D$47,자동계산!$B$47),IF($B29="언어와 매체",자동계산!$E$47,자동계산!$C$47),0)))</f>
        <v/>
      </c>
      <c r="CP29" s="72">
        <f>IF($A29="","",IF(AW29="",0,IF(AW29=IF($B29="언어와 매체",자동계산!$D$48,자동계산!$B$48),IF($B29="언어와 매체",자동계산!$E$48,자동계산!$C$48),0)))</f>
        <v/>
      </c>
    </row>
    <row r="30">
      <c r="A30" s="70">
        <f>IF(답안입력!A30="","",답안입력!A30)</f>
        <v/>
      </c>
      <c r="B30" s="70">
        <f>IF($A30="","",답안입력!C30)</f>
        <v/>
      </c>
      <c r="C30" s="71">
        <f>IF($A30="","",SUM(AX30:CP30))</f>
        <v/>
      </c>
      <c r="D30" s="70">
        <f>IF($A30="","",IF($C30&gt;=IF($B30="언어와 매체",회차설정!$B$9,회차설정!$B$8),"1등급",IF($C30&gt;=IF($B30="언어와 매체",회차설정!$C$9,회차설정!$C$8),"2등급",IF($C30&gt;=IF($B30="언어와 매체",회차설정!$D$9,회차설정!$D$8),"3등급",IF($C30&gt;=IF($B30="언어와 매체",회차설정!$E$9,회차설정!$E$8),"4등급","등급 외")))))</f>
        <v/>
      </c>
      <c r="E30" s="72">
        <f>IF($A30="","",IF(LEN(답안입력!$D30)&gt;=1,VALUE(MID(답안입력!$D30,1,1)),IF(답안입력!E30="","",답안입력!E30)))</f>
        <v/>
      </c>
      <c r="F30" s="72">
        <f>IF($A30="","",IF(LEN(답안입력!$D30)&gt;=2,VALUE(MID(답안입력!$D30,2,1)),IF(답안입력!F30="","",답안입력!F30)))</f>
        <v/>
      </c>
      <c r="G30" s="72">
        <f>IF($A30="","",IF(LEN(답안입력!$D30)&gt;=3,VALUE(MID(답안입력!$D30,3,1)),IF(답안입력!G30="","",답안입력!G30)))</f>
        <v/>
      </c>
      <c r="H30" s="72">
        <f>IF($A30="","",IF(LEN(답안입력!$D30)&gt;=4,VALUE(MID(답안입력!$D30,4,1)),IF(답안입력!H30="","",답안입력!H30)))</f>
        <v/>
      </c>
      <c r="I30" s="72">
        <f>IF($A30="","",IF(LEN(답안입력!$D30)&gt;=5,VALUE(MID(답안입력!$D30,5,1)),IF(답안입력!I30="","",답안입력!I30)))</f>
        <v/>
      </c>
      <c r="J30" s="72">
        <f>IF($A30="","",IF(LEN(답안입력!$D30)&gt;=6,VALUE(MID(답안입력!$D30,6,1)),IF(답안입력!J30="","",답안입력!J30)))</f>
        <v/>
      </c>
      <c r="K30" s="72">
        <f>IF($A30="","",IF(LEN(답안입력!$D30)&gt;=7,VALUE(MID(답안입력!$D30,7,1)),IF(답안입력!K30="","",답안입력!K30)))</f>
        <v/>
      </c>
      <c r="L30" s="72">
        <f>IF($A30="","",IF(LEN(답안입력!$D30)&gt;=8,VALUE(MID(답안입력!$D30,8,1)),IF(답안입력!L30="","",답안입력!L30)))</f>
        <v/>
      </c>
      <c r="M30" s="72">
        <f>IF($A30="","",IF(LEN(답안입력!$D30)&gt;=9,VALUE(MID(답안입력!$D30,9,1)),IF(답안입력!M30="","",답안입력!M30)))</f>
        <v/>
      </c>
      <c r="N30" s="72">
        <f>IF($A30="","",IF(LEN(답안입력!$D30)&gt;=10,VALUE(MID(답안입력!$D30,10,1)),IF(답안입력!N30="","",답안입력!N30)))</f>
        <v/>
      </c>
      <c r="O30" s="72">
        <f>IF($A30="","",IF(LEN(답안입력!$D30)&gt;=11,VALUE(MID(답안입력!$D30,11,1)),IF(답안입력!O30="","",답안입력!O30)))</f>
        <v/>
      </c>
      <c r="P30" s="72">
        <f>IF($A30="","",IF(LEN(답안입력!$D30)&gt;=12,VALUE(MID(답안입력!$D30,12,1)),IF(답안입력!P30="","",답안입력!P30)))</f>
        <v/>
      </c>
      <c r="Q30" s="72">
        <f>IF($A30="","",IF(LEN(답안입력!$D30)&gt;=13,VALUE(MID(답안입력!$D30,13,1)),IF(답안입력!Q30="","",답안입력!Q30)))</f>
        <v/>
      </c>
      <c r="R30" s="72">
        <f>IF($A30="","",IF(LEN(답안입력!$D30)&gt;=14,VALUE(MID(답안입력!$D30,14,1)),IF(답안입력!R30="","",답안입력!R30)))</f>
        <v/>
      </c>
      <c r="S30" s="72">
        <f>IF($A30="","",IF(LEN(답안입력!$D30)&gt;=15,VALUE(MID(답안입력!$D30,15,1)),IF(답안입력!S30="","",답안입력!S30)))</f>
        <v/>
      </c>
      <c r="T30" s="72">
        <f>IF($A30="","",IF(LEN(답안입력!$D30)&gt;=16,VALUE(MID(답안입력!$D30,16,1)),IF(답안입력!T30="","",답안입력!T30)))</f>
        <v/>
      </c>
      <c r="U30" s="72">
        <f>IF($A30="","",IF(LEN(답안입력!$D30)&gt;=17,VALUE(MID(답안입력!$D30,17,1)),IF(답안입력!U30="","",답안입력!U30)))</f>
        <v/>
      </c>
      <c r="V30" s="72">
        <f>IF($A30="","",IF(LEN(답안입력!$D30)&gt;=18,VALUE(MID(답안입력!$D30,18,1)),IF(답안입력!V30="","",답안입력!V30)))</f>
        <v/>
      </c>
      <c r="W30" s="72">
        <f>IF($A30="","",IF(LEN(답안입력!$D30)&gt;=19,VALUE(MID(답안입력!$D30,19,1)),IF(답안입력!W30="","",답안입력!W30)))</f>
        <v/>
      </c>
      <c r="X30" s="72">
        <f>IF($A30="","",IF(LEN(답안입력!$D30)&gt;=20,VALUE(MID(답안입력!$D30,20,1)),IF(답안입력!X30="","",답안입력!X30)))</f>
        <v/>
      </c>
      <c r="Y30" s="72">
        <f>IF($A30="","",IF(LEN(답안입력!$D30)&gt;=21,VALUE(MID(답안입력!$D30,21,1)),IF(답안입력!Y30="","",답안입력!Y30)))</f>
        <v/>
      </c>
      <c r="Z30" s="72">
        <f>IF($A30="","",IF(LEN(답안입력!$D30)&gt;=22,VALUE(MID(답안입력!$D30,22,1)),IF(답안입력!Z30="","",답안입력!Z30)))</f>
        <v/>
      </c>
      <c r="AA30" s="72">
        <f>IF($A30="","",IF(LEN(답안입력!$D30)&gt;=23,VALUE(MID(답안입력!$D30,23,1)),IF(답안입력!AA30="","",답안입력!AA30)))</f>
        <v/>
      </c>
      <c r="AB30" s="72">
        <f>IF($A30="","",IF(LEN(답안입력!$D30)&gt;=24,VALUE(MID(답안입력!$D30,24,1)),IF(답안입력!AB30="","",답안입력!AB30)))</f>
        <v/>
      </c>
      <c r="AC30" s="72">
        <f>IF($A30="","",IF(LEN(답안입력!$D30)&gt;=25,VALUE(MID(답안입력!$D30,25,1)),IF(답안입력!AC30="","",답안입력!AC30)))</f>
        <v/>
      </c>
      <c r="AD30" s="72">
        <f>IF($A30="","",IF(LEN(답안입력!$D30)&gt;=26,VALUE(MID(답안입력!$D30,26,1)),IF(답안입력!AD30="","",답안입력!AD30)))</f>
        <v/>
      </c>
      <c r="AE30" s="72">
        <f>IF($A30="","",IF(LEN(답안입력!$D30)&gt;=27,VALUE(MID(답안입력!$D30,27,1)),IF(답안입력!AE30="","",답안입력!AE30)))</f>
        <v/>
      </c>
      <c r="AF30" s="72">
        <f>IF($A30="","",IF(LEN(답안입력!$D30)&gt;=28,VALUE(MID(답안입력!$D30,28,1)),IF(답안입력!AF30="","",답안입력!AF30)))</f>
        <v/>
      </c>
      <c r="AG30" s="72">
        <f>IF($A30="","",IF(LEN(답안입력!$D30)&gt;=29,VALUE(MID(답안입력!$D30,29,1)),IF(답안입력!AG30="","",답안입력!AG30)))</f>
        <v/>
      </c>
      <c r="AH30" s="72">
        <f>IF($A30="","",IF(LEN(답안입력!$D30)&gt;=30,VALUE(MID(답안입력!$D30,30,1)),IF(답안입력!AH30="","",답안입력!AH30)))</f>
        <v/>
      </c>
      <c r="AI30" s="72">
        <f>IF($A30="","",IF(LEN(답안입력!$D30)&gt;=31,VALUE(MID(답안입력!$D30,31,1)),IF(답안입력!AI30="","",답안입력!AI30)))</f>
        <v/>
      </c>
      <c r="AJ30" s="72">
        <f>IF($A30="","",IF(LEN(답안입력!$D30)&gt;=32,VALUE(MID(답안입력!$D30,32,1)),IF(답안입력!AJ30="","",답안입력!AJ30)))</f>
        <v/>
      </c>
      <c r="AK30" s="72">
        <f>IF($A30="","",IF(LEN(답안입력!$D30)&gt;=33,VALUE(MID(답안입력!$D30,33,1)),IF(답안입력!AK30="","",답안입력!AK30)))</f>
        <v/>
      </c>
      <c r="AL30" s="72">
        <f>IF($A30="","",IF(LEN(답안입력!$D30)&gt;=34,VALUE(MID(답안입력!$D30,34,1)),IF(답안입력!AL30="","",답안입력!AL30)))</f>
        <v/>
      </c>
      <c r="AM30" s="72">
        <f>IF($A30="","",IF(LEN(답안입력!$D30)&gt;=35,VALUE(MID(답안입력!$D30,35,1)),IF(답안입력!AM30="","",답안입력!AM30)))</f>
        <v/>
      </c>
      <c r="AN30" s="72">
        <f>IF($A30="","",IF(LEN(답안입력!$D30)&gt;=36,VALUE(MID(답안입력!$D30,36,1)),IF(답안입력!AN30="","",답안입력!AN30)))</f>
        <v/>
      </c>
      <c r="AO30" s="72">
        <f>IF($A30="","",IF(LEN(답안입력!$D30)&gt;=37,VALUE(MID(답안입력!$D30,37,1)),IF(답안입력!AO30="","",답안입력!AO30)))</f>
        <v/>
      </c>
      <c r="AP30" s="72">
        <f>IF($A30="","",IF(LEN(답안입력!$D30)&gt;=38,VALUE(MID(답안입력!$D30,38,1)),IF(답안입력!AP30="","",답안입력!AP30)))</f>
        <v/>
      </c>
      <c r="AQ30" s="72">
        <f>IF($A30="","",IF(LEN(답안입력!$D30)&gt;=39,VALUE(MID(답안입력!$D30,39,1)),IF(답안입력!AQ30="","",답안입력!AQ30)))</f>
        <v/>
      </c>
      <c r="AR30" s="72">
        <f>IF($A30="","",IF(LEN(답안입력!$D30)&gt;=40,VALUE(MID(답안입력!$D30,40,1)),IF(답안입력!AR30="","",답안입력!AR30)))</f>
        <v/>
      </c>
      <c r="AS30" s="72">
        <f>IF($A30="","",IF(LEN(답안입력!$D30)&gt;=41,VALUE(MID(답안입력!$D30,41,1)),IF(답안입력!AS30="","",답안입력!AS30)))</f>
        <v/>
      </c>
      <c r="AT30" s="72">
        <f>IF($A30="","",IF(LEN(답안입력!$D30)&gt;=42,VALUE(MID(답안입력!$D30,42,1)),IF(답안입력!AT30="","",답안입력!AT30)))</f>
        <v/>
      </c>
      <c r="AU30" s="72">
        <f>IF($A30="","",IF(LEN(답안입력!$D30)&gt;=43,VALUE(MID(답안입력!$D30,43,1)),IF(답안입력!AU30="","",답안입력!AU30)))</f>
        <v/>
      </c>
      <c r="AV30" s="72">
        <f>IF($A30="","",IF(LEN(답안입력!$D30)&gt;=44,VALUE(MID(답안입력!$D30,44,1)),IF(답안입력!AV30="","",답안입력!AV30)))</f>
        <v/>
      </c>
      <c r="AW30" s="72">
        <f>IF($A30="","",IF(LEN(답안입력!$D30)&gt;=45,VALUE(MID(답안입력!$D30,45,1)),IF(답안입력!AW30="","",답안입력!AW30)))</f>
        <v/>
      </c>
      <c r="AX30" s="72">
        <f>IF($A30="","",IF(E30="",0,IF(E30=IF($B30="언어와 매체",자동계산!$D$4,자동계산!$B$4),IF($B30="언어와 매체",자동계산!$E$4,자동계산!$C$4),0)))</f>
        <v/>
      </c>
      <c r="AY30" s="72">
        <f>IF($A30="","",IF(F30="",0,IF(F30=IF($B30="언어와 매체",자동계산!$D$5,자동계산!$B$5),IF($B30="언어와 매체",자동계산!$E$5,자동계산!$C$5),0)))</f>
        <v/>
      </c>
      <c r="AZ30" s="72">
        <f>IF($A30="","",IF(G30="",0,IF(G30=IF($B30="언어와 매체",자동계산!$D$6,자동계산!$B$6),IF($B30="언어와 매체",자동계산!$E$6,자동계산!$C$6),0)))</f>
        <v/>
      </c>
      <c r="BA30" s="72">
        <f>IF($A30="","",IF(H30="",0,IF(H30=IF($B30="언어와 매체",자동계산!$D$7,자동계산!$B$7),IF($B30="언어와 매체",자동계산!$E$7,자동계산!$C$7),0)))</f>
        <v/>
      </c>
      <c r="BB30" s="72">
        <f>IF($A30="","",IF(I30="",0,IF(I30=IF($B30="언어와 매체",자동계산!$D$8,자동계산!$B$8),IF($B30="언어와 매체",자동계산!$E$8,자동계산!$C$8),0)))</f>
        <v/>
      </c>
      <c r="BC30" s="72">
        <f>IF($A30="","",IF(J30="",0,IF(J30=IF($B30="언어와 매체",자동계산!$D$9,자동계산!$B$9),IF($B30="언어와 매체",자동계산!$E$9,자동계산!$C$9),0)))</f>
        <v/>
      </c>
      <c r="BD30" s="72">
        <f>IF($A30="","",IF(K30="",0,IF(K30=IF($B30="언어와 매체",자동계산!$D$10,자동계산!$B$10),IF($B30="언어와 매체",자동계산!$E$10,자동계산!$C$10),0)))</f>
        <v/>
      </c>
      <c r="BE30" s="72">
        <f>IF($A30="","",IF(L30="",0,IF(L30=IF($B30="언어와 매체",자동계산!$D$11,자동계산!$B$11),IF($B30="언어와 매체",자동계산!$E$11,자동계산!$C$11),0)))</f>
        <v/>
      </c>
      <c r="BF30" s="72">
        <f>IF($A30="","",IF(M30="",0,IF(M30=IF($B30="언어와 매체",자동계산!$D$12,자동계산!$B$12),IF($B30="언어와 매체",자동계산!$E$12,자동계산!$C$12),0)))</f>
        <v/>
      </c>
      <c r="BG30" s="72">
        <f>IF($A30="","",IF(N30="",0,IF(N30=IF($B30="언어와 매체",자동계산!$D$13,자동계산!$B$13),IF($B30="언어와 매체",자동계산!$E$13,자동계산!$C$13),0)))</f>
        <v/>
      </c>
      <c r="BH30" s="72">
        <f>IF($A30="","",IF(O30="",0,IF(O30=IF($B30="언어와 매체",자동계산!$D$14,자동계산!$B$14),IF($B30="언어와 매체",자동계산!$E$14,자동계산!$C$14),0)))</f>
        <v/>
      </c>
      <c r="BI30" s="72">
        <f>IF($A30="","",IF(P30="",0,IF(P30=IF($B30="언어와 매체",자동계산!$D$15,자동계산!$B$15),IF($B30="언어와 매체",자동계산!$E$15,자동계산!$C$15),0)))</f>
        <v/>
      </c>
      <c r="BJ30" s="72">
        <f>IF($A30="","",IF(Q30="",0,IF(Q30=IF($B30="언어와 매체",자동계산!$D$16,자동계산!$B$16),IF($B30="언어와 매체",자동계산!$E$16,자동계산!$C$16),0)))</f>
        <v/>
      </c>
      <c r="BK30" s="72">
        <f>IF($A30="","",IF(R30="",0,IF(R30=IF($B30="언어와 매체",자동계산!$D$17,자동계산!$B$17),IF($B30="언어와 매체",자동계산!$E$17,자동계산!$C$17),0)))</f>
        <v/>
      </c>
      <c r="BL30" s="72">
        <f>IF($A30="","",IF(S30="",0,IF(S30=IF($B30="언어와 매체",자동계산!$D$18,자동계산!$B$18),IF($B30="언어와 매체",자동계산!$E$18,자동계산!$C$18),0)))</f>
        <v/>
      </c>
      <c r="BM30" s="72">
        <f>IF($A30="","",IF(T30="",0,IF(T30=IF($B30="언어와 매체",자동계산!$D$19,자동계산!$B$19),IF($B30="언어와 매체",자동계산!$E$19,자동계산!$C$19),0)))</f>
        <v/>
      </c>
      <c r="BN30" s="72">
        <f>IF($A30="","",IF(U30="",0,IF(U30=IF($B30="언어와 매체",자동계산!$D$20,자동계산!$B$20),IF($B30="언어와 매체",자동계산!$E$20,자동계산!$C$20),0)))</f>
        <v/>
      </c>
      <c r="BO30" s="72">
        <f>IF($A30="","",IF(V30="",0,IF(V30=IF($B30="언어와 매체",자동계산!$D$21,자동계산!$B$21),IF($B30="언어와 매체",자동계산!$E$21,자동계산!$C$21),0)))</f>
        <v/>
      </c>
      <c r="BP30" s="72">
        <f>IF($A30="","",IF(W30="",0,IF(W30=IF($B30="언어와 매체",자동계산!$D$22,자동계산!$B$22),IF($B30="언어와 매체",자동계산!$E$22,자동계산!$C$22),0)))</f>
        <v/>
      </c>
      <c r="BQ30" s="72">
        <f>IF($A30="","",IF(X30="",0,IF(X30=IF($B30="언어와 매체",자동계산!$D$23,자동계산!$B$23),IF($B30="언어와 매체",자동계산!$E$23,자동계산!$C$23),0)))</f>
        <v/>
      </c>
      <c r="BR30" s="72">
        <f>IF($A30="","",IF(Y30="",0,IF(Y30=IF($B30="언어와 매체",자동계산!$D$24,자동계산!$B$24),IF($B30="언어와 매체",자동계산!$E$24,자동계산!$C$24),0)))</f>
        <v/>
      </c>
      <c r="BS30" s="72">
        <f>IF($A30="","",IF(Z30="",0,IF(Z30=IF($B30="언어와 매체",자동계산!$D$25,자동계산!$B$25),IF($B30="언어와 매체",자동계산!$E$25,자동계산!$C$25),0)))</f>
        <v/>
      </c>
      <c r="BT30" s="72">
        <f>IF($A30="","",IF(AA30="",0,IF(AA30=IF($B30="언어와 매체",자동계산!$D$26,자동계산!$B$26),IF($B30="언어와 매체",자동계산!$E$26,자동계산!$C$26),0)))</f>
        <v/>
      </c>
      <c r="BU30" s="72">
        <f>IF($A30="","",IF(AB30="",0,IF(AB30=IF($B30="언어와 매체",자동계산!$D$27,자동계산!$B$27),IF($B30="언어와 매체",자동계산!$E$27,자동계산!$C$27),0)))</f>
        <v/>
      </c>
      <c r="BV30" s="72">
        <f>IF($A30="","",IF(AC30="",0,IF(AC30=IF($B30="언어와 매체",자동계산!$D$28,자동계산!$B$28),IF($B30="언어와 매체",자동계산!$E$28,자동계산!$C$28),0)))</f>
        <v/>
      </c>
      <c r="BW30" s="72">
        <f>IF($A30="","",IF(AD30="",0,IF(AD30=IF($B30="언어와 매체",자동계산!$D$29,자동계산!$B$29),IF($B30="언어와 매체",자동계산!$E$29,자동계산!$C$29),0)))</f>
        <v/>
      </c>
      <c r="BX30" s="72">
        <f>IF($A30="","",IF(AE30="",0,IF(AE30=IF($B30="언어와 매체",자동계산!$D$30,자동계산!$B$30),IF($B30="언어와 매체",자동계산!$E$30,자동계산!$C$30),0)))</f>
        <v/>
      </c>
      <c r="BY30" s="72">
        <f>IF($A30="","",IF(AF30="",0,IF(AF30=IF($B30="언어와 매체",자동계산!$D$31,자동계산!$B$31),IF($B30="언어와 매체",자동계산!$E$31,자동계산!$C$31),0)))</f>
        <v/>
      </c>
      <c r="BZ30" s="72">
        <f>IF($A30="","",IF(AG30="",0,IF(AG30=IF($B30="언어와 매체",자동계산!$D$32,자동계산!$B$32),IF($B30="언어와 매체",자동계산!$E$32,자동계산!$C$32),0)))</f>
        <v/>
      </c>
      <c r="CA30" s="72">
        <f>IF($A30="","",IF(AH30="",0,IF(AH30=IF($B30="언어와 매체",자동계산!$D$33,자동계산!$B$33),IF($B30="언어와 매체",자동계산!$E$33,자동계산!$C$33),0)))</f>
        <v/>
      </c>
      <c r="CB30" s="72">
        <f>IF($A30="","",IF(AI30="",0,IF(AI30=IF($B30="언어와 매체",자동계산!$D$34,자동계산!$B$34),IF($B30="언어와 매체",자동계산!$E$34,자동계산!$C$34),0)))</f>
        <v/>
      </c>
      <c r="CC30" s="72">
        <f>IF($A30="","",IF(AJ30="",0,IF(AJ30=IF($B30="언어와 매체",자동계산!$D$35,자동계산!$B$35),IF($B30="언어와 매체",자동계산!$E$35,자동계산!$C$35),0)))</f>
        <v/>
      </c>
      <c r="CD30" s="72">
        <f>IF($A30="","",IF(AK30="",0,IF(AK30=IF($B30="언어와 매체",자동계산!$D$36,자동계산!$B$36),IF($B30="언어와 매체",자동계산!$E$36,자동계산!$C$36),0)))</f>
        <v/>
      </c>
      <c r="CE30" s="72">
        <f>IF($A30="","",IF(AL30="",0,IF(AL30=IF($B30="언어와 매체",자동계산!$D$37,자동계산!$B$37),IF($B30="언어와 매체",자동계산!$E$37,자동계산!$C$37),0)))</f>
        <v/>
      </c>
      <c r="CF30" s="72">
        <f>IF($A30="","",IF(AM30="",0,IF(AM30=IF($B30="언어와 매체",자동계산!$D$38,자동계산!$B$38),IF($B30="언어와 매체",자동계산!$E$38,자동계산!$C$38),0)))</f>
        <v/>
      </c>
      <c r="CG30" s="72">
        <f>IF($A30="","",IF(AN30="",0,IF(AN30=IF($B30="언어와 매체",자동계산!$D$39,자동계산!$B$39),IF($B30="언어와 매체",자동계산!$E$39,자동계산!$C$39),0)))</f>
        <v/>
      </c>
      <c r="CH30" s="72">
        <f>IF($A30="","",IF(AO30="",0,IF(AO30=IF($B30="언어와 매체",자동계산!$D$40,자동계산!$B$40),IF($B30="언어와 매체",자동계산!$E$40,자동계산!$C$40),0)))</f>
        <v/>
      </c>
      <c r="CI30" s="72">
        <f>IF($A30="","",IF(AP30="",0,IF(AP30=IF($B30="언어와 매체",자동계산!$D$41,자동계산!$B$41),IF($B30="언어와 매체",자동계산!$E$41,자동계산!$C$41),0)))</f>
        <v/>
      </c>
      <c r="CJ30" s="72">
        <f>IF($A30="","",IF(AQ30="",0,IF(AQ30=IF($B30="언어와 매체",자동계산!$D$42,자동계산!$B$42),IF($B30="언어와 매체",자동계산!$E$42,자동계산!$C$42),0)))</f>
        <v/>
      </c>
      <c r="CK30" s="72">
        <f>IF($A30="","",IF(AR30="",0,IF(AR30=IF($B30="언어와 매체",자동계산!$D$43,자동계산!$B$43),IF($B30="언어와 매체",자동계산!$E$43,자동계산!$C$43),0)))</f>
        <v/>
      </c>
      <c r="CL30" s="72">
        <f>IF($A30="","",IF(AS30="",0,IF(AS30=IF($B30="언어와 매체",자동계산!$D$44,자동계산!$B$44),IF($B30="언어와 매체",자동계산!$E$44,자동계산!$C$44),0)))</f>
        <v/>
      </c>
      <c r="CM30" s="72">
        <f>IF($A30="","",IF(AT30="",0,IF(AT30=IF($B30="언어와 매체",자동계산!$D$45,자동계산!$B$45),IF($B30="언어와 매체",자동계산!$E$45,자동계산!$C$45),0)))</f>
        <v/>
      </c>
      <c r="CN30" s="72">
        <f>IF($A30="","",IF(AU30="",0,IF(AU30=IF($B30="언어와 매체",자동계산!$D$46,자동계산!$B$46),IF($B30="언어와 매체",자동계산!$E$46,자동계산!$C$46),0)))</f>
        <v/>
      </c>
      <c r="CO30" s="72">
        <f>IF($A30="","",IF(AV30="",0,IF(AV30=IF($B30="언어와 매체",자동계산!$D$47,자동계산!$B$47),IF($B30="언어와 매체",자동계산!$E$47,자동계산!$C$47),0)))</f>
        <v/>
      </c>
      <c r="CP30" s="72">
        <f>IF($A30="","",IF(AW30="",0,IF(AW30=IF($B30="언어와 매체",자동계산!$D$48,자동계산!$B$48),IF($B30="언어와 매체",자동계산!$E$48,자동계산!$C$48),0)))</f>
        <v/>
      </c>
    </row>
    <row r="31">
      <c r="A31" s="70">
        <f>IF(답안입력!A31="","",답안입력!A31)</f>
        <v/>
      </c>
      <c r="B31" s="70">
        <f>IF($A31="","",답안입력!C31)</f>
        <v/>
      </c>
      <c r="C31" s="71">
        <f>IF($A31="","",SUM(AX31:CP31))</f>
        <v/>
      </c>
      <c r="D31" s="70">
        <f>IF($A31="","",IF($C31&gt;=IF($B31="언어와 매체",회차설정!$B$9,회차설정!$B$8),"1등급",IF($C31&gt;=IF($B31="언어와 매체",회차설정!$C$9,회차설정!$C$8),"2등급",IF($C31&gt;=IF($B31="언어와 매체",회차설정!$D$9,회차설정!$D$8),"3등급",IF($C31&gt;=IF($B31="언어와 매체",회차설정!$E$9,회차설정!$E$8),"4등급","등급 외")))))</f>
        <v/>
      </c>
      <c r="E31" s="72">
        <f>IF($A31="","",IF(LEN(답안입력!$D31)&gt;=1,VALUE(MID(답안입력!$D31,1,1)),IF(답안입력!E31="","",답안입력!E31)))</f>
        <v/>
      </c>
      <c r="F31" s="72">
        <f>IF($A31="","",IF(LEN(답안입력!$D31)&gt;=2,VALUE(MID(답안입력!$D31,2,1)),IF(답안입력!F31="","",답안입력!F31)))</f>
        <v/>
      </c>
      <c r="G31" s="72">
        <f>IF($A31="","",IF(LEN(답안입력!$D31)&gt;=3,VALUE(MID(답안입력!$D31,3,1)),IF(답안입력!G31="","",답안입력!G31)))</f>
        <v/>
      </c>
      <c r="H31" s="72">
        <f>IF($A31="","",IF(LEN(답안입력!$D31)&gt;=4,VALUE(MID(답안입력!$D31,4,1)),IF(답안입력!H31="","",답안입력!H31)))</f>
        <v/>
      </c>
      <c r="I31" s="72">
        <f>IF($A31="","",IF(LEN(답안입력!$D31)&gt;=5,VALUE(MID(답안입력!$D31,5,1)),IF(답안입력!I31="","",답안입력!I31)))</f>
        <v/>
      </c>
      <c r="J31" s="72">
        <f>IF($A31="","",IF(LEN(답안입력!$D31)&gt;=6,VALUE(MID(답안입력!$D31,6,1)),IF(답안입력!J31="","",답안입력!J31)))</f>
        <v/>
      </c>
      <c r="K31" s="72">
        <f>IF($A31="","",IF(LEN(답안입력!$D31)&gt;=7,VALUE(MID(답안입력!$D31,7,1)),IF(답안입력!K31="","",답안입력!K31)))</f>
        <v/>
      </c>
      <c r="L31" s="72">
        <f>IF($A31="","",IF(LEN(답안입력!$D31)&gt;=8,VALUE(MID(답안입력!$D31,8,1)),IF(답안입력!L31="","",답안입력!L31)))</f>
        <v/>
      </c>
      <c r="M31" s="72">
        <f>IF($A31="","",IF(LEN(답안입력!$D31)&gt;=9,VALUE(MID(답안입력!$D31,9,1)),IF(답안입력!M31="","",답안입력!M31)))</f>
        <v/>
      </c>
      <c r="N31" s="72">
        <f>IF($A31="","",IF(LEN(답안입력!$D31)&gt;=10,VALUE(MID(답안입력!$D31,10,1)),IF(답안입력!N31="","",답안입력!N31)))</f>
        <v/>
      </c>
      <c r="O31" s="72">
        <f>IF($A31="","",IF(LEN(답안입력!$D31)&gt;=11,VALUE(MID(답안입력!$D31,11,1)),IF(답안입력!O31="","",답안입력!O31)))</f>
        <v/>
      </c>
      <c r="P31" s="72">
        <f>IF($A31="","",IF(LEN(답안입력!$D31)&gt;=12,VALUE(MID(답안입력!$D31,12,1)),IF(답안입력!P31="","",답안입력!P31)))</f>
        <v/>
      </c>
      <c r="Q31" s="72">
        <f>IF($A31="","",IF(LEN(답안입력!$D31)&gt;=13,VALUE(MID(답안입력!$D31,13,1)),IF(답안입력!Q31="","",답안입력!Q31)))</f>
        <v/>
      </c>
      <c r="R31" s="72">
        <f>IF($A31="","",IF(LEN(답안입력!$D31)&gt;=14,VALUE(MID(답안입력!$D31,14,1)),IF(답안입력!R31="","",답안입력!R31)))</f>
        <v/>
      </c>
      <c r="S31" s="72">
        <f>IF($A31="","",IF(LEN(답안입력!$D31)&gt;=15,VALUE(MID(답안입력!$D31,15,1)),IF(답안입력!S31="","",답안입력!S31)))</f>
        <v/>
      </c>
      <c r="T31" s="72">
        <f>IF($A31="","",IF(LEN(답안입력!$D31)&gt;=16,VALUE(MID(답안입력!$D31,16,1)),IF(답안입력!T31="","",답안입력!T31)))</f>
        <v/>
      </c>
      <c r="U31" s="72">
        <f>IF($A31="","",IF(LEN(답안입력!$D31)&gt;=17,VALUE(MID(답안입력!$D31,17,1)),IF(답안입력!U31="","",답안입력!U31)))</f>
        <v/>
      </c>
      <c r="V31" s="72">
        <f>IF($A31="","",IF(LEN(답안입력!$D31)&gt;=18,VALUE(MID(답안입력!$D31,18,1)),IF(답안입력!V31="","",답안입력!V31)))</f>
        <v/>
      </c>
      <c r="W31" s="72">
        <f>IF($A31="","",IF(LEN(답안입력!$D31)&gt;=19,VALUE(MID(답안입력!$D31,19,1)),IF(답안입력!W31="","",답안입력!W31)))</f>
        <v/>
      </c>
      <c r="X31" s="72">
        <f>IF($A31="","",IF(LEN(답안입력!$D31)&gt;=20,VALUE(MID(답안입력!$D31,20,1)),IF(답안입력!X31="","",답안입력!X31)))</f>
        <v/>
      </c>
      <c r="Y31" s="72">
        <f>IF($A31="","",IF(LEN(답안입력!$D31)&gt;=21,VALUE(MID(답안입력!$D31,21,1)),IF(답안입력!Y31="","",답안입력!Y31)))</f>
        <v/>
      </c>
      <c r="Z31" s="72">
        <f>IF($A31="","",IF(LEN(답안입력!$D31)&gt;=22,VALUE(MID(답안입력!$D31,22,1)),IF(답안입력!Z31="","",답안입력!Z31)))</f>
        <v/>
      </c>
      <c r="AA31" s="72">
        <f>IF($A31="","",IF(LEN(답안입력!$D31)&gt;=23,VALUE(MID(답안입력!$D31,23,1)),IF(답안입력!AA31="","",답안입력!AA31)))</f>
        <v/>
      </c>
      <c r="AB31" s="72">
        <f>IF($A31="","",IF(LEN(답안입력!$D31)&gt;=24,VALUE(MID(답안입력!$D31,24,1)),IF(답안입력!AB31="","",답안입력!AB31)))</f>
        <v/>
      </c>
      <c r="AC31" s="72">
        <f>IF($A31="","",IF(LEN(답안입력!$D31)&gt;=25,VALUE(MID(답안입력!$D31,25,1)),IF(답안입력!AC31="","",답안입력!AC31)))</f>
        <v/>
      </c>
      <c r="AD31" s="72">
        <f>IF($A31="","",IF(LEN(답안입력!$D31)&gt;=26,VALUE(MID(답안입력!$D31,26,1)),IF(답안입력!AD31="","",답안입력!AD31)))</f>
        <v/>
      </c>
      <c r="AE31" s="72">
        <f>IF($A31="","",IF(LEN(답안입력!$D31)&gt;=27,VALUE(MID(답안입력!$D31,27,1)),IF(답안입력!AE31="","",답안입력!AE31)))</f>
        <v/>
      </c>
      <c r="AF31" s="72">
        <f>IF($A31="","",IF(LEN(답안입력!$D31)&gt;=28,VALUE(MID(답안입력!$D31,28,1)),IF(답안입력!AF31="","",답안입력!AF31)))</f>
        <v/>
      </c>
      <c r="AG31" s="72">
        <f>IF($A31="","",IF(LEN(답안입력!$D31)&gt;=29,VALUE(MID(답안입력!$D31,29,1)),IF(답안입력!AG31="","",답안입력!AG31)))</f>
        <v/>
      </c>
      <c r="AH31" s="72">
        <f>IF($A31="","",IF(LEN(답안입력!$D31)&gt;=30,VALUE(MID(답안입력!$D31,30,1)),IF(답안입력!AH31="","",답안입력!AH31)))</f>
        <v/>
      </c>
      <c r="AI31" s="72">
        <f>IF($A31="","",IF(LEN(답안입력!$D31)&gt;=31,VALUE(MID(답안입력!$D31,31,1)),IF(답안입력!AI31="","",답안입력!AI31)))</f>
        <v/>
      </c>
      <c r="AJ31" s="72">
        <f>IF($A31="","",IF(LEN(답안입력!$D31)&gt;=32,VALUE(MID(답안입력!$D31,32,1)),IF(답안입력!AJ31="","",답안입력!AJ31)))</f>
        <v/>
      </c>
      <c r="AK31" s="72">
        <f>IF($A31="","",IF(LEN(답안입력!$D31)&gt;=33,VALUE(MID(답안입력!$D31,33,1)),IF(답안입력!AK31="","",답안입력!AK31)))</f>
        <v/>
      </c>
      <c r="AL31" s="72">
        <f>IF($A31="","",IF(LEN(답안입력!$D31)&gt;=34,VALUE(MID(답안입력!$D31,34,1)),IF(답안입력!AL31="","",답안입력!AL31)))</f>
        <v/>
      </c>
      <c r="AM31" s="72">
        <f>IF($A31="","",IF(LEN(답안입력!$D31)&gt;=35,VALUE(MID(답안입력!$D31,35,1)),IF(답안입력!AM31="","",답안입력!AM31)))</f>
        <v/>
      </c>
      <c r="AN31" s="72">
        <f>IF($A31="","",IF(LEN(답안입력!$D31)&gt;=36,VALUE(MID(답안입력!$D31,36,1)),IF(답안입력!AN31="","",답안입력!AN31)))</f>
        <v/>
      </c>
      <c r="AO31" s="72">
        <f>IF($A31="","",IF(LEN(답안입력!$D31)&gt;=37,VALUE(MID(답안입력!$D31,37,1)),IF(답안입력!AO31="","",답안입력!AO31)))</f>
        <v/>
      </c>
      <c r="AP31" s="72">
        <f>IF($A31="","",IF(LEN(답안입력!$D31)&gt;=38,VALUE(MID(답안입력!$D31,38,1)),IF(답안입력!AP31="","",답안입력!AP31)))</f>
        <v/>
      </c>
      <c r="AQ31" s="72">
        <f>IF($A31="","",IF(LEN(답안입력!$D31)&gt;=39,VALUE(MID(답안입력!$D31,39,1)),IF(답안입력!AQ31="","",답안입력!AQ31)))</f>
        <v/>
      </c>
      <c r="AR31" s="72">
        <f>IF($A31="","",IF(LEN(답안입력!$D31)&gt;=40,VALUE(MID(답안입력!$D31,40,1)),IF(답안입력!AR31="","",답안입력!AR31)))</f>
        <v/>
      </c>
      <c r="AS31" s="72">
        <f>IF($A31="","",IF(LEN(답안입력!$D31)&gt;=41,VALUE(MID(답안입력!$D31,41,1)),IF(답안입력!AS31="","",답안입력!AS31)))</f>
        <v/>
      </c>
      <c r="AT31" s="72">
        <f>IF($A31="","",IF(LEN(답안입력!$D31)&gt;=42,VALUE(MID(답안입력!$D31,42,1)),IF(답안입력!AT31="","",답안입력!AT31)))</f>
        <v/>
      </c>
      <c r="AU31" s="72">
        <f>IF($A31="","",IF(LEN(답안입력!$D31)&gt;=43,VALUE(MID(답안입력!$D31,43,1)),IF(답안입력!AU31="","",답안입력!AU31)))</f>
        <v/>
      </c>
      <c r="AV31" s="72">
        <f>IF($A31="","",IF(LEN(답안입력!$D31)&gt;=44,VALUE(MID(답안입력!$D31,44,1)),IF(답안입력!AV31="","",답안입력!AV31)))</f>
        <v/>
      </c>
      <c r="AW31" s="72">
        <f>IF($A31="","",IF(LEN(답안입력!$D31)&gt;=45,VALUE(MID(답안입력!$D31,45,1)),IF(답안입력!AW31="","",답안입력!AW31)))</f>
        <v/>
      </c>
      <c r="AX31" s="72">
        <f>IF($A31="","",IF(E31="",0,IF(E31=IF($B31="언어와 매체",자동계산!$D$4,자동계산!$B$4),IF($B31="언어와 매체",자동계산!$E$4,자동계산!$C$4),0)))</f>
        <v/>
      </c>
      <c r="AY31" s="72">
        <f>IF($A31="","",IF(F31="",0,IF(F31=IF($B31="언어와 매체",자동계산!$D$5,자동계산!$B$5),IF($B31="언어와 매체",자동계산!$E$5,자동계산!$C$5),0)))</f>
        <v/>
      </c>
      <c r="AZ31" s="72">
        <f>IF($A31="","",IF(G31="",0,IF(G31=IF($B31="언어와 매체",자동계산!$D$6,자동계산!$B$6),IF($B31="언어와 매체",자동계산!$E$6,자동계산!$C$6),0)))</f>
        <v/>
      </c>
      <c r="BA31" s="72">
        <f>IF($A31="","",IF(H31="",0,IF(H31=IF($B31="언어와 매체",자동계산!$D$7,자동계산!$B$7),IF($B31="언어와 매체",자동계산!$E$7,자동계산!$C$7),0)))</f>
        <v/>
      </c>
      <c r="BB31" s="72">
        <f>IF($A31="","",IF(I31="",0,IF(I31=IF($B31="언어와 매체",자동계산!$D$8,자동계산!$B$8),IF($B31="언어와 매체",자동계산!$E$8,자동계산!$C$8),0)))</f>
        <v/>
      </c>
      <c r="BC31" s="72">
        <f>IF($A31="","",IF(J31="",0,IF(J31=IF($B31="언어와 매체",자동계산!$D$9,자동계산!$B$9),IF($B31="언어와 매체",자동계산!$E$9,자동계산!$C$9),0)))</f>
        <v/>
      </c>
      <c r="BD31" s="72">
        <f>IF($A31="","",IF(K31="",0,IF(K31=IF($B31="언어와 매체",자동계산!$D$10,자동계산!$B$10),IF($B31="언어와 매체",자동계산!$E$10,자동계산!$C$10),0)))</f>
        <v/>
      </c>
      <c r="BE31" s="72">
        <f>IF($A31="","",IF(L31="",0,IF(L31=IF($B31="언어와 매체",자동계산!$D$11,자동계산!$B$11),IF($B31="언어와 매체",자동계산!$E$11,자동계산!$C$11),0)))</f>
        <v/>
      </c>
      <c r="BF31" s="72">
        <f>IF($A31="","",IF(M31="",0,IF(M31=IF($B31="언어와 매체",자동계산!$D$12,자동계산!$B$12),IF($B31="언어와 매체",자동계산!$E$12,자동계산!$C$12),0)))</f>
        <v/>
      </c>
      <c r="BG31" s="72">
        <f>IF($A31="","",IF(N31="",0,IF(N31=IF($B31="언어와 매체",자동계산!$D$13,자동계산!$B$13),IF($B31="언어와 매체",자동계산!$E$13,자동계산!$C$13),0)))</f>
        <v/>
      </c>
      <c r="BH31" s="72">
        <f>IF($A31="","",IF(O31="",0,IF(O31=IF($B31="언어와 매체",자동계산!$D$14,자동계산!$B$14),IF($B31="언어와 매체",자동계산!$E$14,자동계산!$C$14),0)))</f>
        <v/>
      </c>
      <c r="BI31" s="72">
        <f>IF($A31="","",IF(P31="",0,IF(P31=IF($B31="언어와 매체",자동계산!$D$15,자동계산!$B$15),IF($B31="언어와 매체",자동계산!$E$15,자동계산!$C$15),0)))</f>
        <v/>
      </c>
      <c r="BJ31" s="72">
        <f>IF($A31="","",IF(Q31="",0,IF(Q31=IF($B31="언어와 매체",자동계산!$D$16,자동계산!$B$16),IF($B31="언어와 매체",자동계산!$E$16,자동계산!$C$16),0)))</f>
        <v/>
      </c>
      <c r="BK31" s="72">
        <f>IF($A31="","",IF(R31="",0,IF(R31=IF($B31="언어와 매체",자동계산!$D$17,자동계산!$B$17),IF($B31="언어와 매체",자동계산!$E$17,자동계산!$C$17),0)))</f>
        <v/>
      </c>
      <c r="BL31" s="72">
        <f>IF($A31="","",IF(S31="",0,IF(S31=IF($B31="언어와 매체",자동계산!$D$18,자동계산!$B$18),IF($B31="언어와 매체",자동계산!$E$18,자동계산!$C$18),0)))</f>
        <v/>
      </c>
      <c r="BM31" s="72">
        <f>IF($A31="","",IF(T31="",0,IF(T31=IF($B31="언어와 매체",자동계산!$D$19,자동계산!$B$19),IF($B31="언어와 매체",자동계산!$E$19,자동계산!$C$19),0)))</f>
        <v/>
      </c>
      <c r="BN31" s="72">
        <f>IF($A31="","",IF(U31="",0,IF(U31=IF($B31="언어와 매체",자동계산!$D$20,자동계산!$B$20),IF($B31="언어와 매체",자동계산!$E$20,자동계산!$C$20),0)))</f>
        <v/>
      </c>
      <c r="BO31" s="72">
        <f>IF($A31="","",IF(V31="",0,IF(V31=IF($B31="언어와 매체",자동계산!$D$21,자동계산!$B$21),IF($B31="언어와 매체",자동계산!$E$21,자동계산!$C$21),0)))</f>
        <v/>
      </c>
      <c r="BP31" s="72">
        <f>IF($A31="","",IF(W31="",0,IF(W31=IF($B31="언어와 매체",자동계산!$D$22,자동계산!$B$22),IF($B31="언어와 매체",자동계산!$E$22,자동계산!$C$22),0)))</f>
        <v/>
      </c>
      <c r="BQ31" s="72">
        <f>IF($A31="","",IF(X31="",0,IF(X31=IF($B31="언어와 매체",자동계산!$D$23,자동계산!$B$23),IF($B31="언어와 매체",자동계산!$E$23,자동계산!$C$23),0)))</f>
        <v/>
      </c>
      <c r="BR31" s="72">
        <f>IF($A31="","",IF(Y31="",0,IF(Y31=IF($B31="언어와 매체",자동계산!$D$24,자동계산!$B$24),IF($B31="언어와 매체",자동계산!$E$24,자동계산!$C$24),0)))</f>
        <v/>
      </c>
      <c r="BS31" s="72">
        <f>IF($A31="","",IF(Z31="",0,IF(Z31=IF($B31="언어와 매체",자동계산!$D$25,자동계산!$B$25),IF($B31="언어와 매체",자동계산!$E$25,자동계산!$C$25),0)))</f>
        <v/>
      </c>
      <c r="BT31" s="72">
        <f>IF($A31="","",IF(AA31="",0,IF(AA31=IF($B31="언어와 매체",자동계산!$D$26,자동계산!$B$26),IF($B31="언어와 매체",자동계산!$E$26,자동계산!$C$26),0)))</f>
        <v/>
      </c>
      <c r="BU31" s="72">
        <f>IF($A31="","",IF(AB31="",0,IF(AB31=IF($B31="언어와 매체",자동계산!$D$27,자동계산!$B$27),IF($B31="언어와 매체",자동계산!$E$27,자동계산!$C$27),0)))</f>
        <v/>
      </c>
      <c r="BV31" s="72">
        <f>IF($A31="","",IF(AC31="",0,IF(AC31=IF($B31="언어와 매체",자동계산!$D$28,자동계산!$B$28),IF($B31="언어와 매체",자동계산!$E$28,자동계산!$C$28),0)))</f>
        <v/>
      </c>
      <c r="BW31" s="72">
        <f>IF($A31="","",IF(AD31="",0,IF(AD31=IF($B31="언어와 매체",자동계산!$D$29,자동계산!$B$29),IF($B31="언어와 매체",자동계산!$E$29,자동계산!$C$29),0)))</f>
        <v/>
      </c>
      <c r="BX31" s="72">
        <f>IF($A31="","",IF(AE31="",0,IF(AE31=IF($B31="언어와 매체",자동계산!$D$30,자동계산!$B$30),IF($B31="언어와 매체",자동계산!$E$30,자동계산!$C$30),0)))</f>
        <v/>
      </c>
      <c r="BY31" s="72">
        <f>IF($A31="","",IF(AF31="",0,IF(AF31=IF($B31="언어와 매체",자동계산!$D$31,자동계산!$B$31),IF($B31="언어와 매체",자동계산!$E$31,자동계산!$C$31),0)))</f>
        <v/>
      </c>
      <c r="BZ31" s="72">
        <f>IF($A31="","",IF(AG31="",0,IF(AG31=IF($B31="언어와 매체",자동계산!$D$32,자동계산!$B$32),IF($B31="언어와 매체",자동계산!$E$32,자동계산!$C$32),0)))</f>
        <v/>
      </c>
      <c r="CA31" s="72">
        <f>IF($A31="","",IF(AH31="",0,IF(AH31=IF($B31="언어와 매체",자동계산!$D$33,자동계산!$B$33),IF($B31="언어와 매체",자동계산!$E$33,자동계산!$C$33),0)))</f>
        <v/>
      </c>
      <c r="CB31" s="72">
        <f>IF($A31="","",IF(AI31="",0,IF(AI31=IF($B31="언어와 매체",자동계산!$D$34,자동계산!$B$34),IF($B31="언어와 매체",자동계산!$E$34,자동계산!$C$34),0)))</f>
        <v/>
      </c>
      <c r="CC31" s="72">
        <f>IF($A31="","",IF(AJ31="",0,IF(AJ31=IF($B31="언어와 매체",자동계산!$D$35,자동계산!$B$35),IF($B31="언어와 매체",자동계산!$E$35,자동계산!$C$35),0)))</f>
        <v/>
      </c>
      <c r="CD31" s="72">
        <f>IF($A31="","",IF(AK31="",0,IF(AK31=IF($B31="언어와 매체",자동계산!$D$36,자동계산!$B$36),IF($B31="언어와 매체",자동계산!$E$36,자동계산!$C$36),0)))</f>
        <v/>
      </c>
      <c r="CE31" s="72">
        <f>IF($A31="","",IF(AL31="",0,IF(AL31=IF($B31="언어와 매체",자동계산!$D$37,자동계산!$B$37),IF($B31="언어와 매체",자동계산!$E$37,자동계산!$C$37),0)))</f>
        <v/>
      </c>
      <c r="CF31" s="72">
        <f>IF($A31="","",IF(AM31="",0,IF(AM31=IF($B31="언어와 매체",자동계산!$D$38,자동계산!$B$38),IF($B31="언어와 매체",자동계산!$E$38,자동계산!$C$38),0)))</f>
        <v/>
      </c>
      <c r="CG31" s="72">
        <f>IF($A31="","",IF(AN31="",0,IF(AN31=IF($B31="언어와 매체",자동계산!$D$39,자동계산!$B$39),IF($B31="언어와 매체",자동계산!$E$39,자동계산!$C$39),0)))</f>
        <v/>
      </c>
      <c r="CH31" s="72">
        <f>IF($A31="","",IF(AO31="",0,IF(AO31=IF($B31="언어와 매체",자동계산!$D$40,자동계산!$B$40),IF($B31="언어와 매체",자동계산!$E$40,자동계산!$C$40),0)))</f>
        <v/>
      </c>
      <c r="CI31" s="72">
        <f>IF($A31="","",IF(AP31="",0,IF(AP31=IF($B31="언어와 매체",자동계산!$D$41,자동계산!$B$41),IF($B31="언어와 매체",자동계산!$E$41,자동계산!$C$41),0)))</f>
        <v/>
      </c>
      <c r="CJ31" s="72">
        <f>IF($A31="","",IF(AQ31="",0,IF(AQ31=IF($B31="언어와 매체",자동계산!$D$42,자동계산!$B$42),IF($B31="언어와 매체",자동계산!$E$42,자동계산!$C$42),0)))</f>
        <v/>
      </c>
      <c r="CK31" s="72">
        <f>IF($A31="","",IF(AR31="",0,IF(AR31=IF($B31="언어와 매체",자동계산!$D$43,자동계산!$B$43),IF($B31="언어와 매체",자동계산!$E$43,자동계산!$C$43),0)))</f>
        <v/>
      </c>
      <c r="CL31" s="72">
        <f>IF($A31="","",IF(AS31="",0,IF(AS31=IF($B31="언어와 매체",자동계산!$D$44,자동계산!$B$44),IF($B31="언어와 매체",자동계산!$E$44,자동계산!$C$44),0)))</f>
        <v/>
      </c>
      <c r="CM31" s="72">
        <f>IF($A31="","",IF(AT31="",0,IF(AT31=IF($B31="언어와 매체",자동계산!$D$45,자동계산!$B$45),IF($B31="언어와 매체",자동계산!$E$45,자동계산!$C$45),0)))</f>
        <v/>
      </c>
      <c r="CN31" s="72">
        <f>IF($A31="","",IF(AU31="",0,IF(AU31=IF($B31="언어와 매체",자동계산!$D$46,자동계산!$B$46),IF($B31="언어와 매체",자동계산!$E$46,자동계산!$C$46),0)))</f>
        <v/>
      </c>
      <c r="CO31" s="72">
        <f>IF($A31="","",IF(AV31="",0,IF(AV31=IF($B31="언어와 매체",자동계산!$D$47,자동계산!$B$47),IF($B31="언어와 매체",자동계산!$E$47,자동계산!$C$47),0)))</f>
        <v/>
      </c>
      <c r="CP31" s="72">
        <f>IF($A31="","",IF(AW31="",0,IF(AW31=IF($B31="언어와 매체",자동계산!$D$48,자동계산!$B$48),IF($B31="언어와 매체",자동계산!$E$48,자동계산!$C$48),0)))</f>
        <v/>
      </c>
    </row>
    <row r="32">
      <c r="A32" s="70">
        <f>IF(답안입력!A32="","",답안입력!A32)</f>
        <v/>
      </c>
      <c r="B32" s="70">
        <f>IF($A32="","",답안입력!C32)</f>
        <v/>
      </c>
      <c r="C32" s="71">
        <f>IF($A32="","",SUM(AX32:CP32))</f>
        <v/>
      </c>
      <c r="D32" s="70">
        <f>IF($A32="","",IF($C32&gt;=IF($B32="언어와 매체",회차설정!$B$9,회차설정!$B$8),"1등급",IF($C32&gt;=IF($B32="언어와 매체",회차설정!$C$9,회차설정!$C$8),"2등급",IF($C32&gt;=IF($B32="언어와 매체",회차설정!$D$9,회차설정!$D$8),"3등급",IF($C32&gt;=IF($B32="언어와 매체",회차설정!$E$9,회차설정!$E$8),"4등급","등급 외")))))</f>
        <v/>
      </c>
      <c r="E32" s="72">
        <f>IF($A32="","",IF(LEN(답안입력!$D32)&gt;=1,VALUE(MID(답안입력!$D32,1,1)),IF(답안입력!E32="","",답안입력!E32)))</f>
        <v/>
      </c>
      <c r="F32" s="72">
        <f>IF($A32="","",IF(LEN(답안입력!$D32)&gt;=2,VALUE(MID(답안입력!$D32,2,1)),IF(답안입력!F32="","",답안입력!F32)))</f>
        <v/>
      </c>
      <c r="G32" s="72">
        <f>IF($A32="","",IF(LEN(답안입력!$D32)&gt;=3,VALUE(MID(답안입력!$D32,3,1)),IF(답안입력!G32="","",답안입력!G32)))</f>
        <v/>
      </c>
      <c r="H32" s="72">
        <f>IF($A32="","",IF(LEN(답안입력!$D32)&gt;=4,VALUE(MID(답안입력!$D32,4,1)),IF(답안입력!H32="","",답안입력!H32)))</f>
        <v/>
      </c>
      <c r="I32" s="72">
        <f>IF($A32="","",IF(LEN(답안입력!$D32)&gt;=5,VALUE(MID(답안입력!$D32,5,1)),IF(답안입력!I32="","",답안입력!I32)))</f>
        <v/>
      </c>
      <c r="J32" s="72">
        <f>IF($A32="","",IF(LEN(답안입력!$D32)&gt;=6,VALUE(MID(답안입력!$D32,6,1)),IF(답안입력!J32="","",답안입력!J32)))</f>
        <v/>
      </c>
      <c r="K32" s="72">
        <f>IF($A32="","",IF(LEN(답안입력!$D32)&gt;=7,VALUE(MID(답안입력!$D32,7,1)),IF(답안입력!K32="","",답안입력!K32)))</f>
        <v/>
      </c>
      <c r="L32" s="72">
        <f>IF($A32="","",IF(LEN(답안입력!$D32)&gt;=8,VALUE(MID(답안입력!$D32,8,1)),IF(답안입력!L32="","",답안입력!L32)))</f>
        <v/>
      </c>
      <c r="M32" s="72">
        <f>IF($A32="","",IF(LEN(답안입력!$D32)&gt;=9,VALUE(MID(답안입력!$D32,9,1)),IF(답안입력!M32="","",답안입력!M32)))</f>
        <v/>
      </c>
      <c r="N32" s="72">
        <f>IF($A32="","",IF(LEN(답안입력!$D32)&gt;=10,VALUE(MID(답안입력!$D32,10,1)),IF(답안입력!N32="","",답안입력!N32)))</f>
        <v/>
      </c>
      <c r="O32" s="72">
        <f>IF($A32="","",IF(LEN(답안입력!$D32)&gt;=11,VALUE(MID(답안입력!$D32,11,1)),IF(답안입력!O32="","",답안입력!O32)))</f>
        <v/>
      </c>
      <c r="P32" s="72">
        <f>IF($A32="","",IF(LEN(답안입력!$D32)&gt;=12,VALUE(MID(답안입력!$D32,12,1)),IF(답안입력!P32="","",답안입력!P32)))</f>
        <v/>
      </c>
      <c r="Q32" s="72">
        <f>IF($A32="","",IF(LEN(답안입력!$D32)&gt;=13,VALUE(MID(답안입력!$D32,13,1)),IF(답안입력!Q32="","",답안입력!Q32)))</f>
        <v/>
      </c>
      <c r="R32" s="72">
        <f>IF($A32="","",IF(LEN(답안입력!$D32)&gt;=14,VALUE(MID(답안입력!$D32,14,1)),IF(답안입력!R32="","",답안입력!R32)))</f>
        <v/>
      </c>
      <c r="S32" s="72">
        <f>IF($A32="","",IF(LEN(답안입력!$D32)&gt;=15,VALUE(MID(답안입력!$D32,15,1)),IF(답안입력!S32="","",답안입력!S32)))</f>
        <v/>
      </c>
      <c r="T32" s="72">
        <f>IF($A32="","",IF(LEN(답안입력!$D32)&gt;=16,VALUE(MID(답안입력!$D32,16,1)),IF(답안입력!T32="","",답안입력!T32)))</f>
        <v/>
      </c>
      <c r="U32" s="72">
        <f>IF($A32="","",IF(LEN(답안입력!$D32)&gt;=17,VALUE(MID(답안입력!$D32,17,1)),IF(답안입력!U32="","",답안입력!U32)))</f>
        <v/>
      </c>
      <c r="V32" s="72">
        <f>IF($A32="","",IF(LEN(답안입력!$D32)&gt;=18,VALUE(MID(답안입력!$D32,18,1)),IF(답안입력!V32="","",답안입력!V32)))</f>
        <v/>
      </c>
      <c r="W32" s="72">
        <f>IF($A32="","",IF(LEN(답안입력!$D32)&gt;=19,VALUE(MID(답안입력!$D32,19,1)),IF(답안입력!W32="","",답안입력!W32)))</f>
        <v/>
      </c>
      <c r="X32" s="72">
        <f>IF($A32="","",IF(LEN(답안입력!$D32)&gt;=20,VALUE(MID(답안입력!$D32,20,1)),IF(답안입력!X32="","",답안입력!X32)))</f>
        <v/>
      </c>
      <c r="Y32" s="72">
        <f>IF($A32="","",IF(LEN(답안입력!$D32)&gt;=21,VALUE(MID(답안입력!$D32,21,1)),IF(답안입력!Y32="","",답안입력!Y32)))</f>
        <v/>
      </c>
      <c r="Z32" s="72">
        <f>IF($A32="","",IF(LEN(답안입력!$D32)&gt;=22,VALUE(MID(답안입력!$D32,22,1)),IF(답안입력!Z32="","",답안입력!Z32)))</f>
        <v/>
      </c>
      <c r="AA32" s="72">
        <f>IF($A32="","",IF(LEN(답안입력!$D32)&gt;=23,VALUE(MID(답안입력!$D32,23,1)),IF(답안입력!AA32="","",답안입력!AA32)))</f>
        <v/>
      </c>
      <c r="AB32" s="72">
        <f>IF($A32="","",IF(LEN(답안입력!$D32)&gt;=24,VALUE(MID(답안입력!$D32,24,1)),IF(답안입력!AB32="","",답안입력!AB32)))</f>
        <v/>
      </c>
      <c r="AC32" s="72">
        <f>IF($A32="","",IF(LEN(답안입력!$D32)&gt;=25,VALUE(MID(답안입력!$D32,25,1)),IF(답안입력!AC32="","",답안입력!AC32)))</f>
        <v/>
      </c>
      <c r="AD32" s="72">
        <f>IF($A32="","",IF(LEN(답안입력!$D32)&gt;=26,VALUE(MID(답안입력!$D32,26,1)),IF(답안입력!AD32="","",답안입력!AD32)))</f>
        <v/>
      </c>
      <c r="AE32" s="72">
        <f>IF($A32="","",IF(LEN(답안입력!$D32)&gt;=27,VALUE(MID(답안입력!$D32,27,1)),IF(답안입력!AE32="","",답안입력!AE32)))</f>
        <v/>
      </c>
      <c r="AF32" s="72">
        <f>IF($A32="","",IF(LEN(답안입력!$D32)&gt;=28,VALUE(MID(답안입력!$D32,28,1)),IF(답안입력!AF32="","",답안입력!AF32)))</f>
        <v/>
      </c>
      <c r="AG32" s="72">
        <f>IF($A32="","",IF(LEN(답안입력!$D32)&gt;=29,VALUE(MID(답안입력!$D32,29,1)),IF(답안입력!AG32="","",답안입력!AG32)))</f>
        <v/>
      </c>
      <c r="AH32" s="72">
        <f>IF($A32="","",IF(LEN(답안입력!$D32)&gt;=30,VALUE(MID(답안입력!$D32,30,1)),IF(답안입력!AH32="","",답안입력!AH32)))</f>
        <v/>
      </c>
      <c r="AI32" s="72">
        <f>IF($A32="","",IF(LEN(답안입력!$D32)&gt;=31,VALUE(MID(답안입력!$D32,31,1)),IF(답안입력!AI32="","",답안입력!AI32)))</f>
        <v/>
      </c>
      <c r="AJ32" s="72">
        <f>IF($A32="","",IF(LEN(답안입력!$D32)&gt;=32,VALUE(MID(답안입력!$D32,32,1)),IF(답안입력!AJ32="","",답안입력!AJ32)))</f>
        <v/>
      </c>
      <c r="AK32" s="72">
        <f>IF($A32="","",IF(LEN(답안입력!$D32)&gt;=33,VALUE(MID(답안입력!$D32,33,1)),IF(답안입력!AK32="","",답안입력!AK32)))</f>
        <v/>
      </c>
      <c r="AL32" s="72">
        <f>IF($A32="","",IF(LEN(답안입력!$D32)&gt;=34,VALUE(MID(답안입력!$D32,34,1)),IF(답안입력!AL32="","",답안입력!AL32)))</f>
        <v/>
      </c>
      <c r="AM32" s="72">
        <f>IF($A32="","",IF(LEN(답안입력!$D32)&gt;=35,VALUE(MID(답안입력!$D32,35,1)),IF(답안입력!AM32="","",답안입력!AM32)))</f>
        <v/>
      </c>
      <c r="AN32" s="72">
        <f>IF($A32="","",IF(LEN(답안입력!$D32)&gt;=36,VALUE(MID(답안입력!$D32,36,1)),IF(답안입력!AN32="","",답안입력!AN32)))</f>
        <v/>
      </c>
      <c r="AO32" s="72">
        <f>IF($A32="","",IF(LEN(답안입력!$D32)&gt;=37,VALUE(MID(답안입력!$D32,37,1)),IF(답안입력!AO32="","",답안입력!AO32)))</f>
        <v/>
      </c>
      <c r="AP32" s="72">
        <f>IF($A32="","",IF(LEN(답안입력!$D32)&gt;=38,VALUE(MID(답안입력!$D32,38,1)),IF(답안입력!AP32="","",답안입력!AP32)))</f>
        <v/>
      </c>
      <c r="AQ32" s="72">
        <f>IF($A32="","",IF(LEN(답안입력!$D32)&gt;=39,VALUE(MID(답안입력!$D32,39,1)),IF(답안입력!AQ32="","",답안입력!AQ32)))</f>
        <v/>
      </c>
      <c r="AR32" s="72">
        <f>IF($A32="","",IF(LEN(답안입력!$D32)&gt;=40,VALUE(MID(답안입력!$D32,40,1)),IF(답안입력!AR32="","",답안입력!AR32)))</f>
        <v/>
      </c>
      <c r="AS32" s="72">
        <f>IF($A32="","",IF(LEN(답안입력!$D32)&gt;=41,VALUE(MID(답안입력!$D32,41,1)),IF(답안입력!AS32="","",답안입력!AS32)))</f>
        <v/>
      </c>
      <c r="AT32" s="72">
        <f>IF($A32="","",IF(LEN(답안입력!$D32)&gt;=42,VALUE(MID(답안입력!$D32,42,1)),IF(답안입력!AT32="","",답안입력!AT32)))</f>
        <v/>
      </c>
      <c r="AU32" s="72">
        <f>IF($A32="","",IF(LEN(답안입력!$D32)&gt;=43,VALUE(MID(답안입력!$D32,43,1)),IF(답안입력!AU32="","",답안입력!AU32)))</f>
        <v/>
      </c>
      <c r="AV32" s="72">
        <f>IF($A32="","",IF(LEN(답안입력!$D32)&gt;=44,VALUE(MID(답안입력!$D32,44,1)),IF(답안입력!AV32="","",답안입력!AV32)))</f>
        <v/>
      </c>
      <c r="AW32" s="72">
        <f>IF($A32="","",IF(LEN(답안입력!$D32)&gt;=45,VALUE(MID(답안입력!$D32,45,1)),IF(답안입력!AW32="","",답안입력!AW32)))</f>
        <v/>
      </c>
      <c r="AX32" s="72">
        <f>IF($A32="","",IF(E32="",0,IF(E32=IF($B32="언어와 매체",자동계산!$D$4,자동계산!$B$4),IF($B32="언어와 매체",자동계산!$E$4,자동계산!$C$4),0)))</f>
        <v/>
      </c>
      <c r="AY32" s="72">
        <f>IF($A32="","",IF(F32="",0,IF(F32=IF($B32="언어와 매체",자동계산!$D$5,자동계산!$B$5),IF($B32="언어와 매체",자동계산!$E$5,자동계산!$C$5),0)))</f>
        <v/>
      </c>
      <c r="AZ32" s="72">
        <f>IF($A32="","",IF(G32="",0,IF(G32=IF($B32="언어와 매체",자동계산!$D$6,자동계산!$B$6),IF($B32="언어와 매체",자동계산!$E$6,자동계산!$C$6),0)))</f>
        <v/>
      </c>
      <c r="BA32" s="72">
        <f>IF($A32="","",IF(H32="",0,IF(H32=IF($B32="언어와 매체",자동계산!$D$7,자동계산!$B$7),IF($B32="언어와 매체",자동계산!$E$7,자동계산!$C$7),0)))</f>
        <v/>
      </c>
      <c r="BB32" s="72">
        <f>IF($A32="","",IF(I32="",0,IF(I32=IF($B32="언어와 매체",자동계산!$D$8,자동계산!$B$8),IF($B32="언어와 매체",자동계산!$E$8,자동계산!$C$8),0)))</f>
        <v/>
      </c>
      <c r="BC32" s="72">
        <f>IF($A32="","",IF(J32="",0,IF(J32=IF($B32="언어와 매체",자동계산!$D$9,자동계산!$B$9),IF($B32="언어와 매체",자동계산!$E$9,자동계산!$C$9),0)))</f>
        <v/>
      </c>
      <c r="BD32" s="72">
        <f>IF($A32="","",IF(K32="",0,IF(K32=IF($B32="언어와 매체",자동계산!$D$10,자동계산!$B$10),IF($B32="언어와 매체",자동계산!$E$10,자동계산!$C$10),0)))</f>
        <v/>
      </c>
      <c r="BE32" s="72">
        <f>IF($A32="","",IF(L32="",0,IF(L32=IF($B32="언어와 매체",자동계산!$D$11,자동계산!$B$11),IF($B32="언어와 매체",자동계산!$E$11,자동계산!$C$11),0)))</f>
        <v/>
      </c>
      <c r="BF32" s="72">
        <f>IF($A32="","",IF(M32="",0,IF(M32=IF($B32="언어와 매체",자동계산!$D$12,자동계산!$B$12),IF($B32="언어와 매체",자동계산!$E$12,자동계산!$C$12),0)))</f>
        <v/>
      </c>
      <c r="BG32" s="72">
        <f>IF($A32="","",IF(N32="",0,IF(N32=IF($B32="언어와 매체",자동계산!$D$13,자동계산!$B$13),IF($B32="언어와 매체",자동계산!$E$13,자동계산!$C$13),0)))</f>
        <v/>
      </c>
      <c r="BH32" s="72">
        <f>IF($A32="","",IF(O32="",0,IF(O32=IF($B32="언어와 매체",자동계산!$D$14,자동계산!$B$14),IF($B32="언어와 매체",자동계산!$E$14,자동계산!$C$14),0)))</f>
        <v/>
      </c>
      <c r="BI32" s="72">
        <f>IF($A32="","",IF(P32="",0,IF(P32=IF($B32="언어와 매체",자동계산!$D$15,자동계산!$B$15),IF($B32="언어와 매체",자동계산!$E$15,자동계산!$C$15),0)))</f>
        <v/>
      </c>
      <c r="BJ32" s="72">
        <f>IF($A32="","",IF(Q32="",0,IF(Q32=IF($B32="언어와 매체",자동계산!$D$16,자동계산!$B$16),IF($B32="언어와 매체",자동계산!$E$16,자동계산!$C$16),0)))</f>
        <v/>
      </c>
      <c r="BK32" s="72">
        <f>IF($A32="","",IF(R32="",0,IF(R32=IF($B32="언어와 매체",자동계산!$D$17,자동계산!$B$17),IF($B32="언어와 매체",자동계산!$E$17,자동계산!$C$17),0)))</f>
        <v/>
      </c>
      <c r="BL32" s="72">
        <f>IF($A32="","",IF(S32="",0,IF(S32=IF($B32="언어와 매체",자동계산!$D$18,자동계산!$B$18),IF($B32="언어와 매체",자동계산!$E$18,자동계산!$C$18),0)))</f>
        <v/>
      </c>
      <c r="BM32" s="72">
        <f>IF($A32="","",IF(T32="",0,IF(T32=IF($B32="언어와 매체",자동계산!$D$19,자동계산!$B$19),IF($B32="언어와 매체",자동계산!$E$19,자동계산!$C$19),0)))</f>
        <v/>
      </c>
      <c r="BN32" s="72">
        <f>IF($A32="","",IF(U32="",0,IF(U32=IF($B32="언어와 매체",자동계산!$D$20,자동계산!$B$20),IF($B32="언어와 매체",자동계산!$E$20,자동계산!$C$20),0)))</f>
        <v/>
      </c>
      <c r="BO32" s="72">
        <f>IF($A32="","",IF(V32="",0,IF(V32=IF($B32="언어와 매체",자동계산!$D$21,자동계산!$B$21),IF($B32="언어와 매체",자동계산!$E$21,자동계산!$C$21),0)))</f>
        <v/>
      </c>
      <c r="BP32" s="72">
        <f>IF($A32="","",IF(W32="",0,IF(W32=IF($B32="언어와 매체",자동계산!$D$22,자동계산!$B$22),IF($B32="언어와 매체",자동계산!$E$22,자동계산!$C$22),0)))</f>
        <v/>
      </c>
      <c r="BQ32" s="72">
        <f>IF($A32="","",IF(X32="",0,IF(X32=IF($B32="언어와 매체",자동계산!$D$23,자동계산!$B$23),IF($B32="언어와 매체",자동계산!$E$23,자동계산!$C$23),0)))</f>
        <v/>
      </c>
      <c r="BR32" s="72">
        <f>IF($A32="","",IF(Y32="",0,IF(Y32=IF($B32="언어와 매체",자동계산!$D$24,자동계산!$B$24),IF($B32="언어와 매체",자동계산!$E$24,자동계산!$C$24),0)))</f>
        <v/>
      </c>
      <c r="BS32" s="72">
        <f>IF($A32="","",IF(Z32="",0,IF(Z32=IF($B32="언어와 매체",자동계산!$D$25,자동계산!$B$25),IF($B32="언어와 매체",자동계산!$E$25,자동계산!$C$25),0)))</f>
        <v/>
      </c>
      <c r="BT32" s="72">
        <f>IF($A32="","",IF(AA32="",0,IF(AA32=IF($B32="언어와 매체",자동계산!$D$26,자동계산!$B$26),IF($B32="언어와 매체",자동계산!$E$26,자동계산!$C$26),0)))</f>
        <v/>
      </c>
      <c r="BU32" s="72">
        <f>IF($A32="","",IF(AB32="",0,IF(AB32=IF($B32="언어와 매체",자동계산!$D$27,자동계산!$B$27),IF($B32="언어와 매체",자동계산!$E$27,자동계산!$C$27),0)))</f>
        <v/>
      </c>
      <c r="BV32" s="72">
        <f>IF($A32="","",IF(AC32="",0,IF(AC32=IF($B32="언어와 매체",자동계산!$D$28,자동계산!$B$28),IF($B32="언어와 매체",자동계산!$E$28,자동계산!$C$28),0)))</f>
        <v/>
      </c>
      <c r="BW32" s="72">
        <f>IF($A32="","",IF(AD32="",0,IF(AD32=IF($B32="언어와 매체",자동계산!$D$29,자동계산!$B$29),IF($B32="언어와 매체",자동계산!$E$29,자동계산!$C$29),0)))</f>
        <v/>
      </c>
      <c r="BX32" s="72">
        <f>IF($A32="","",IF(AE32="",0,IF(AE32=IF($B32="언어와 매체",자동계산!$D$30,자동계산!$B$30),IF($B32="언어와 매체",자동계산!$E$30,자동계산!$C$30),0)))</f>
        <v/>
      </c>
      <c r="BY32" s="72">
        <f>IF($A32="","",IF(AF32="",0,IF(AF32=IF($B32="언어와 매체",자동계산!$D$31,자동계산!$B$31),IF($B32="언어와 매체",자동계산!$E$31,자동계산!$C$31),0)))</f>
        <v/>
      </c>
      <c r="BZ32" s="72">
        <f>IF($A32="","",IF(AG32="",0,IF(AG32=IF($B32="언어와 매체",자동계산!$D$32,자동계산!$B$32),IF($B32="언어와 매체",자동계산!$E$32,자동계산!$C$32),0)))</f>
        <v/>
      </c>
      <c r="CA32" s="72">
        <f>IF($A32="","",IF(AH32="",0,IF(AH32=IF($B32="언어와 매체",자동계산!$D$33,자동계산!$B$33),IF($B32="언어와 매체",자동계산!$E$33,자동계산!$C$33),0)))</f>
        <v/>
      </c>
      <c r="CB32" s="72">
        <f>IF($A32="","",IF(AI32="",0,IF(AI32=IF($B32="언어와 매체",자동계산!$D$34,자동계산!$B$34),IF($B32="언어와 매체",자동계산!$E$34,자동계산!$C$34),0)))</f>
        <v/>
      </c>
      <c r="CC32" s="72">
        <f>IF($A32="","",IF(AJ32="",0,IF(AJ32=IF($B32="언어와 매체",자동계산!$D$35,자동계산!$B$35),IF($B32="언어와 매체",자동계산!$E$35,자동계산!$C$35),0)))</f>
        <v/>
      </c>
      <c r="CD32" s="72">
        <f>IF($A32="","",IF(AK32="",0,IF(AK32=IF($B32="언어와 매체",자동계산!$D$36,자동계산!$B$36),IF($B32="언어와 매체",자동계산!$E$36,자동계산!$C$36),0)))</f>
        <v/>
      </c>
      <c r="CE32" s="72">
        <f>IF($A32="","",IF(AL32="",0,IF(AL32=IF($B32="언어와 매체",자동계산!$D$37,자동계산!$B$37),IF($B32="언어와 매체",자동계산!$E$37,자동계산!$C$37),0)))</f>
        <v/>
      </c>
      <c r="CF32" s="72">
        <f>IF($A32="","",IF(AM32="",0,IF(AM32=IF($B32="언어와 매체",자동계산!$D$38,자동계산!$B$38),IF($B32="언어와 매체",자동계산!$E$38,자동계산!$C$38),0)))</f>
        <v/>
      </c>
      <c r="CG32" s="72">
        <f>IF($A32="","",IF(AN32="",0,IF(AN32=IF($B32="언어와 매체",자동계산!$D$39,자동계산!$B$39),IF($B32="언어와 매체",자동계산!$E$39,자동계산!$C$39),0)))</f>
        <v/>
      </c>
      <c r="CH32" s="72">
        <f>IF($A32="","",IF(AO32="",0,IF(AO32=IF($B32="언어와 매체",자동계산!$D$40,자동계산!$B$40),IF($B32="언어와 매체",자동계산!$E$40,자동계산!$C$40),0)))</f>
        <v/>
      </c>
      <c r="CI32" s="72">
        <f>IF($A32="","",IF(AP32="",0,IF(AP32=IF($B32="언어와 매체",자동계산!$D$41,자동계산!$B$41),IF($B32="언어와 매체",자동계산!$E$41,자동계산!$C$41),0)))</f>
        <v/>
      </c>
      <c r="CJ32" s="72">
        <f>IF($A32="","",IF(AQ32="",0,IF(AQ32=IF($B32="언어와 매체",자동계산!$D$42,자동계산!$B$42),IF($B32="언어와 매체",자동계산!$E$42,자동계산!$C$42),0)))</f>
        <v/>
      </c>
      <c r="CK32" s="72">
        <f>IF($A32="","",IF(AR32="",0,IF(AR32=IF($B32="언어와 매체",자동계산!$D$43,자동계산!$B$43),IF($B32="언어와 매체",자동계산!$E$43,자동계산!$C$43),0)))</f>
        <v/>
      </c>
      <c r="CL32" s="72">
        <f>IF($A32="","",IF(AS32="",0,IF(AS32=IF($B32="언어와 매체",자동계산!$D$44,자동계산!$B$44),IF($B32="언어와 매체",자동계산!$E$44,자동계산!$C$44),0)))</f>
        <v/>
      </c>
      <c r="CM32" s="72">
        <f>IF($A32="","",IF(AT32="",0,IF(AT32=IF($B32="언어와 매체",자동계산!$D$45,자동계산!$B$45),IF($B32="언어와 매체",자동계산!$E$45,자동계산!$C$45),0)))</f>
        <v/>
      </c>
      <c r="CN32" s="72">
        <f>IF($A32="","",IF(AU32="",0,IF(AU32=IF($B32="언어와 매체",자동계산!$D$46,자동계산!$B$46),IF($B32="언어와 매체",자동계산!$E$46,자동계산!$C$46),0)))</f>
        <v/>
      </c>
      <c r="CO32" s="72">
        <f>IF($A32="","",IF(AV32="",0,IF(AV32=IF($B32="언어와 매체",자동계산!$D$47,자동계산!$B$47),IF($B32="언어와 매체",자동계산!$E$47,자동계산!$C$47),0)))</f>
        <v/>
      </c>
      <c r="CP32" s="72">
        <f>IF($A32="","",IF(AW32="",0,IF(AW32=IF($B32="언어와 매체",자동계산!$D$48,자동계산!$B$48),IF($B32="언어와 매체",자동계산!$E$48,자동계산!$C$48),0)))</f>
        <v/>
      </c>
    </row>
    <row r="33">
      <c r="A33" s="70">
        <f>IF(답안입력!A33="","",답안입력!A33)</f>
        <v/>
      </c>
      <c r="B33" s="70">
        <f>IF($A33="","",답안입력!C33)</f>
        <v/>
      </c>
      <c r="C33" s="71">
        <f>IF($A33="","",SUM(AX33:CP33))</f>
        <v/>
      </c>
      <c r="D33" s="70">
        <f>IF($A33="","",IF($C33&gt;=IF($B33="언어와 매체",회차설정!$B$9,회차설정!$B$8),"1등급",IF($C33&gt;=IF($B33="언어와 매체",회차설정!$C$9,회차설정!$C$8),"2등급",IF($C33&gt;=IF($B33="언어와 매체",회차설정!$D$9,회차설정!$D$8),"3등급",IF($C33&gt;=IF($B33="언어와 매체",회차설정!$E$9,회차설정!$E$8),"4등급","등급 외")))))</f>
        <v/>
      </c>
      <c r="E33" s="72">
        <f>IF($A33="","",IF(LEN(답안입력!$D33)&gt;=1,VALUE(MID(답안입력!$D33,1,1)),IF(답안입력!E33="","",답안입력!E33)))</f>
        <v/>
      </c>
      <c r="F33" s="72">
        <f>IF($A33="","",IF(LEN(답안입력!$D33)&gt;=2,VALUE(MID(답안입력!$D33,2,1)),IF(답안입력!F33="","",답안입력!F33)))</f>
        <v/>
      </c>
      <c r="G33" s="72">
        <f>IF($A33="","",IF(LEN(답안입력!$D33)&gt;=3,VALUE(MID(답안입력!$D33,3,1)),IF(답안입력!G33="","",답안입력!G33)))</f>
        <v/>
      </c>
      <c r="H33" s="72">
        <f>IF($A33="","",IF(LEN(답안입력!$D33)&gt;=4,VALUE(MID(답안입력!$D33,4,1)),IF(답안입력!H33="","",답안입력!H33)))</f>
        <v/>
      </c>
      <c r="I33" s="72">
        <f>IF($A33="","",IF(LEN(답안입력!$D33)&gt;=5,VALUE(MID(답안입력!$D33,5,1)),IF(답안입력!I33="","",답안입력!I33)))</f>
        <v/>
      </c>
      <c r="J33" s="72">
        <f>IF($A33="","",IF(LEN(답안입력!$D33)&gt;=6,VALUE(MID(답안입력!$D33,6,1)),IF(답안입력!J33="","",답안입력!J33)))</f>
        <v/>
      </c>
      <c r="K33" s="72">
        <f>IF($A33="","",IF(LEN(답안입력!$D33)&gt;=7,VALUE(MID(답안입력!$D33,7,1)),IF(답안입력!K33="","",답안입력!K33)))</f>
        <v/>
      </c>
      <c r="L33" s="72">
        <f>IF($A33="","",IF(LEN(답안입력!$D33)&gt;=8,VALUE(MID(답안입력!$D33,8,1)),IF(답안입력!L33="","",답안입력!L33)))</f>
        <v/>
      </c>
      <c r="M33" s="72">
        <f>IF($A33="","",IF(LEN(답안입력!$D33)&gt;=9,VALUE(MID(답안입력!$D33,9,1)),IF(답안입력!M33="","",답안입력!M33)))</f>
        <v/>
      </c>
      <c r="N33" s="72">
        <f>IF($A33="","",IF(LEN(답안입력!$D33)&gt;=10,VALUE(MID(답안입력!$D33,10,1)),IF(답안입력!N33="","",답안입력!N33)))</f>
        <v/>
      </c>
      <c r="O33" s="72">
        <f>IF($A33="","",IF(LEN(답안입력!$D33)&gt;=11,VALUE(MID(답안입력!$D33,11,1)),IF(답안입력!O33="","",답안입력!O33)))</f>
        <v/>
      </c>
      <c r="P33" s="72">
        <f>IF($A33="","",IF(LEN(답안입력!$D33)&gt;=12,VALUE(MID(답안입력!$D33,12,1)),IF(답안입력!P33="","",답안입력!P33)))</f>
        <v/>
      </c>
      <c r="Q33" s="72">
        <f>IF($A33="","",IF(LEN(답안입력!$D33)&gt;=13,VALUE(MID(답안입력!$D33,13,1)),IF(답안입력!Q33="","",답안입력!Q33)))</f>
        <v/>
      </c>
      <c r="R33" s="72">
        <f>IF($A33="","",IF(LEN(답안입력!$D33)&gt;=14,VALUE(MID(답안입력!$D33,14,1)),IF(답안입력!R33="","",답안입력!R33)))</f>
        <v/>
      </c>
      <c r="S33" s="72">
        <f>IF($A33="","",IF(LEN(답안입력!$D33)&gt;=15,VALUE(MID(답안입력!$D33,15,1)),IF(답안입력!S33="","",답안입력!S33)))</f>
        <v/>
      </c>
      <c r="T33" s="72">
        <f>IF($A33="","",IF(LEN(답안입력!$D33)&gt;=16,VALUE(MID(답안입력!$D33,16,1)),IF(답안입력!T33="","",답안입력!T33)))</f>
        <v/>
      </c>
      <c r="U33" s="72">
        <f>IF($A33="","",IF(LEN(답안입력!$D33)&gt;=17,VALUE(MID(답안입력!$D33,17,1)),IF(답안입력!U33="","",답안입력!U33)))</f>
        <v/>
      </c>
      <c r="V33" s="72">
        <f>IF($A33="","",IF(LEN(답안입력!$D33)&gt;=18,VALUE(MID(답안입력!$D33,18,1)),IF(답안입력!V33="","",답안입력!V33)))</f>
        <v/>
      </c>
      <c r="W33" s="72">
        <f>IF($A33="","",IF(LEN(답안입력!$D33)&gt;=19,VALUE(MID(답안입력!$D33,19,1)),IF(답안입력!W33="","",답안입력!W33)))</f>
        <v/>
      </c>
      <c r="X33" s="72">
        <f>IF($A33="","",IF(LEN(답안입력!$D33)&gt;=20,VALUE(MID(답안입력!$D33,20,1)),IF(답안입력!X33="","",답안입력!X33)))</f>
        <v/>
      </c>
      <c r="Y33" s="72">
        <f>IF($A33="","",IF(LEN(답안입력!$D33)&gt;=21,VALUE(MID(답안입력!$D33,21,1)),IF(답안입력!Y33="","",답안입력!Y33)))</f>
        <v/>
      </c>
      <c r="Z33" s="72">
        <f>IF($A33="","",IF(LEN(답안입력!$D33)&gt;=22,VALUE(MID(답안입력!$D33,22,1)),IF(답안입력!Z33="","",답안입력!Z33)))</f>
        <v/>
      </c>
      <c r="AA33" s="72">
        <f>IF($A33="","",IF(LEN(답안입력!$D33)&gt;=23,VALUE(MID(답안입력!$D33,23,1)),IF(답안입력!AA33="","",답안입력!AA33)))</f>
        <v/>
      </c>
      <c r="AB33" s="72">
        <f>IF($A33="","",IF(LEN(답안입력!$D33)&gt;=24,VALUE(MID(답안입력!$D33,24,1)),IF(답안입력!AB33="","",답안입력!AB33)))</f>
        <v/>
      </c>
      <c r="AC33" s="72">
        <f>IF($A33="","",IF(LEN(답안입력!$D33)&gt;=25,VALUE(MID(답안입력!$D33,25,1)),IF(답안입력!AC33="","",답안입력!AC33)))</f>
        <v/>
      </c>
      <c r="AD33" s="72">
        <f>IF($A33="","",IF(LEN(답안입력!$D33)&gt;=26,VALUE(MID(답안입력!$D33,26,1)),IF(답안입력!AD33="","",답안입력!AD33)))</f>
        <v/>
      </c>
      <c r="AE33" s="72">
        <f>IF($A33="","",IF(LEN(답안입력!$D33)&gt;=27,VALUE(MID(답안입력!$D33,27,1)),IF(답안입력!AE33="","",답안입력!AE33)))</f>
        <v/>
      </c>
      <c r="AF33" s="72">
        <f>IF($A33="","",IF(LEN(답안입력!$D33)&gt;=28,VALUE(MID(답안입력!$D33,28,1)),IF(답안입력!AF33="","",답안입력!AF33)))</f>
        <v/>
      </c>
      <c r="AG33" s="72">
        <f>IF($A33="","",IF(LEN(답안입력!$D33)&gt;=29,VALUE(MID(답안입력!$D33,29,1)),IF(답안입력!AG33="","",답안입력!AG33)))</f>
        <v/>
      </c>
      <c r="AH33" s="72">
        <f>IF($A33="","",IF(LEN(답안입력!$D33)&gt;=30,VALUE(MID(답안입력!$D33,30,1)),IF(답안입력!AH33="","",답안입력!AH33)))</f>
        <v/>
      </c>
      <c r="AI33" s="72">
        <f>IF($A33="","",IF(LEN(답안입력!$D33)&gt;=31,VALUE(MID(답안입력!$D33,31,1)),IF(답안입력!AI33="","",답안입력!AI33)))</f>
        <v/>
      </c>
      <c r="AJ33" s="72">
        <f>IF($A33="","",IF(LEN(답안입력!$D33)&gt;=32,VALUE(MID(답안입력!$D33,32,1)),IF(답안입력!AJ33="","",답안입력!AJ33)))</f>
        <v/>
      </c>
      <c r="AK33" s="72">
        <f>IF($A33="","",IF(LEN(답안입력!$D33)&gt;=33,VALUE(MID(답안입력!$D33,33,1)),IF(답안입력!AK33="","",답안입력!AK33)))</f>
        <v/>
      </c>
      <c r="AL33" s="72">
        <f>IF($A33="","",IF(LEN(답안입력!$D33)&gt;=34,VALUE(MID(답안입력!$D33,34,1)),IF(답안입력!AL33="","",답안입력!AL33)))</f>
        <v/>
      </c>
      <c r="AM33" s="72">
        <f>IF($A33="","",IF(LEN(답안입력!$D33)&gt;=35,VALUE(MID(답안입력!$D33,35,1)),IF(답안입력!AM33="","",답안입력!AM33)))</f>
        <v/>
      </c>
      <c r="AN33" s="72">
        <f>IF($A33="","",IF(LEN(답안입력!$D33)&gt;=36,VALUE(MID(답안입력!$D33,36,1)),IF(답안입력!AN33="","",답안입력!AN33)))</f>
        <v/>
      </c>
      <c r="AO33" s="72">
        <f>IF($A33="","",IF(LEN(답안입력!$D33)&gt;=37,VALUE(MID(답안입력!$D33,37,1)),IF(답안입력!AO33="","",답안입력!AO33)))</f>
        <v/>
      </c>
      <c r="AP33" s="72">
        <f>IF($A33="","",IF(LEN(답안입력!$D33)&gt;=38,VALUE(MID(답안입력!$D33,38,1)),IF(답안입력!AP33="","",답안입력!AP33)))</f>
        <v/>
      </c>
      <c r="AQ33" s="72">
        <f>IF($A33="","",IF(LEN(답안입력!$D33)&gt;=39,VALUE(MID(답안입력!$D33,39,1)),IF(답안입력!AQ33="","",답안입력!AQ33)))</f>
        <v/>
      </c>
      <c r="AR33" s="72">
        <f>IF($A33="","",IF(LEN(답안입력!$D33)&gt;=40,VALUE(MID(답안입력!$D33,40,1)),IF(답안입력!AR33="","",답안입력!AR33)))</f>
        <v/>
      </c>
      <c r="AS33" s="72">
        <f>IF($A33="","",IF(LEN(답안입력!$D33)&gt;=41,VALUE(MID(답안입력!$D33,41,1)),IF(답안입력!AS33="","",답안입력!AS33)))</f>
        <v/>
      </c>
      <c r="AT33" s="72">
        <f>IF($A33="","",IF(LEN(답안입력!$D33)&gt;=42,VALUE(MID(답안입력!$D33,42,1)),IF(답안입력!AT33="","",답안입력!AT33)))</f>
        <v/>
      </c>
      <c r="AU33" s="72">
        <f>IF($A33="","",IF(LEN(답안입력!$D33)&gt;=43,VALUE(MID(답안입력!$D33,43,1)),IF(답안입력!AU33="","",답안입력!AU33)))</f>
        <v/>
      </c>
      <c r="AV33" s="72">
        <f>IF($A33="","",IF(LEN(답안입력!$D33)&gt;=44,VALUE(MID(답안입력!$D33,44,1)),IF(답안입력!AV33="","",답안입력!AV33)))</f>
        <v/>
      </c>
      <c r="AW33" s="72">
        <f>IF($A33="","",IF(LEN(답안입력!$D33)&gt;=45,VALUE(MID(답안입력!$D33,45,1)),IF(답안입력!AW33="","",답안입력!AW33)))</f>
        <v/>
      </c>
      <c r="AX33" s="72">
        <f>IF($A33="","",IF(E33="",0,IF(E33=IF($B33="언어와 매체",자동계산!$D$4,자동계산!$B$4),IF($B33="언어와 매체",자동계산!$E$4,자동계산!$C$4),0)))</f>
        <v/>
      </c>
      <c r="AY33" s="72">
        <f>IF($A33="","",IF(F33="",0,IF(F33=IF($B33="언어와 매체",자동계산!$D$5,자동계산!$B$5),IF($B33="언어와 매체",자동계산!$E$5,자동계산!$C$5),0)))</f>
        <v/>
      </c>
      <c r="AZ33" s="72">
        <f>IF($A33="","",IF(G33="",0,IF(G33=IF($B33="언어와 매체",자동계산!$D$6,자동계산!$B$6),IF($B33="언어와 매체",자동계산!$E$6,자동계산!$C$6),0)))</f>
        <v/>
      </c>
      <c r="BA33" s="72">
        <f>IF($A33="","",IF(H33="",0,IF(H33=IF($B33="언어와 매체",자동계산!$D$7,자동계산!$B$7),IF($B33="언어와 매체",자동계산!$E$7,자동계산!$C$7),0)))</f>
        <v/>
      </c>
      <c r="BB33" s="72">
        <f>IF($A33="","",IF(I33="",0,IF(I33=IF($B33="언어와 매체",자동계산!$D$8,자동계산!$B$8),IF($B33="언어와 매체",자동계산!$E$8,자동계산!$C$8),0)))</f>
        <v/>
      </c>
      <c r="BC33" s="72">
        <f>IF($A33="","",IF(J33="",0,IF(J33=IF($B33="언어와 매체",자동계산!$D$9,자동계산!$B$9),IF($B33="언어와 매체",자동계산!$E$9,자동계산!$C$9),0)))</f>
        <v/>
      </c>
      <c r="BD33" s="72">
        <f>IF($A33="","",IF(K33="",0,IF(K33=IF($B33="언어와 매체",자동계산!$D$10,자동계산!$B$10),IF($B33="언어와 매체",자동계산!$E$10,자동계산!$C$10),0)))</f>
        <v/>
      </c>
      <c r="BE33" s="72">
        <f>IF($A33="","",IF(L33="",0,IF(L33=IF($B33="언어와 매체",자동계산!$D$11,자동계산!$B$11),IF($B33="언어와 매체",자동계산!$E$11,자동계산!$C$11),0)))</f>
        <v/>
      </c>
      <c r="BF33" s="72">
        <f>IF($A33="","",IF(M33="",0,IF(M33=IF($B33="언어와 매체",자동계산!$D$12,자동계산!$B$12),IF($B33="언어와 매체",자동계산!$E$12,자동계산!$C$12),0)))</f>
        <v/>
      </c>
      <c r="BG33" s="72">
        <f>IF($A33="","",IF(N33="",0,IF(N33=IF($B33="언어와 매체",자동계산!$D$13,자동계산!$B$13),IF($B33="언어와 매체",자동계산!$E$13,자동계산!$C$13),0)))</f>
        <v/>
      </c>
      <c r="BH33" s="72">
        <f>IF($A33="","",IF(O33="",0,IF(O33=IF($B33="언어와 매체",자동계산!$D$14,자동계산!$B$14),IF($B33="언어와 매체",자동계산!$E$14,자동계산!$C$14),0)))</f>
        <v/>
      </c>
      <c r="BI33" s="72">
        <f>IF($A33="","",IF(P33="",0,IF(P33=IF($B33="언어와 매체",자동계산!$D$15,자동계산!$B$15),IF($B33="언어와 매체",자동계산!$E$15,자동계산!$C$15),0)))</f>
        <v/>
      </c>
      <c r="BJ33" s="72">
        <f>IF($A33="","",IF(Q33="",0,IF(Q33=IF($B33="언어와 매체",자동계산!$D$16,자동계산!$B$16),IF($B33="언어와 매체",자동계산!$E$16,자동계산!$C$16),0)))</f>
        <v/>
      </c>
      <c r="BK33" s="72">
        <f>IF($A33="","",IF(R33="",0,IF(R33=IF($B33="언어와 매체",자동계산!$D$17,자동계산!$B$17),IF($B33="언어와 매체",자동계산!$E$17,자동계산!$C$17),0)))</f>
        <v/>
      </c>
      <c r="BL33" s="72">
        <f>IF($A33="","",IF(S33="",0,IF(S33=IF($B33="언어와 매체",자동계산!$D$18,자동계산!$B$18),IF($B33="언어와 매체",자동계산!$E$18,자동계산!$C$18),0)))</f>
        <v/>
      </c>
      <c r="BM33" s="72">
        <f>IF($A33="","",IF(T33="",0,IF(T33=IF($B33="언어와 매체",자동계산!$D$19,자동계산!$B$19),IF($B33="언어와 매체",자동계산!$E$19,자동계산!$C$19),0)))</f>
        <v/>
      </c>
      <c r="BN33" s="72">
        <f>IF($A33="","",IF(U33="",0,IF(U33=IF($B33="언어와 매체",자동계산!$D$20,자동계산!$B$20),IF($B33="언어와 매체",자동계산!$E$20,자동계산!$C$20),0)))</f>
        <v/>
      </c>
      <c r="BO33" s="72">
        <f>IF($A33="","",IF(V33="",0,IF(V33=IF($B33="언어와 매체",자동계산!$D$21,자동계산!$B$21),IF($B33="언어와 매체",자동계산!$E$21,자동계산!$C$21),0)))</f>
        <v/>
      </c>
      <c r="BP33" s="72">
        <f>IF($A33="","",IF(W33="",0,IF(W33=IF($B33="언어와 매체",자동계산!$D$22,자동계산!$B$22),IF($B33="언어와 매체",자동계산!$E$22,자동계산!$C$22),0)))</f>
        <v/>
      </c>
      <c r="BQ33" s="72">
        <f>IF($A33="","",IF(X33="",0,IF(X33=IF($B33="언어와 매체",자동계산!$D$23,자동계산!$B$23),IF($B33="언어와 매체",자동계산!$E$23,자동계산!$C$23),0)))</f>
        <v/>
      </c>
      <c r="BR33" s="72">
        <f>IF($A33="","",IF(Y33="",0,IF(Y33=IF($B33="언어와 매체",자동계산!$D$24,자동계산!$B$24),IF($B33="언어와 매체",자동계산!$E$24,자동계산!$C$24),0)))</f>
        <v/>
      </c>
      <c r="BS33" s="72">
        <f>IF($A33="","",IF(Z33="",0,IF(Z33=IF($B33="언어와 매체",자동계산!$D$25,자동계산!$B$25),IF($B33="언어와 매체",자동계산!$E$25,자동계산!$C$25),0)))</f>
        <v/>
      </c>
      <c r="BT33" s="72">
        <f>IF($A33="","",IF(AA33="",0,IF(AA33=IF($B33="언어와 매체",자동계산!$D$26,자동계산!$B$26),IF($B33="언어와 매체",자동계산!$E$26,자동계산!$C$26),0)))</f>
        <v/>
      </c>
      <c r="BU33" s="72">
        <f>IF($A33="","",IF(AB33="",0,IF(AB33=IF($B33="언어와 매체",자동계산!$D$27,자동계산!$B$27),IF($B33="언어와 매체",자동계산!$E$27,자동계산!$C$27),0)))</f>
        <v/>
      </c>
      <c r="BV33" s="72">
        <f>IF($A33="","",IF(AC33="",0,IF(AC33=IF($B33="언어와 매체",자동계산!$D$28,자동계산!$B$28),IF($B33="언어와 매체",자동계산!$E$28,자동계산!$C$28),0)))</f>
        <v/>
      </c>
      <c r="BW33" s="72">
        <f>IF($A33="","",IF(AD33="",0,IF(AD33=IF($B33="언어와 매체",자동계산!$D$29,자동계산!$B$29),IF($B33="언어와 매체",자동계산!$E$29,자동계산!$C$29),0)))</f>
        <v/>
      </c>
      <c r="BX33" s="72">
        <f>IF($A33="","",IF(AE33="",0,IF(AE33=IF($B33="언어와 매체",자동계산!$D$30,자동계산!$B$30),IF($B33="언어와 매체",자동계산!$E$30,자동계산!$C$30),0)))</f>
        <v/>
      </c>
      <c r="BY33" s="72">
        <f>IF($A33="","",IF(AF33="",0,IF(AF33=IF($B33="언어와 매체",자동계산!$D$31,자동계산!$B$31),IF($B33="언어와 매체",자동계산!$E$31,자동계산!$C$31),0)))</f>
        <v/>
      </c>
      <c r="BZ33" s="72">
        <f>IF($A33="","",IF(AG33="",0,IF(AG33=IF($B33="언어와 매체",자동계산!$D$32,자동계산!$B$32),IF($B33="언어와 매체",자동계산!$E$32,자동계산!$C$32),0)))</f>
        <v/>
      </c>
      <c r="CA33" s="72">
        <f>IF($A33="","",IF(AH33="",0,IF(AH33=IF($B33="언어와 매체",자동계산!$D$33,자동계산!$B$33),IF($B33="언어와 매체",자동계산!$E$33,자동계산!$C$33),0)))</f>
        <v/>
      </c>
      <c r="CB33" s="72">
        <f>IF($A33="","",IF(AI33="",0,IF(AI33=IF($B33="언어와 매체",자동계산!$D$34,자동계산!$B$34),IF($B33="언어와 매체",자동계산!$E$34,자동계산!$C$34),0)))</f>
        <v/>
      </c>
      <c r="CC33" s="72">
        <f>IF($A33="","",IF(AJ33="",0,IF(AJ33=IF($B33="언어와 매체",자동계산!$D$35,자동계산!$B$35),IF($B33="언어와 매체",자동계산!$E$35,자동계산!$C$35),0)))</f>
        <v/>
      </c>
      <c r="CD33" s="72">
        <f>IF($A33="","",IF(AK33="",0,IF(AK33=IF($B33="언어와 매체",자동계산!$D$36,자동계산!$B$36),IF($B33="언어와 매체",자동계산!$E$36,자동계산!$C$36),0)))</f>
        <v/>
      </c>
      <c r="CE33" s="72">
        <f>IF($A33="","",IF(AL33="",0,IF(AL33=IF($B33="언어와 매체",자동계산!$D$37,자동계산!$B$37),IF($B33="언어와 매체",자동계산!$E$37,자동계산!$C$37),0)))</f>
        <v/>
      </c>
      <c r="CF33" s="72">
        <f>IF($A33="","",IF(AM33="",0,IF(AM33=IF($B33="언어와 매체",자동계산!$D$38,자동계산!$B$38),IF($B33="언어와 매체",자동계산!$E$38,자동계산!$C$38),0)))</f>
        <v/>
      </c>
      <c r="CG33" s="72">
        <f>IF($A33="","",IF(AN33="",0,IF(AN33=IF($B33="언어와 매체",자동계산!$D$39,자동계산!$B$39),IF($B33="언어와 매체",자동계산!$E$39,자동계산!$C$39),0)))</f>
        <v/>
      </c>
      <c r="CH33" s="72">
        <f>IF($A33="","",IF(AO33="",0,IF(AO33=IF($B33="언어와 매체",자동계산!$D$40,자동계산!$B$40),IF($B33="언어와 매체",자동계산!$E$40,자동계산!$C$40),0)))</f>
        <v/>
      </c>
      <c r="CI33" s="72">
        <f>IF($A33="","",IF(AP33="",0,IF(AP33=IF($B33="언어와 매체",자동계산!$D$41,자동계산!$B$41),IF($B33="언어와 매체",자동계산!$E$41,자동계산!$C$41),0)))</f>
        <v/>
      </c>
      <c r="CJ33" s="72">
        <f>IF($A33="","",IF(AQ33="",0,IF(AQ33=IF($B33="언어와 매체",자동계산!$D$42,자동계산!$B$42),IF($B33="언어와 매체",자동계산!$E$42,자동계산!$C$42),0)))</f>
        <v/>
      </c>
      <c r="CK33" s="72">
        <f>IF($A33="","",IF(AR33="",0,IF(AR33=IF($B33="언어와 매체",자동계산!$D$43,자동계산!$B$43),IF($B33="언어와 매체",자동계산!$E$43,자동계산!$C$43),0)))</f>
        <v/>
      </c>
      <c r="CL33" s="72">
        <f>IF($A33="","",IF(AS33="",0,IF(AS33=IF($B33="언어와 매체",자동계산!$D$44,자동계산!$B$44),IF($B33="언어와 매체",자동계산!$E$44,자동계산!$C$44),0)))</f>
        <v/>
      </c>
      <c r="CM33" s="72">
        <f>IF($A33="","",IF(AT33="",0,IF(AT33=IF($B33="언어와 매체",자동계산!$D$45,자동계산!$B$45),IF($B33="언어와 매체",자동계산!$E$45,자동계산!$C$45),0)))</f>
        <v/>
      </c>
      <c r="CN33" s="72">
        <f>IF($A33="","",IF(AU33="",0,IF(AU33=IF($B33="언어와 매체",자동계산!$D$46,자동계산!$B$46),IF($B33="언어와 매체",자동계산!$E$46,자동계산!$C$46),0)))</f>
        <v/>
      </c>
      <c r="CO33" s="72">
        <f>IF($A33="","",IF(AV33="",0,IF(AV33=IF($B33="언어와 매체",자동계산!$D$47,자동계산!$B$47),IF($B33="언어와 매체",자동계산!$E$47,자동계산!$C$47),0)))</f>
        <v/>
      </c>
      <c r="CP33" s="72">
        <f>IF($A33="","",IF(AW33="",0,IF(AW33=IF($B33="언어와 매체",자동계산!$D$48,자동계산!$B$48),IF($B33="언어와 매체",자동계산!$E$48,자동계산!$C$48),0)))</f>
        <v/>
      </c>
    </row>
    <row r="34">
      <c r="A34" s="70">
        <f>IF(답안입력!A34="","",답안입력!A34)</f>
        <v/>
      </c>
      <c r="B34" s="70">
        <f>IF($A34="","",답안입력!C34)</f>
        <v/>
      </c>
      <c r="C34" s="71">
        <f>IF($A34="","",SUM(AX34:CP34))</f>
        <v/>
      </c>
      <c r="D34" s="70">
        <f>IF($A34="","",IF($C34&gt;=IF($B34="언어와 매체",회차설정!$B$9,회차설정!$B$8),"1등급",IF($C34&gt;=IF($B34="언어와 매체",회차설정!$C$9,회차설정!$C$8),"2등급",IF($C34&gt;=IF($B34="언어와 매체",회차설정!$D$9,회차설정!$D$8),"3등급",IF($C34&gt;=IF($B34="언어와 매체",회차설정!$E$9,회차설정!$E$8),"4등급","등급 외")))))</f>
        <v/>
      </c>
      <c r="E34" s="72">
        <f>IF($A34="","",IF(LEN(답안입력!$D34)&gt;=1,VALUE(MID(답안입력!$D34,1,1)),IF(답안입력!E34="","",답안입력!E34)))</f>
        <v/>
      </c>
      <c r="F34" s="72">
        <f>IF($A34="","",IF(LEN(답안입력!$D34)&gt;=2,VALUE(MID(답안입력!$D34,2,1)),IF(답안입력!F34="","",답안입력!F34)))</f>
        <v/>
      </c>
      <c r="G34" s="72">
        <f>IF($A34="","",IF(LEN(답안입력!$D34)&gt;=3,VALUE(MID(답안입력!$D34,3,1)),IF(답안입력!G34="","",답안입력!G34)))</f>
        <v/>
      </c>
      <c r="H34" s="72">
        <f>IF($A34="","",IF(LEN(답안입력!$D34)&gt;=4,VALUE(MID(답안입력!$D34,4,1)),IF(답안입력!H34="","",답안입력!H34)))</f>
        <v/>
      </c>
      <c r="I34" s="72">
        <f>IF($A34="","",IF(LEN(답안입력!$D34)&gt;=5,VALUE(MID(답안입력!$D34,5,1)),IF(답안입력!I34="","",답안입력!I34)))</f>
        <v/>
      </c>
      <c r="J34" s="72">
        <f>IF($A34="","",IF(LEN(답안입력!$D34)&gt;=6,VALUE(MID(답안입력!$D34,6,1)),IF(답안입력!J34="","",답안입력!J34)))</f>
        <v/>
      </c>
      <c r="K34" s="72">
        <f>IF($A34="","",IF(LEN(답안입력!$D34)&gt;=7,VALUE(MID(답안입력!$D34,7,1)),IF(답안입력!K34="","",답안입력!K34)))</f>
        <v/>
      </c>
      <c r="L34" s="72">
        <f>IF($A34="","",IF(LEN(답안입력!$D34)&gt;=8,VALUE(MID(답안입력!$D34,8,1)),IF(답안입력!L34="","",답안입력!L34)))</f>
        <v/>
      </c>
      <c r="M34" s="72">
        <f>IF($A34="","",IF(LEN(답안입력!$D34)&gt;=9,VALUE(MID(답안입력!$D34,9,1)),IF(답안입력!M34="","",답안입력!M34)))</f>
        <v/>
      </c>
      <c r="N34" s="72">
        <f>IF($A34="","",IF(LEN(답안입력!$D34)&gt;=10,VALUE(MID(답안입력!$D34,10,1)),IF(답안입력!N34="","",답안입력!N34)))</f>
        <v/>
      </c>
      <c r="O34" s="72">
        <f>IF($A34="","",IF(LEN(답안입력!$D34)&gt;=11,VALUE(MID(답안입력!$D34,11,1)),IF(답안입력!O34="","",답안입력!O34)))</f>
        <v/>
      </c>
      <c r="P34" s="72">
        <f>IF($A34="","",IF(LEN(답안입력!$D34)&gt;=12,VALUE(MID(답안입력!$D34,12,1)),IF(답안입력!P34="","",답안입력!P34)))</f>
        <v/>
      </c>
      <c r="Q34" s="72">
        <f>IF($A34="","",IF(LEN(답안입력!$D34)&gt;=13,VALUE(MID(답안입력!$D34,13,1)),IF(답안입력!Q34="","",답안입력!Q34)))</f>
        <v/>
      </c>
      <c r="R34" s="72">
        <f>IF($A34="","",IF(LEN(답안입력!$D34)&gt;=14,VALUE(MID(답안입력!$D34,14,1)),IF(답안입력!R34="","",답안입력!R34)))</f>
        <v/>
      </c>
      <c r="S34" s="72">
        <f>IF($A34="","",IF(LEN(답안입력!$D34)&gt;=15,VALUE(MID(답안입력!$D34,15,1)),IF(답안입력!S34="","",답안입력!S34)))</f>
        <v/>
      </c>
      <c r="T34" s="72">
        <f>IF($A34="","",IF(LEN(답안입력!$D34)&gt;=16,VALUE(MID(답안입력!$D34,16,1)),IF(답안입력!T34="","",답안입력!T34)))</f>
        <v/>
      </c>
      <c r="U34" s="72">
        <f>IF($A34="","",IF(LEN(답안입력!$D34)&gt;=17,VALUE(MID(답안입력!$D34,17,1)),IF(답안입력!U34="","",답안입력!U34)))</f>
        <v/>
      </c>
      <c r="V34" s="72">
        <f>IF($A34="","",IF(LEN(답안입력!$D34)&gt;=18,VALUE(MID(답안입력!$D34,18,1)),IF(답안입력!V34="","",답안입력!V34)))</f>
        <v/>
      </c>
      <c r="W34" s="72">
        <f>IF($A34="","",IF(LEN(답안입력!$D34)&gt;=19,VALUE(MID(답안입력!$D34,19,1)),IF(답안입력!W34="","",답안입력!W34)))</f>
        <v/>
      </c>
      <c r="X34" s="72">
        <f>IF($A34="","",IF(LEN(답안입력!$D34)&gt;=20,VALUE(MID(답안입력!$D34,20,1)),IF(답안입력!X34="","",답안입력!X34)))</f>
        <v/>
      </c>
      <c r="Y34" s="72">
        <f>IF($A34="","",IF(LEN(답안입력!$D34)&gt;=21,VALUE(MID(답안입력!$D34,21,1)),IF(답안입력!Y34="","",답안입력!Y34)))</f>
        <v/>
      </c>
      <c r="Z34" s="72">
        <f>IF($A34="","",IF(LEN(답안입력!$D34)&gt;=22,VALUE(MID(답안입력!$D34,22,1)),IF(답안입력!Z34="","",답안입력!Z34)))</f>
        <v/>
      </c>
      <c r="AA34" s="72">
        <f>IF($A34="","",IF(LEN(답안입력!$D34)&gt;=23,VALUE(MID(답안입력!$D34,23,1)),IF(답안입력!AA34="","",답안입력!AA34)))</f>
        <v/>
      </c>
      <c r="AB34" s="72">
        <f>IF($A34="","",IF(LEN(답안입력!$D34)&gt;=24,VALUE(MID(답안입력!$D34,24,1)),IF(답안입력!AB34="","",답안입력!AB34)))</f>
        <v/>
      </c>
      <c r="AC34" s="72">
        <f>IF($A34="","",IF(LEN(답안입력!$D34)&gt;=25,VALUE(MID(답안입력!$D34,25,1)),IF(답안입력!AC34="","",답안입력!AC34)))</f>
        <v/>
      </c>
      <c r="AD34" s="72">
        <f>IF($A34="","",IF(LEN(답안입력!$D34)&gt;=26,VALUE(MID(답안입력!$D34,26,1)),IF(답안입력!AD34="","",답안입력!AD34)))</f>
        <v/>
      </c>
      <c r="AE34" s="72">
        <f>IF($A34="","",IF(LEN(답안입력!$D34)&gt;=27,VALUE(MID(답안입력!$D34,27,1)),IF(답안입력!AE34="","",답안입력!AE34)))</f>
        <v/>
      </c>
      <c r="AF34" s="72">
        <f>IF($A34="","",IF(LEN(답안입력!$D34)&gt;=28,VALUE(MID(답안입력!$D34,28,1)),IF(답안입력!AF34="","",답안입력!AF34)))</f>
        <v/>
      </c>
      <c r="AG34" s="72">
        <f>IF($A34="","",IF(LEN(답안입력!$D34)&gt;=29,VALUE(MID(답안입력!$D34,29,1)),IF(답안입력!AG34="","",답안입력!AG34)))</f>
        <v/>
      </c>
      <c r="AH34" s="72">
        <f>IF($A34="","",IF(LEN(답안입력!$D34)&gt;=30,VALUE(MID(답안입력!$D34,30,1)),IF(답안입력!AH34="","",답안입력!AH34)))</f>
        <v/>
      </c>
      <c r="AI34" s="72">
        <f>IF($A34="","",IF(LEN(답안입력!$D34)&gt;=31,VALUE(MID(답안입력!$D34,31,1)),IF(답안입력!AI34="","",답안입력!AI34)))</f>
        <v/>
      </c>
      <c r="AJ34" s="72">
        <f>IF($A34="","",IF(LEN(답안입력!$D34)&gt;=32,VALUE(MID(답안입력!$D34,32,1)),IF(답안입력!AJ34="","",답안입력!AJ34)))</f>
        <v/>
      </c>
      <c r="AK34" s="72">
        <f>IF($A34="","",IF(LEN(답안입력!$D34)&gt;=33,VALUE(MID(답안입력!$D34,33,1)),IF(답안입력!AK34="","",답안입력!AK34)))</f>
        <v/>
      </c>
      <c r="AL34" s="72">
        <f>IF($A34="","",IF(LEN(답안입력!$D34)&gt;=34,VALUE(MID(답안입력!$D34,34,1)),IF(답안입력!AL34="","",답안입력!AL34)))</f>
        <v/>
      </c>
      <c r="AM34" s="72">
        <f>IF($A34="","",IF(LEN(답안입력!$D34)&gt;=35,VALUE(MID(답안입력!$D34,35,1)),IF(답안입력!AM34="","",답안입력!AM34)))</f>
        <v/>
      </c>
      <c r="AN34" s="72">
        <f>IF($A34="","",IF(LEN(답안입력!$D34)&gt;=36,VALUE(MID(답안입력!$D34,36,1)),IF(답안입력!AN34="","",답안입력!AN34)))</f>
        <v/>
      </c>
      <c r="AO34" s="72">
        <f>IF($A34="","",IF(LEN(답안입력!$D34)&gt;=37,VALUE(MID(답안입력!$D34,37,1)),IF(답안입력!AO34="","",답안입력!AO34)))</f>
        <v/>
      </c>
      <c r="AP34" s="72">
        <f>IF($A34="","",IF(LEN(답안입력!$D34)&gt;=38,VALUE(MID(답안입력!$D34,38,1)),IF(답안입력!AP34="","",답안입력!AP34)))</f>
        <v/>
      </c>
      <c r="AQ34" s="72">
        <f>IF($A34="","",IF(LEN(답안입력!$D34)&gt;=39,VALUE(MID(답안입력!$D34,39,1)),IF(답안입력!AQ34="","",답안입력!AQ34)))</f>
        <v/>
      </c>
      <c r="AR34" s="72">
        <f>IF($A34="","",IF(LEN(답안입력!$D34)&gt;=40,VALUE(MID(답안입력!$D34,40,1)),IF(답안입력!AR34="","",답안입력!AR34)))</f>
        <v/>
      </c>
      <c r="AS34" s="72">
        <f>IF($A34="","",IF(LEN(답안입력!$D34)&gt;=41,VALUE(MID(답안입력!$D34,41,1)),IF(답안입력!AS34="","",답안입력!AS34)))</f>
        <v/>
      </c>
      <c r="AT34" s="72">
        <f>IF($A34="","",IF(LEN(답안입력!$D34)&gt;=42,VALUE(MID(답안입력!$D34,42,1)),IF(답안입력!AT34="","",답안입력!AT34)))</f>
        <v/>
      </c>
      <c r="AU34" s="72">
        <f>IF($A34="","",IF(LEN(답안입력!$D34)&gt;=43,VALUE(MID(답안입력!$D34,43,1)),IF(답안입력!AU34="","",답안입력!AU34)))</f>
        <v/>
      </c>
      <c r="AV34" s="72">
        <f>IF($A34="","",IF(LEN(답안입력!$D34)&gt;=44,VALUE(MID(답안입력!$D34,44,1)),IF(답안입력!AV34="","",답안입력!AV34)))</f>
        <v/>
      </c>
      <c r="AW34" s="72">
        <f>IF($A34="","",IF(LEN(답안입력!$D34)&gt;=45,VALUE(MID(답안입력!$D34,45,1)),IF(답안입력!AW34="","",답안입력!AW34)))</f>
        <v/>
      </c>
      <c r="AX34" s="72">
        <f>IF($A34="","",IF(E34="",0,IF(E34=IF($B34="언어와 매체",자동계산!$D$4,자동계산!$B$4),IF($B34="언어와 매체",자동계산!$E$4,자동계산!$C$4),0)))</f>
        <v/>
      </c>
      <c r="AY34" s="72">
        <f>IF($A34="","",IF(F34="",0,IF(F34=IF($B34="언어와 매체",자동계산!$D$5,자동계산!$B$5),IF($B34="언어와 매체",자동계산!$E$5,자동계산!$C$5),0)))</f>
        <v/>
      </c>
      <c r="AZ34" s="72">
        <f>IF($A34="","",IF(G34="",0,IF(G34=IF($B34="언어와 매체",자동계산!$D$6,자동계산!$B$6),IF($B34="언어와 매체",자동계산!$E$6,자동계산!$C$6),0)))</f>
        <v/>
      </c>
      <c r="BA34" s="72">
        <f>IF($A34="","",IF(H34="",0,IF(H34=IF($B34="언어와 매체",자동계산!$D$7,자동계산!$B$7),IF($B34="언어와 매체",자동계산!$E$7,자동계산!$C$7),0)))</f>
        <v/>
      </c>
      <c r="BB34" s="72">
        <f>IF($A34="","",IF(I34="",0,IF(I34=IF($B34="언어와 매체",자동계산!$D$8,자동계산!$B$8),IF($B34="언어와 매체",자동계산!$E$8,자동계산!$C$8),0)))</f>
        <v/>
      </c>
      <c r="BC34" s="72">
        <f>IF($A34="","",IF(J34="",0,IF(J34=IF($B34="언어와 매체",자동계산!$D$9,자동계산!$B$9),IF($B34="언어와 매체",자동계산!$E$9,자동계산!$C$9),0)))</f>
        <v/>
      </c>
      <c r="BD34" s="72">
        <f>IF($A34="","",IF(K34="",0,IF(K34=IF($B34="언어와 매체",자동계산!$D$10,자동계산!$B$10),IF($B34="언어와 매체",자동계산!$E$10,자동계산!$C$10),0)))</f>
        <v/>
      </c>
      <c r="BE34" s="72">
        <f>IF($A34="","",IF(L34="",0,IF(L34=IF($B34="언어와 매체",자동계산!$D$11,자동계산!$B$11),IF($B34="언어와 매체",자동계산!$E$11,자동계산!$C$11),0)))</f>
        <v/>
      </c>
      <c r="BF34" s="72">
        <f>IF($A34="","",IF(M34="",0,IF(M34=IF($B34="언어와 매체",자동계산!$D$12,자동계산!$B$12),IF($B34="언어와 매체",자동계산!$E$12,자동계산!$C$12),0)))</f>
        <v/>
      </c>
      <c r="BG34" s="72">
        <f>IF($A34="","",IF(N34="",0,IF(N34=IF($B34="언어와 매체",자동계산!$D$13,자동계산!$B$13),IF($B34="언어와 매체",자동계산!$E$13,자동계산!$C$13),0)))</f>
        <v/>
      </c>
      <c r="BH34" s="72">
        <f>IF($A34="","",IF(O34="",0,IF(O34=IF($B34="언어와 매체",자동계산!$D$14,자동계산!$B$14),IF($B34="언어와 매체",자동계산!$E$14,자동계산!$C$14),0)))</f>
        <v/>
      </c>
      <c r="BI34" s="72">
        <f>IF($A34="","",IF(P34="",0,IF(P34=IF($B34="언어와 매체",자동계산!$D$15,자동계산!$B$15),IF($B34="언어와 매체",자동계산!$E$15,자동계산!$C$15),0)))</f>
        <v/>
      </c>
      <c r="BJ34" s="72">
        <f>IF($A34="","",IF(Q34="",0,IF(Q34=IF($B34="언어와 매체",자동계산!$D$16,자동계산!$B$16),IF($B34="언어와 매체",자동계산!$E$16,자동계산!$C$16),0)))</f>
        <v/>
      </c>
      <c r="BK34" s="72">
        <f>IF($A34="","",IF(R34="",0,IF(R34=IF($B34="언어와 매체",자동계산!$D$17,자동계산!$B$17),IF($B34="언어와 매체",자동계산!$E$17,자동계산!$C$17),0)))</f>
        <v/>
      </c>
      <c r="BL34" s="72">
        <f>IF($A34="","",IF(S34="",0,IF(S34=IF($B34="언어와 매체",자동계산!$D$18,자동계산!$B$18),IF($B34="언어와 매체",자동계산!$E$18,자동계산!$C$18),0)))</f>
        <v/>
      </c>
      <c r="BM34" s="72">
        <f>IF($A34="","",IF(T34="",0,IF(T34=IF($B34="언어와 매체",자동계산!$D$19,자동계산!$B$19),IF($B34="언어와 매체",자동계산!$E$19,자동계산!$C$19),0)))</f>
        <v/>
      </c>
      <c r="BN34" s="72">
        <f>IF($A34="","",IF(U34="",0,IF(U34=IF($B34="언어와 매체",자동계산!$D$20,자동계산!$B$20),IF($B34="언어와 매체",자동계산!$E$20,자동계산!$C$20),0)))</f>
        <v/>
      </c>
      <c r="BO34" s="72">
        <f>IF($A34="","",IF(V34="",0,IF(V34=IF($B34="언어와 매체",자동계산!$D$21,자동계산!$B$21),IF($B34="언어와 매체",자동계산!$E$21,자동계산!$C$21),0)))</f>
        <v/>
      </c>
      <c r="BP34" s="72">
        <f>IF($A34="","",IF(W34="",0,IF(W34=IF($B34="언어와 매체",자동계산!$D$22,자동계산!$B$22),IF($B34="언어와 매체",자동계산!$E$22,자동계산!$C$22),0)))</f>
        <v/>
      </c>
      <c r="BQ34" s="72">
        <f>IF($A34="","",IF(X34="",0,IF(X34=IF($B34="언어와 매체",자동계산!$D$23,자동계산!$B$23),IF($B34="언어와 매체",자동계산!$E$23,자동계산!$C$23),0)))</f>
        <v/>
      </c>
      <c r="BR34" s="72">
        <f>IF($A34="","",IF(Y34="",0,IF(Y34=IF($B34="언어와 매체",자동계산!$D$24,자동계산!$B$24),IF($B34="언어와 매체",자동계산!$E$24,자동계산!$C$24),0)))</f>
        <v/>
      </c>
      <c r="BS34" s="72">
        <f>IF($A34="","",IF(Z34="",0,IF(Z34=IF($B34="언어와 매체",자동계산!$D$25,자동계산!$B$25),IF($B34="언어와 매체",자동계산!$E$25,자동계산!$C$25),0)))</f>
        <v/>
      </c>
      <c r="BT34" s="72">
        <f>IF($A34="","",IF(AA34="",0,IF(AA34=IF($B34="언어와 매체",자동계산!$D$26,자동계산!$B$26),IF($B34="언어와 매체",자동계산!$E$26,자동계산!$C$26),0)))</f>
        <v/>
      </c>
      <c r="BU34" s="72">
        <f>IF($A34="","",IF(AB34="",0,IF(AB34=IF($B34="언어와 매체",자동계산!$D$27,자동계산!$B$27),IF($B34="언어와 매체",자동계산!$E$27,자동계산!$C$27),0)))</f>
        <v/>
      </c>
      <c r="BV34" s="72">
        <f>IF($A34="","",IF(AC34="",0,IF(AC34=IF($B34="언어와 매체",자동계산!$D$28,자동계산!$B$28),IF($B34="언어와 매체",자동계산!$E$28,자동계산!$C$28),0)))</f>
        <v/>
      </c>
      <c r="BW34" s="72">
        <f>IF($A34="","",IF(AD34="",0,IF(AD34=IF($B34="언어와 매체",자동계산!$D$29,자동계산!$B$29),IF($B34="언어와 매체",자동계산!$E$29,자동계산!$C$29),0)))</f>
        <v/>
      </c>
      <c r="BX34" s="72">
        <f>IF($A34="","",IF(AE34="",0,IF(AE34=IF($B34="언어와 매체",자동계산!$D$30,자동계산!$B$30),IF($B34="언어와 매체",자동계산!$E$30,자동계산!$C$30),0)))</f>
        <v/>
      </c>
      <c r="BY34" s="72">
        <f>IF($A34="","",IF(AF34="",0,IF(AF34=IF($B34="언어와 매체",자동계산!$D$31,자동계산!$B$31),IF($B34="언어와 매체",자동계산!$E$31,자동계산!$C$31),0)))</f>
        <v/>
      </c>
      <c r="BZ34" s="72">
        <f>IF($A34="","",IF(AG34="",0,IF(AG34=IF($B34="언어와 매체",자동계산!$D$32,자동계산!$B$32),IF($B34="언어와 매체",자동계산!$E$32,자동계산!$C$32),0)))</f>
        <v/>
      </c>
      <c r="CA34" s="72">
        <f>IF($A34="","",IF(AH34="",0,IF(AH34=IF($B34="언어와 매체",자동계산!$D$33,자동계산!$B$33),IF($B34="언어와 매체",자동계산!$E$33,자동계산!$C$33),0)))</f>
        <v/>
      </c>
      <c r="CB34" s="72">
        <f>IF($A34="","",IF(AI34="",0,IF(AI34=IF($B34="언어와 매체",자동계산!$D$34,자동계산!$B$34),IF($B34="언어와 매체",자동계산!$E$34,자동계산!$C$34),0)))</f>
        <v/>
      </c>
      <c r="CC34" s="72">
        <f>IF($A34="","",IF(AJ34="",0,IF(AJ34=IF($B34="언어와 매체",자동계산!$D$35,자동계산!$B$35),IF($B34="언어와 매체",자동계산!$E$35,자동계산!$C$35),0)))</f>
        <v/>
      </c>
      <c r="CD34" s="72">
        <f>IF($A34="","",IF(AK34="",0,IF(AK34=IF($B34="언어와 매체",자동계산!$D$36,자동계산!$B$36),IF($B34="언어와 매체",자동계산!$E$36,자동계산!$C$36),0)))</f>
        <v/>
      </c>
      <c r="CE34" s="72">
        <f>IF($A34="","",IF(AL34="",0,IF(AL34=IF($B34="언어와 매체",자동계산!$D$37,자동계산!$B$37),IF($B34="언어와 매체",자동계산!$E$37,자동계산!$C$37),0)))</f>
        <v/>
      </c>
      <c r="CF34" s="72">
        <f>IF($A34="","",IF(AM34="",0,IF(AM34=IF($B34="언어와 매체",자동계산!$D$38,자동계산!$B$38),IF($B34="언어와 매체",자동계산!$E$38,자동계산!$C$38),0)))</f>
        <v/>
      </c>
      <c r="CG34" s="72">
        <f>IF($A34="","",IF(AN34="",0,IF(AN34=IF($B34="언어와 매체",자동계산!$D$39,자동계산!$B$39),IF($B34="언어와 매체",자동계산!$E$39,자동계산!$C$39),0)))</f>
        <v/>
      </c>
      <c r="CH34" s="72">
        <f>IF($A34="","",IF(AO34="",0,IF(AO34=IF($B34="언어와 매체",자동계산!$D$40,자동계산!$B$40),IF($B34="언어와 매체",자동계산!$E$40,자동계산!$C$40),0)))</f>
        <v/>
      </c>
      <c r="CI34" s="72">
        <f>IF($A34="","",IF(AP34="",0,IF(AP34=IF($B34="언어와 매체",자동계산!$D$41,자동계산!$B$41),IF($B34="언어와 매체",자동계산!$E$41,자동계산!$C$41),0)))</f>
        <v/>
      </c>
      <c r="CJ34" s="72">
        <f>IF($A34="","",IF(AQ34="",0,IF(AQ34=IF($B34="언어와 매체",자동계산!$D$42,자동계산!$B$42),IF($B34="언어와 매체",자동계산!$E$42,자동계산!$C$42),0)))</f>
        <v/>
      </c>
      <c r="CK34" s="72">
        <f>IF($A34="","",IF(AR34="",0,IF(AR34=IF($B34="언어와 매체",자동계산!$D$43,자동계산!$B$43),IF($B34="언어와 매체",자동계산!$E$43,자동계산!$C$43),0)))</f>
        <v/>
      </c>
      <c r="CL34" s="72">
        <f>IF($A34="","",IF(AS34="",0,IF(AS34=IF($B34="언어와 매체",자동계산!$D$44,자동계산!$B$44),IF($B34="언어와 매체",자동계산!$E$44,자동계산!$C$44),0)))</f>
        <v/>
      </c>
      <c r="CM34" s="72">
        <f>IF($A34="","",IF(AT34="",0,IF(AT34=IF($B34="언어와 매체",자동계산!$D$45,자동계산!$B$45),IF($B34="언어와 매체",자동계산!$E$45,자동계산!$C$45),0)))</f>
        <v/>
      </c>
      <c r="CN34" s="72">
        <f>IF($A34="","",IF(AU34="",0,IF(AU34=IF($B34="언어와 매체",자동계산!$D$46,자동계산!$B$46),IF($B34="언어와 매체",자동계산!$E$46,자동계산!$C$46),0)))</f>
        <v/>
      </c>
      <c r="CO34" s="72">
        <f>IF($A34="","",IF(AV34="",0,IF(AV34=IF($B34="언어와 매체",자동계산!$D$47,자동계산!$B$47),IF($B34="언어와 매체",자동계산!$E$47,자동계산!$C$47),0)))</f>
        <v/>
      </c>
      <c r="CP34" s="72">
        <f>IF($A34="","",IF(AW34="",0,IF(AW34=IF($B34="언어와 매체",자동계산!$D$48,자동계산!$B$48),IF($B34="언어와 매체",자동계산!$E$48,자동계산!$C$48),0)))</f>
        <v/>
      </c>
    </row>
    <row r="35">
      <c r="A35" s="70">
        <f>IF(답안입력!A35="","",답안입력!A35)</f>
        <v/>
      </c>
      <c r="B35" s="70">
        <f>IF($A35="","",답안입력!C35)</f>
        <v/>
      </c>
      <c r="C35" s="71">
        <f>IF($A35="","",SUM(AX35:CP35))</f>
        <v/>
      </c>
      <c r="D35" s="70">
        <f>IF($A35="","",IF($C35&gt;=IF($B35="언어와 매체",회차설정!$B$9,회차설정!$B$8),"1등급",IF($C35&gt;=IF($B35="언어와 매체",회차설정!$C$9,회차설정!$C$8),"2등급",IF($C35&gt;=IF($B35="언어와 매체",회차설정!$D$9,회차설정!$D$8),"3등급",IF($C35&gt;=IF($B35="언어와 매체",회차설정!$E$9,회차설정!$E$8),"4등급","등급 외")))))</f>
        <v/>
      </c>
      <c r="E35" s="72">
        <f>IF($A35="","",IF(LEN(답안입력!$D35)&gt;=1,VALUE(MID(답안입력!$D35,1,1)),IF(답안입력!E35="","",답안입력!E35)))</f>
        <v/>
      </c>
      <c r="F35" s="72">
        <f>IF($A35="","",IF(LEN(답안입력!$D35)&gt;=2,VALUE(MID(답안입력!$D35,2,1)),IF(답안입력!F35="","",답안입력!F35)))</f>
        <v/>
      </c>
      <c r="G35" s="72">
        <f>IF($A35="","",IF(LEN(답안입력!$D35)&gt;=3,VALUE(MID(답안입력!$D35,3,1)),IF(답안입력!G35="","",답안입력!G35)))</f>
        <v/>
      </c>
      <c r="H35" s="72">
        <f>IF($A35="","",IF(LEN(답안입력!$D35)&gt;=4,VALUE(MID(답안입력!$D35,4,1)),IF(답안입력!H35="","",답안입력!H35)))</f>
        <v/>
      </c>
      <c r="I35" s="72">
        <f>IF($A35="","",IF(LEN(답안입력!$D35)&gt;=5,VALUE(MID(답안입력!$D35,5,1)),IF(답안입력!I35="","",답안입력!I35)))</f>
        <v/>
      </c>
      <c r="J35" s="72">
        <f>IF($A35="","",IF(LEN(답안입력!$D35)&gt;=6,VALUE(MID(답안입력!$D35,6,1)),IF(답안입력!J35="","",답안입력!J35)))</f>
        <v/>
      </c>
      <c r="K35" s="72">
        <f>IF($A35="","",IF(LEN(답안입력!$D35)&gt;=7,VALUE(MID(답안입력!$D35,7,1)),IF(답안입력!K35="","",답안입력!K35)))</f>
        <v/>
      </c>
      <c r="L35" s="72">
        <f>IF($A35="","",IF(LEN(답안입력!$D35)&gt;=8,VALUE(MID(답안입력!$D35,8,1)),IF(답안입력!L35="","",답안입력!L35)))</f>
        <v/>
      </c>
      <c r="M35" s="72">
        <f>IF($A35="","",IF(LEN(답안입력!$D35)&gt;=9,VALUE(MID(답안입력!$D35,9,1)),IF(답안입력!M35="","",답안입력!M35)))</f>
        <v/>
      </c>
      <c r="N35" s="72">
        <f>IF($A35="","",IF(LEN(답안입력!$D35)&gt;=10,VALUE(MID(답안입력!$D35,10,1)),IF(답안입력!N35="","",답안입력!N35)))</f>
        <v/>
      </c>
      <c r="O35" s="72">
        <f>IF($A35="","",IF(LEN(답안입력!$D35)&gt;=11,VALUE(MID(답안입력!$D35,11,1)),IF(답안입력!O35="","",답안입력!O35)))</f>
        <v/>
      </c>
      <c r="P35" s="72">
        <f>IF($A35="","",IF(LEN(답안입력!$D35)&gt;=12,VALUE(MID(답안입력!$D35,12,1)),IF(답안입력!P35="","",답안입력!P35)))</f>
        <v/>
      </c>
      <c r="Q35" s="72">
        <f>IF($A35="","",IF(LEN(답안입력!$D35)&gt;=13,VALUE(MID(답안입력!$D35,13,1)),IF(답안입력!Q35="","",답안입력!Q35)))</f>
        <v/>
      </c>
      <c r="R35" s="72">
        <f>IF($A35="","",IF(LEN(답안입력!$D35)&gt;=14,VALUE(MID(답안입력!$D35,14,1)),IF(답안입력!R35="","",답안입력!R35)))</f>
        <v/>
      </c>
      <c r="S35" s="72">
        <f>IF($A35="","",IF(LEN(답안입력!$D35)&gt;=15,VALUE(MID(답안입력!$D35,15,1)),IF(답안입력!S35="","",답안입력!S35)))</f>
        <v/>
      </c>
      <c r="T35" s="72">
        <f>IF($A35="","",IF(LEN(답안입력!$D35)&gt;=16,VALUE(MID(답안입력!$D35,16,1)),IF(답안입력!T35="","",답안입력!T35)))</f>
        <v/>
      </c>
      <c r="U35" s="72">
        <f>IF($A35="","",IF(LEN(답안입력!$D35)&gt;=17,VALUE(MID(답안입력!$D35,17,1)),IF(답안입력!U35="","",답안입력!U35)))</f>
        <v/>
      </c>
      <c r="V35" s="72">
        <f>IF($A35="","",IF(LEN(답안입력!$D35)&gt;=18,VALUE(MID(답안입력!$D35,18,1)),IF(답안입력!V35="","",답안입력!V35)))</f>
        <v/>
      </c>
      <c r="W35" s="72">
        <f>IF($A35="","",IF(LEN(답안입력!$D35)&gt;=19,VALUE(MID(답안입력!$D35,19,1)),IF(답안입력!W35="","",답안입력!W35)))</f>
        <v/>
      </c>
      <c r="X35" s="72">
        <f>IF($A35="","",IF(LEN(답안입력!$D35)&gt;=20,VALUE(MID(답안입력!$D35,20,1)),IF(답안입력!X35="","",답안입력!X35)))</f>
        <v/>
      </c>
      <c r="Y35" s="72">
        <f>IF($A35="","",IF(LEN(답안입력!$D35)&gt;=21,VALUE(MID(답안입력!$D35,21,1)),IF(답안입력!Y35="","",답안입력!Y35)))</f>
        <v/>
      </c>
      <c r="Z35" s="72">
        <f>IF($A35="","",IF(LEN(답안입력!$D35)&gt;=22,VALUE(MID(답안입력!$D35,22,1)),IF(답안입력!Z35="","",답안입력!Z35)))</f>
        <v/>
      </c>
      <c r="AA35" s="72">
        <f>IF($A35="","",IF(LEN(답안입력!$D35)&gt;=23,VALUE(MID(답안입력!$D35,23,1)),IF(답안입력!AA35="","",답안입력!AA35)))</f>
        <v/>
      </c>
      <c r="AB35" s="72">
        <f>IF($A35="","",IF(LEN(답안입력!$D35)&gt;=24,VALUE(MID(답안입력!$D35,24,1)),IF(답안입력!AB35="","",답안입력!AB35)))</f>
        <v/>
      </c>
      <c r="AC35" s="72">
        <f>IF($A35="","",IF(LEN(답안입력!$D35)&gt;=25,VALUE(MID(답안입력!$D35,25,1)),IF(답안입력!AC35="","",답안입력!AC35)))</f>
        <v/>
      </c>
      <c r="AD35" s="72">
        <f>IF($A35="","",IF(LEN(답안입력!$D35)&gt;=26,VALUE(MID(답안입력!$D35,26,1)),IF(답안입력!AD35="","",답안입력!AD35)))</f>
        <v/>
      </c>
      <c r="AE35" s="72">
        <f>IF($A35="","",IF(LEN(답안입력!$D35)&gt;=27,VALUE(MID(답안입력!$D35,27,1)),IF(답안입력!AE35="","",답안입력!AE35)))</f>
        <v/>
      </c>
      <c r="AF35" s="72">
        <f>IF($A35="","",IF(LEN(답안입력!$D35)&gt;=28,VALUE(MID(답안입력!$D35,28,1)),IF(답안입력!AF35="","",답안입력!AF35)))</f>
        <v/>
      </c>
      <c r="AG35" s="72">
        <f>IF($A35="","",IF(LEN(답안입력!$D35)&gt;=29,VALUE(MID(답안입력!$D35,29,1)),IF(답안입력!AG35="","",답안입력!AG35)))</f>
        <v/>
      </c>
      <c r="AH35" s="72">
        <f>IF($A35="","",IF(LEN(답안입력!$D35)&gt;=30,VALUE(MID(답안입력!$D35,30,1)),IF(답안입력!AH35="","",답안입력!AH35)))</f>
        <v/>
      </c>
      <c r="AI35" s="72">
        <f>IF($A35="","",IF(LEN(답안입력!$D35)&gt;=31,VALUE(MID(답안입력!$D35,31,1)),IF(답안입력!AI35="","",답안입력!AI35)))</f>
        <v/>
      </c>
      <c r="AJ35" s="72">
        <f>IF($A35="","",IF(LEN(답안입력!$D35)&gt;=32,VALUE(MID(답안입력!$D35,32,1)),IF(답안입력!AJ35="","",답안입력!AJ35)))</f>
        <v/>
      </c>
      <c r="AK35" s="72">
        <f>IF($A35="","",IF(LEN(답안입력!$D35)&gt;=33,VALUE(MID(답안입력!$D35,33,1)),IF(답안입력!AK35="","",답안입력!AK35)))</f>
        <v/>
      </c>
      <c r="AL35" s="72">
        <f>IF($A35="","",IF(LEN(답안입력!$D35)&gt;=34,VALUE(MID(답안입력!$D35,34,1)),IF(답안입력!AL35="","",답안입력!AL35)))</f>
        <v/>
      </c>
      <c r="AM35" s="72">
        <f>IF($A35="","",IF(LEN(답안입력!$D35)&gt;=35,VALUE(MID(답안입력!$D35,35,1)),IF(답안입력!AM35="","",답안입력!AM35)))</f>
        <v/>
      </c>
      <c r="AN35" s="72">
        <f>IF($A35="","",IF(LEN(답안입력!$D35)&gt;=36,VALUE(MID(답안입력!$D35,36,1)),IF(답안입력!AN35="","",답안입력!AN35)))</f>
        <v/>
      </c>
      <c r="AO35" s="72">
        <f>IF($A35="","",IF(LEN(답안입력!$D35)&gt;=37,VALUE(MID(답안입력!$D35,37,1)),IF(답안입력!AO35="","",답안입력!AO35)))</f>
        <v/>
      </c>
      <c r="AP35" s="72">
        <f>IF($A35="","",IF(LEN(답안입력!$D35)&gt;=38,VALUE(MID(답안입력!$D35,38,1)),IF(답안입력!AP35="","",답안입력!AP35)))</f>
        <v/>
      </c>
      <c r="AQ35" s="72">
        <f>IF($A35="","",IF(LEN(답안입력!$D35)&gt;=39,VALUE(MID(답안입력!$D35,39,1)),IF(답안입력!AQ35="","",답안입력!AQ35)))</f>
        <v/>
      </c>
      <c r="AR35" s="72">
        <f>IF($A35="","",IF(LEN(답안입력!$D35)&gt;=40,VALUE(MID(답안입력!$D35,40,1)),IF(답안입력!AR35="","",답안입력!AR35)))</f>
        <v/>
      </c>
      <c r="AS35" s="72">
        <f>IF($A35="","",IF(LEN(답안입력!$D35)&gt;=41,VALUE(MID(답안입력!$D35,41,1)),IF(답안입력!AS35="","",답안입력!AS35)))</f>
        <v/>
      </c>
      <c r="AT35" s="72">
        <f>IF($A35="","",IF(LEN(답안입력!$D35)&gt;=42,VALUE(MID(답안입력!$D35,42,1)),IF(답안입력!AT35="","",답안입력!AT35)))</f>
        <v/>
      </c>
      <c r="AU35" s="72">
        <f>IF($A35="","",IF(LEN(답안입력!$D35)&gt;=43,VALUE(MID(답안입력!$D35,43,1)),IF(답안입력!AU35="","",답안입력!AU35)))</f>
        <v/>
      </c>
      <c r="AV35" s="72">
        <f>IF($A35="","",IF(LEN(답안입력!$D35)&gt;=44,VALUE(MID(답안입력!$D35,44,1)),IF(답안입력!AV35="","",답안입력!AV35)))</f>
        <v/>
      </c>
      <c r="AW35" s="72">
        <f>IF($A35="","",IF(LEN(답안입력!$D35)&gt;=45,VALUE(MID(답안입력!$D35,45,1)),IF(답안입력!AW35="","",답안입력!AW35)))</f>
        <v/>
      </c>
      <c r="AX35" s="72">
        <f>IF($A35="","",IF(E35="",0,IF(E35=IF($B35="언어와 매체",자동계산!$D$4,자동계산!$B$4),IF($B35="언어와 매체",자동계산!$E$4,자동계산!$C$4),0)))</f>
        <v/>
      </c>
      <c r="AY35" s="72">
        <f>IF($A35="","",IF(F35="",0,IF(F35=IF($B35="언어와 매체",자동계산!$D$5,자동계산!$B$5),IF($B35="언어와 매체",자동계산!$E$5,자동계산!$C$5),0)))</f>
        <v/>
      </c>
      <c r="AZ35" s="72">
        <f>IF($A35="","",IF(G35="",0,IF(G35=IF($B35="언어와 매체",자동계산!$D$6,자동계산!$B$6),IF($B35="언어와 매체",자동계산!$E$6,자동계산!$C$6),0)))</f>
        <v/>
      </c>
      <c r="BA35" s="72">
        <f>IF($A35="","",IF(H35="",0,IF(H35=IF($B35="언어와 매체",자동계산!$D$7,자동계산!$B$7),IF($B35="언어와 매체",자동계산!$E$7,자동계산!$C$7),0)))</f>
        <v/>
      </c>
      <c r="BB35" s="72">
        <f>IF($A35="","",IF(I35="",0,IF(I35=IF($B35="언어와 매체",자동계산!$D$8,자동계산!$B$8),IF($B35="언어와 매체",자동계산!$E$8,자동계산!$C$8),0)))</f>
        <v/>
      </c>
      <c r="BC35" s="72">
        <f>IF($A35="","",IF(J35="",0,IF(J35=IF($B35="언어와 매체",자동계산!$D$9,자동계산!$B$9),IF($B35="언어와 매체",자동계산!$E$9,자동계산!$C$9),0)))</f>
        <v/>
      </c>
      <c r="BD35" s="72">
        <f>IF($A35="","",IF(K35="",0,IF(K35=IF($B35="언어와 매체",자동계산!$D$10,자동계산!$B$10),IF($B35="언어와 매체",자동계산!$E$10,자동계산!$C$10),0)))</f>
        <v/>
      </c>
      <c r="BE35" s="72">
        <f>IF($A35="","",IF(L35="",0,IF(L35=IF($B35="언어와 매체",자동계산!$D$11,자동계산!$B$11),IF($B35="언어와 매체",자동계산!$E$11,자동계산!$C$11),0)))</f>
        <v/>
      </c>
      <c r="BF35" s="72">
        <f>IF($A35="","",IF(M35="",0,IF(M35=IF($B35="언어와 매체",자동계산!$D$12,자동계산!$B$12),IF($B35="언어와 매체",자동계산!$E$12,자동계산!$C$12),0)))</f>
        <v/>
      </c>
      <c r="BG35" s="72">
        <f>IF($A35="","",IF(N35="",0,IF(N35=IF($B35="언어와 매체",자동계산!$D$13,자동계산!$B$13),IF($B35="언어와 매체",자동계산!$E$13,자동계산!$C$13),0)))</f>
        <v/>
      </c>
      <c r="BH35" s="72">
        <f>IF($A35="","",IF(O35="",0,IF(O35=IF($B35="언어와 매체",자동계산!$D$14,자동계산!$B$14),IF($B35="언어와 매체",자동계산!$E$14,자동계산!$C$14),0)))</f>
        <v/>
      </c>
      <c r="BI35" s="72">
        <f>IF($A35="","",IF(P35="",0,IF(P35=IF($B35="언어와 매체",자동계산!$D$15,자동계산!$B$15),IF($B35="언어와 매체",자동계산!$E$15,자동계산!$C$15),0)))</f>
        <v/>
      </c>
      <c r="BJ35" s="72">
        <f>IF($A35="","",IF(Q35="",0,IF(Q35=IF($B35="언어와 매체",자동계산!$D$16,자동계산!$B$16),IF($B35="언어와 매체",자동계산!$E$16,자동계산!$C$16),0)))</f>
        <v/>
      </c>
      <c r="BK35" s="72">
        <f>IF($A35="","",IF(R35="",0,IF(R35=IF($B35="언어와 매체",자동계산!$D$17,자동계산!$B$17),IF($B35="언어와 매체",자동계산!$E$17,자동계산!$C$17),0)))</f>
        <v/>
      </c>
      <c r="BL35" s="72">
        <f>IF($A35="","",IF(S35="",0,IF(S35=IF($B35="언어와 매체",자동계산!$D$18,자동계산!$B$18),IF($B35="언어와 매체",자동계산!$E$18,자동계산!$C$18),0)))</f>
        <v/>
      </c>
      <c r="BM35" s="72">
        <f>IF($A35="","",IF(T35="",0,IF(T35=IF($B35="언어와 매체",자동계산!$D$19,자동계산!$B$19),IF($B35="언어와 매체",자동계산!$E$19,자동계산!$C$19),0)))</f>
        <v/>
      </c>
      <c r="BN35" s="72">
        <f>IF($A35="","",IF(U35="",0,IF(U35=IF($B35="언어와 매체",자동계산!$D$20,자동계산!$B$20),IF($B35="언어와 매체",자동계산!$E$20,자동계산!$C$20),0)))</f>
        <v/>
      </c>
      <c r="BO35" s="72">
        <f>IF($A35="","",IF(V35="",0,IF(V35=IF($B35="언어와 매체",자동계산!$D$21,자동계산!$B$21),IF($B35="언어와 매체",자동계산!$E$21,자동계산!$C$21),0)))</f>
        <v/>
      </c>
      <c r="BP35" s="72">
        <f>IF($A35="","",IF(W35="",0,IF(W35=IF($B35="언어와 매체",자동계산!$D$22,자동계산!$B$22),IF($B35="언어와 매체",자동계산!$E$22,자동계산!$C$22),0)))</f>
        <v/>
      </c>
      <c r="BQ35" s="72">
        <f>IF($A35="","",IF(X35="",0,IF(X35=IF($B35="언어와 매체",자동계산!$D$23,자동계산!$B$23),IF($B35="언어와 매체",자동계산!$E$23,자동계산!$C$23),0)))</f>
        <v/>
      </c>
      <c r="BR35" s="72">
        <f>IF($A35="","",IF(Y35="",0,IF(Y35=IF($B35="언어와 매체",자동계산!$D$24,자동계산!$B$24),IF($B35="언어와 매체",자동계산!$E$24,자동계산!$C$24),0)))</f>
        <v/>
      </c>
      <c r="BS35" s="72">
        <f>IF($A35="","",IF(Z35="",0,IF(Z35=IF($B35="언어와 매체",자동계산!$D$25,자동계산!$B$25),IF($B35="언어와 매체",자동계산!$E$25,자동계산!$C$25),0)))</f>
        <v/>
      </c>
      <c r="BT35" s="72">
        <f>IF($A35="","",IF(AA35="",0,IF(AA35=IF($B35="언어와 매체",자동계산!$D$26,자동계산!$B$26),IF($B35="언어와 매체",자동계산!$E$26,자동계산!$C$26),0)))</f>
        <v/>
      </c>
      <c r="BU35" s="72">
        <f>IF($A35="","",IF(AB35="",0,IF(AB35=IF($B35="언어와 매체",자동계산!$D$27,자동계산!$B$27),IF($B35="언어와 매체",자동계산!$E$27,자동계산!$C$27),0)))</f>
        <v/>
      </c>
      <c r="BV35" s="72">
        <f>IF($A35="","",IF(AC35="",0,IF(AC35=IF($B35="언어와 매체",자동계산!$D$28,자동계산!$B$28),IF($B35="언어와 매체",자동계산!$E$28,자동계산!$C$28),0)))</f>
        <v/>
      </c>
      <c r="BW35" s="72">
        <f>IF($A35="","",IF(AD35="",0,IF(AD35=IF($B35="언어와 매체",자동계산!$D$29,자동계산!$B$29),IF($B35="언어와 매체",자동계산!$E$29,자동계산!$C$29),0)))</f>
        <v/>
      </c>
      <c r="BX35" s="72">
        <f>IF($A35="","",IF(AE35="",0,IF(AE35=IF($B35="언어와 매체",자동계산!$D$30,자동계산!$B$30),IF($B35="언어와 매체",자동계산!$E$30,자동계산!$C$30),0)))</f>
        <v/>
      </c>
      <c r="BY35" s="72">
        <f>IF($A35="","",IF(AF35="",0,IF(AF35=IF($B35="언어와 매체",자동계산!$D$31,자동계산!$B$31),IF($B35="언어와 매체",자동계산!$E$31,자동계산!$C$31),0)))</f>
        <v/>
      </c>
      <c r="BZ35" s="72">
        <f>IF($A35="","",IF(AG35="",0,IF(AG35=IF($B35="언어와 매체",자동계산!$D$32,자동계산!$B$32),IF($B35="언어와 매체",자동계산!$E$32,자동계산!$C$32),0)))</f>
        <v/>
      </c>
      <c r="CA35" s="72">
        <f>IF($A35="","",IF(AH35="",0,IF(AH35=IF($B35="언어와 매체",자동계산!$D$33,자동계산!$B$33),IF($B35="언어와 매체",자동계산!$E$33,자동계산!$C$33),0)))</f>
        <v/>
      </c>
      <c r="CB35" s="72">
        <f>IF($A35="","",IF(AI35="",0,IF(AI35=IF($B35="언어와 매체",자동계산!$D$34,자동계산!$B$34),IF($B35="언어와 매체",자동계산!$E$34,자동계산!$C$34),0)))</f>
        <v/>
      </c>
      <c r="CC35" s="72">
        <f>IF($A35="","",IF(AJ35="",0,IF(AJ35=IF($B35="언어와 매체",자동계산!$D$35,자동계산!$B$35),IF($B35="언어와 매체",자동계산!$E$35,자동계산!$C$35),0)))</f>
        <v/>
      </c>
      <c r="CD35" s="72">
        <f>IF($A35="","",IF(AK35="",0,IF(AK35=IF($B35="언어와 매체",자동계산!$D$36,자동계산!$B$36),IF($B35="언어와 매체",자동계산!$E$36,자동계산!$C$36),0)))</f>
        <v/>
      </c>
      <c r="CE35" s="72">
        <f>IF($A35="","",IF(AL35="",0,IF(AL35=IF($B35="언어와 매체",자동계산!$D$37,자동계산!$B$37),IF($B35="언어와 매체",자동계산!$E$37,자동계산!$C$37),0)))</f>
        <v/>
      </c>
      <c r="CF35" s="72">
        <f>IF($A35="","",IF(AM35="",0,IF(AM35=IF($B35="언어와 매체",자동계산!$D$38,자동계산!$B$38),IF($B35="언어와 매체",자동계산!$E$38,자동계산!$C$38),0)))</f>
        <v/>
      </c>
      <c r="CG35" s="72">
        <f>IF($A35="","",IF(AN35="",0,IF(AN35=IF($B35="언어와 매체",자동계산!$D$39,자동계산!$B$39),IF($B35="언어와 매체",자동계산!$E$39,자동계산!$C$39),0)))</f>
        <v/>
      </c>
      <c r="CH35" s="72">
        <f>IF($A35="","",IF(AO35="",0,IF(AO35=IF($B35="언어와 매체",자동계산!$D$40,자동계산!$B$40),IF($B35="언어와 매체",자동계산!$E$40,자동계산!$C$40),0)))</f>
        <v/>
      </c>
      <c r="CI35" s="72">
        <f>IF($A35="","",IF(AP35="",0,IF(AP35=IF($B35="언어와 매체",자동계산!$D$41,자동계산!$B$41),IF($B35="언어와 매체",자동계산!$E$41,자동계산!$C$41),0)))</f>
        <v/>
      </c>
      <c r="CJ35" s="72">
        <f>IF($A35="","",IF(AQ35="",0,IF(AQ35=IF($B35="언어와 매체",자동계산!$D$42,자동계산!$B$42),IF($B35="언어와 매체",자동계산!$E$42,자동계산!$C$42),0)))</f>
        <v/>
      </c>
      <c r="CK35" s="72">
        <f>IF($A35="","",IF(AR35="",0,IF(AR35=IF($B35="언어와 매체",자동계산!$D$43,자동계산!$B$43),IF($B35="언어와 매체",자동계산!$E$43,자동계산!$C$43),0)))</f>
        <v/>
      </c>
      <c r="CL35" s="72">
        <f>IF($A35="","",IF(AS35="",0,IF(AS35=IF($B35="언어와 매체",자동계산!$D$44,자동계산!$B$44),IF($B35="언어와 매체",자동계산!$E$44,자동계산!$C$44),0)))</f>
        <v/>
      </c>
      <c r="CM35" s="72">
        <f>IF($A35="","",IF(AT35="",0,IF(AT35=IF($B35="언어와 매체",자동계산!$D$45,자동계산!$B$45),IF($B35="언어와 매체",자동계산!$E$45,자동계산!$C$45),0)))</f>
        <v/>
      </c>
      <c r="CN35" s="72">
        <f>IF($A35="","",IF(AU35="",0,IF(AU35=IF($B35="언어와 매체",자동계산!$D$46,자동계산!$B$46),IF($B35="언어와 매체",자동계산!$E$46,자동계산!$C$46),0)))</f>
        <v/>
      </c>
      <c r="CO35" s="72">
        <f>IF($A35="","",IF(AV35="",0,IF(AV35=IF($B35="언어와 매체",자동계산!$D$47,자동계산!$B$47),IF($B35="언어와 매체",자동계산!$E$47,자동계산!$C$47),0)))</f>
        <v/>
      </c>
      <c r="CP35" s="72">
        <f>IF($A35="","",IF(AW35="",0,IF(AW35=IF($B35="언어와 매체",자동계산!$D$48,자동계산!$B$48),IF($B35="언어와 매체",자동계산!$E$48,자동계산!$C$48),0)))</f>
        <v/>
      </c>
    </row>
    <row r="36">
      <c r="A36" s="70">
        <f>IF(답안입력!A36="","",답안입력!A36)</f>
        <v/>
      </c>
      <c r="B36" s="70">
        <f>IF($A36="","",답안입력!C36)</f>
        <v/>
      </c>
      <c r="C36" s="71">
        <f>IF($A36="","",SUM(AX36:CP36))</f>
        <v/>
      </c>
      <c r="D36" s="70">
        <f>IF($A36="","",IF($C36&gt;=IF($B36="언어와 매체",회차설정!$B$9,회차설정!$B$8),"1등급",IF($C36&gt;=IF($B36="언어와 매체",회차설정!$C$9,회차설정!$C$8),"2등급",IF($C36&gt;=IF($B36="언어와 매체",회차설정!$D$9,회차설정!$D$8),"3등급",IF($C36&gt;=IF($B36="언어와 매체",회차설정!$E$9,회차설정!$E$8),"4등급","등급 외")))))</f>
        <v/>
      </c>
      <c r="E36" s="72">
        <f>IF($A36="","",IF(LEN(답안입력!$D36)&gt;=1,VALUE(MID(답안입력!$D36,1,1)),IF(답안입력!E36="","",답안입력!E36)))</f>
        <v/>
      </c>
      <c r="F36" s="72">
        <f>IF($A36="","",IF(LEN(답안입력!$D36)&gt;=2,VALUE(MID(답안입력!$D36,2,1)),IF(답안입력!F36="","",답안입력!F36)))</f>
        <v/>
      </c>
      <c r="G36" s="72">
        <f>IF($A36="","",IF(LEN(답안입력!$D36)&gt;=3,VALUE(MID(답안입력!$D36,3,1)),IF(답안입력!G36="","",답안입력!G36)))</f>
        <v/>
      </c>
      <c r="H36" s="72">
        <f>IF($A36="","",IF(LEN(답안입력!$D36)&gt;=4,VALUE(MID(답안입력!$D36,4,1)),IF(답안입력!H36="","",답안입력!H36)))</f>
        <v/>
      </c>
      <c r="I36" s="72">
        <f>IF($A36="","",IF(LEN(답안입력!$D36)&gt;=5,VALUE(MID(답안입력!$D36,5,1)),IF(답안입력!I36="","",답안입력!I36)))</f>
        <v/>
      </c>
      <c r="J36" s="72">
        <f>IF($A36="","",IF(LEN(답안입력!$D36)&gt;=6,VALUE(MID(답안입력!$D36,6,1)),IF(답안입력!J36="","",답안입력!J36)))</f>
        <v/>
      </c>
      <c r="K36" s="72">
        <f>IF($A36="","",IF(LEN(답안입력!$D36)&gt;=7,VALUE(MID(답안입력!$D36,7,1)),IF(답안입력!K36="","",답안입력!K36)))</f>
        <v/>
      </c>
      <c r="L36" s="72">
        <f>IF($A36="","",IF(LEN(답안입력!$D36)&gt;=8,VALUE(MID(답안입력!$D36,8,1)),IF(답안입력!L36="","",답안입력!L36)))</f>
        <v/>
      </c>
      <c r="M36" s="72">
        <f>IF($A36="","",IF(LEN(답안입력!$D36)&gt;=9,VALUE(MID(답안입력!$D36,9,1)),IF(답안입력!M36="","",답안입력!M36)))</f>
        <v/>
      </c>
      <c r="N36" s="72">
        <f>IF($A36="","",IF(LEN(답안입력!$D36)&gt;=10,VALUE(MID(답안입력!$D36,10,1)),IF(답안입력!N36="","",답안입력!N36)))</f>
        <v/>
      </c>
      <c r="O36" s="72">
        <f>IF($A36="","",IF(LEN(답안입력!$D36)&gt;=11,VALUE(MID(답안입력!$D36,11,1)),IF(답안입력!O36="","",답안입력!O36)))</f>
        <v/>
      </c>
      <c r="P36" s="72">
        <f>IF($A36="","",IF(LEN(답안입력!$D36)&gt;=12,VALUE(MID(답안입력!$D36,12,1)),IF(답안입력!P36="","",답안입력!P36)))</f>
        <v/>
      </c>
      <c r="Q36" s="72">
        <f>IF($A36="","",IF(LEN(답안입력!$D36)&gt;=13,VALUE(MID(답안입력!$D36,13,1)),IF(답안입력!Q36="","",답안입력!Q36)))</f>
        <v/>
      </c>
      <c r="R36" s="72">
        <f>IF($A36="","",IF(LEN(답안입력!$D36)&gt;=14,VALUE(MID(답안입력!$D36,14,1)),IF(답안입력!R36="","",답안입력!R36)))</f>
        <v/>
      </c>
      <c r="S36" s="72">
        <f>IF($A36="","",IF(LEN(답안입력!$D36)&gt;=15,VALUE(MID(답안입력!$D36,15,1)),IF(답안입력!S36="","",답안입력!S36)))</f>
        <v/>
      </c>
      <c r="T36" s="72">
        <f>IF($A36="","",IF(LEN(답안입력!$D36)&gt;=16,VALUE(MID(답안입력!$D36,16,1)),IF(답안입력!T36="","",답안입력!T36)))</f>
        <v/>
      </c>
      <c r="U36" s="72">
        <f>IF($A36="","",IF(LEN(답안입력!$D36)&gt;=17,VALUE(MID(답안입력!$D36,17,1)),IF(답안입력!U36="","",답안입력!U36)))</f>
        <v/>
      </c>
      <c r="V36" s="72">
        <f>IF($A36="","",IF(LEN(답안입력!$D36)&gt;=18,VALUE(MID(답안입력!$D36,18,1)),IF(답안입력!V36="","",답안입력!V36)))</f>
        <v/>
      </c>
      <c r="W36" s="72">
        <f>IF($A36="","",IF(LEN(답안입력!$D36)&gt;=19,VALUE(MID(답안입력!$D36,19,1)),IF(답안입력!W36="","",답안입력!W36)))</f>
        <v/>
      </c>
      <c r="X36" s="72">
        <f>IF($A36="","",IF(LEN(답안입력!$D36)&gt;=20,VALUE(MID(답안입력!$D36,20,1)),IF(답안입력!X36="","",답안입력!X36)))</f>
        <v/>
      </c>
      <c r="Y36" s="72">
        <f>IF($A36="","",IF(LEN(답안입력!$D36)&gt;=21,VALUE(MID(답안입력!$D36,21,1)),IF(답안입력!Y36="","",답안입력!Y36)))</f>
        <v/>
      </c>
      <c r="Z36" s="72">
        <f>IF($A36="","",IF(LEN(답안입력!$D36)&gt;=22,VALUE(MID(답안입력!$D36,22,1)),IF(답안입력!Z36="","",답안입력!Z36)))</f>
        <v/>
      </c>
      <c r="AA36" s="72">
        <f>IF($A36="","",IF(LEN(답안입력!$D36)&gt;=23,VALUE(MID(답안입력!$D36,23,1)),IF(답안입력!AA36="","",답안입력!AA36)))</f>
        <v/>
      </c>
      <c r="AB36" s="72">
        <f>IF($A36="","",IF(LEN(답안입력!$D36)&gt;=24,VALUE(MID(답안입력!$D36,24,1)),IF(답안입력!AB36="","",답안입력!AB36)))</f>
        <v/>
      </c>
      <c r="AC36" s="72">
        <f>IF($A36="","",IF(LEN(답안입력!$D36)&gt;=25,VALUE(MID(답안입력!$D36,25,1)),IF(답안입력!AC36="","",답안입력!AC36)))</f>
        <v/>
      </c>
      <c r="AD36" s="72">
        <f>IF($A36="","",IF(LEN(답안입력!$D36)&gt;=26,VALUE(MID(답안입력!$D36,26,1)),IF(답안입력!AD36="","",답안입력!AD36)))</f>
        <v/>
      </c>
      <c r="AE36" s="72">
        <f>IF($A36="","",IF(LEN(답안입력!$D36)&gt;=27,VALUE(MID(답안입력!$D36,27,1)),IF(답안입력!AE36="","",답안입력!AE36)))</f>
        <v/>
      </c>
      <c r="AF36" s="72">
        <f>IF($A36="","",IF(LEN(답안입력!$D36)&gt;=28,VALUE(MID(답안입력!$D36,28,1)),IF(답안입력!AF36="","",답안입력!AF36)))</f>
        <v/>
      </c>
      <c r="AG36" s="72">
        <f>IF($A36="","",IF(LEN(답안입력!$D36)&gt;=29,VALUE(MID(답안입력!$D36,29,1)),IF(답안입력!AG36="","",답안입력!AG36)))</f>
        <v/>
      </c>
      <c r="AH36" s="72">
        <f>IF($A36="","",IF(LEN(답안입력!$D36)&gt;=30,VALUE(MID(답안입력!$D36,30,1)),IF(답안입력!AH36="","",답안입력!AH36)))</f>
        <v/>
      </c>
      <c r="AI36" s="72">
        <f>IF($A36="","",IF(LEN(답안입력!$D36)&gt;=31,VALUE(MID(답안입력!$D36,31,1)),IF(답안입력!AI36="","",답안입력!AI36)))</f>
        <v/>
      </c>
      <c r="AJ36" s="72">
        <f>IF($A36="","",IF(LEN(답안입력!$D36)&gt;=32,VALUE(MID(답안입력!$D36,32,1)),IF(답안입력!AJ36="","",답안입력!AJ36)))</f>
        <v/>
      </c>
      <c r="AK36" s="72">
        <f>IF($A36="","",IF(LEN(답안입력!$D36)&gt;=33,VALUE(MID(답안입력!$D36,33,1)),IF(답안입력!AK36="","",답안입력!AK36)))</f>
        <v/>
      </c>
      <c r="AL36" s="72">
        <f>IF($A36="","",IF(LEN(답안입력!$D36)&gt;=34,VALUE(MID(답안입력!$D36,34,1)),IF(답안입력!AL36="","",답안입력!AL36)))</f>
        <v/>
      </c>
      <c r="AM36" s="72">
        <f>IF($A36="","",IF(LEN(답안입력!$D36)&gt;=35,VALUE(MID(답안입력!$D36,35,1)),IF(답안입력!AM36="","",답안입력!AM36)))</f>
        <v/>
      </c>
      <c r="AN36" s="72">
        <f>IF($A36="","",IF(LEN(답안입력!$D36)&gt;=36,VALUE(MID(답안입력!$D36,36,1)),IF(답안입력!AN36="","",답안입력!AN36)))</f>
        <v/>
      </c>
      <c r="AO36" s="72">
        <f>IF($A36="","",IF(LEN(답안입력!$D36)&gt;=37,VALUE(MID(답안입력!$D36,37,1)),IF(답안입력!AO36="","",답안입력!AO36)))</f>
        <v/>
      </c>
      <c r="AP36" s="72">
        <f>IF($A36="","",IF(LEN(답안입력!$D36)&gt;=38,VALUE(MID(답안입력!$D36,38,1)),IF(답안입력!AP36="","",답안입력!AP36)))</f>
        <v/>
      </c>
      <c r="AQ36" s="72">
        <f>IF($A36="","",IF(LEN(답안입력!$D36)&gt;=39,VALUE(MID(답안입력!$D36,39,1)),IF(답안입력!AQ36="","",답안입력!AQ36)))</f>
        <v/>
      </c>
      <c r="AR36" s="72">
        <f>IF($A36="","",IF(LEN(답안입력!$D36)&gt;=40,VALUE(MID(답안입력!$D36,40,1)),IF(답안입력!AR36="","",답안입력!AR36)))</f>
        <v/>
      </c>
      <c r="AS36" s="72">
        <f>IF($A36="","",IF(LEN(답안입력!$D36)&gt;=41,VALUE(MID(답안입력!$D36,41,1)),IF(답안입력!AS36="","",답안입력!AS36)))</f>
        <v/>
      </c>
      <c r="AT36" s="72">
        <f>IF($A36="","",IF(LEN(답안입력!$D36)&gt;=42,VALUE(MID(답안입력!$D36,42,1)),IF(답안입력!AT36="","",답안입력!AT36)))</f>
        <v/>
      </c>
      <c r="AU36" s="72">
        <f>IF($A36="","",IF(LEN(답안입력!$D36)&gt;=43,VALUE(MID(답안입력!$D36,43,1)),IF(답안입력!AU36="","",답안입력!AU36)))</f>
        <v/>
      </c>
      <c r="AV36" s="72">
        <f>IF($A36="","",IF(LEN(답안입력!$D36)&gt;=44,VALUE(MID(답안입력!$D36,44,1)),IF(답안입력!AV36="","",답안입력!AV36)))</f>
        <v/>
      </c>
      <c r="AW36" s="72">
        <f>IF($A36="","",IF(LEN(답안입력!$D36)&gt;=45,VALUE(MID(답안입력!$D36,45,1)),IF(답안입력!AW36="","",답안입력!AW36)))</f>
        <v/>
      </c>
      <c r="AX36" s="72">
        <f>IF($A36="","",IF(E36="",0,IF(E36=IF($B36="언어와 매체",자동계산!$D$4,자동계산!$B$4),IF($B36="언어와 매체",자동계산!$E$4,자동계산!$C$4),0)))</f>
        <v/>
      </c>
      <c r="AY36" s="72">
        <f>IF($A36="","",IF(F36="",0,IF(F36=IF($B36="언어와 매체",자동계산!$D$5,자동계산!$B$5),IF($B36="언어와 매체",자동계산!$E$5,자동계산!$C$5),0)))</f>
        <v/>
      </c>
      <c r="AZ36" s="72">
        <f>IF($A36="","",IF(G36="",0,IF(G36=IF($B36="언어와 매체",자동계산!$D$6,자동계산!$B$6),IF($B36="언어와 매체",자동계산!$E$6,자동계산!$C$6),0)))</f>
        <v/>
      </c>
      <c r="BA36" s="72">
        <f>IF($A36="","",IF(H36="",0,IF(H36=IF($B36="언어와 매체",자동계산!$D$7,자동계산!$B$7),IF($B36="언어와 매체",자동계산!$E$7,자동계산!$C$7),0)))</f>
        <v/>
      </c>
      <c r="BB36" s="72">
        <f>IF($A36="","",IF(I36="",0,IF(I36=IF($B36="언어와 매체",자동계산!$D$8,자동계산!$B$8),IF($B36="언어와 매체",자동계산!$E$8,자동계산!$C$8),0)))</f>
        <v/>
      </c>
      <c r="BC36" s="72">
        <f>IF($A36="","",IF(J36="",0,IF(J36=IF($B36="언어와 매체",자동계산!$D$9,자동계산!$B$9),IF($B36="언어와 매체",자동계산!$E$9,자동계산!$C$9),0)))</f>
        <v/>
      </c>
      <c r="BD36" s="72">
        <f>IF($A36="","",IF(K36="",0,IF(K36=IF($B36="언어와 매체",자동계산!$D$10,자동계산!$B$10),IF($B36="언어와 매체",자동계산!$E$10,자동계산!$C$10),0)))</f>
        <v/>
      </c>
      <c r="BE36" s="72">
        <f>IF($A36="","",IF(L36="",0,IF(L36=IF($B36="언어와 매체",자동계산!$D$11,자동계산!$B$11),IF($B36="언어와 매체",자동계산!$E$11,자동계산!$C$11),0)))</f>
        <v/>
      </c>
      <c r="BF36" s="72">
        <f>IF($A36="","",IF(M36="",0,IF(M36=IF($B36="언어와 매체",자동계산!$D$12,자동계산!$B$12),IF($B36="언어와 매체",자동계산!$E$12,자동계산!$C$12),0)))</f>
        <v/>
      </c>
      <c r="BG36" s="72">
        <f>IF($A36="","",IF(N36="",0,IF(N36=IF($B36="언어와 매체",자동계산!$D$13,자동계산!$B$13),IF($B36="언어와 매체",자동계산!$E$13,자동계산!$C$13),0)))</f>
        <v/>
      </c>
      <c r="BH36" s="72">
        <f>IF($A36="","",IF(O36="",0,IF(O36=IF($B36="언어와 매체",자동계산!$D$14,자동계산!$B$14),IF($B36="언어와 매체",자동계산!$E$14,자동계산!$C$14),0)))</f>
        <v/>
      </c>
      <c r="BI36" s="72">
        <f>IF($A36="","",IF(P36="",0,IF(P36=IF($B36="언어와 매체",자동계산!$D$15,자동계산!$B$15),IF($B36="언어와 매체",자동계산!$E$15,자동계산!$C$15),0)))</f>
        <v/>
      </c>
      <c r="BJ36" s="72">
        <f>IF($A36="","",IF(Q36="",0,IF(Q36=IF($B36="언어와 매체",자동계산!$D$16,자동계산!$B$16),IF($B36="언어와 매체",자동계산!$E$16,자동계산!$C$16),0)))</f>
        <v/>
      </c>
      <c r="BK36" s="72">
        <f>IF($A36="","",IF(R36="",0,IF(R36=IF($B36="언어와 매체",자동계산!$D$17,자동계산!$B$17),IF($B36="언어와 매체",자동계산!$E$17,자동계산!$C$17),0)))</f>
        <v/>
      </c>
      <c r="BL36" s="72">
        <f>IF($A36="","",IF(S36="",0,IF(S36=IF($B36="언어와 매체",자동계산!$D$18,자동계산!$B$18),IF($B36="언어와 매체",자동계산!$E$18,자동계산!$C$18),0)))</f>
        <v/>
      </c>
      <c r="BM36" s="72">
        <f>IF($A36="","",IF(T36="",0,IF(T36=IF($B36="언어와 매체",자동계산!$D$19,자동계산!$B$19),IF($B36="언어와 매체",자동계산!$E$19,자동계산!$C$19),0)))</f>
        <v/>
      </c>
      <c r="BN36" s="72">
        <f>IF($A36="","",IF(U36="",0,IF(U36=IF($B36="언어와 매체",자동계산!$D$20,자동계산!$B$20),IF($B36="언어와 매체",자동계산!$E$20,자동계산!$C$20),0)))</f>
        <v/>
      </c>
      <c r="BO36" s="72">
        <f>IF($A36="","",IF(V36="",0,IF(V36=IF($B36="언어와 매체",자동계산!$D$21,자동계산!$B$21),IF($B36="언어와 매체",자동계산!$E$21,자동계산!$C$21),0)))</f>
        <v/>
      </c>
      <c r="BP36" s="72">
        <f>IF($A36="","",IF(W36="",0,IF(W36=IF($B36="언어와 매체",자동계산!$D$22,자동계산!$B$22),IF($B36="언어와 매체",자동계산!$E$22,자동계산!$C$22),0)))</f>
        <v/>
      </c>
      <c r="BQ36" s="72">
        <f>IF($A36="","",IF(X36="",0,IF(X36=IF($B36="언어와 매체",자동계산!$D$23,자동계산!$B$23),IF($B36="언어와 매체",자동계산!$E$23,자동계산!$C$23),0)))</f>
        <v/>
      </c>
      <c r="BR36" s="72">
        <f>IF($A36="","",IF(Y36="",0,IF(Y36=IF($B36="언어와 매체",자동계산!$D$24,자동계산!$B$24),IF($B36="언어와 매체",자동계산!$E$24,자동계산!$C$24),0)))</f>
        <v/>
      </c>
      <c r="BS36" s="72">
        <f>IF($A36="","",IF(Z36="",0,IF(Z36=IF($B36="언어와 매체",자동계산!$D$25,자동계산!$B$25),IF($B36="언어와 매체",자동계산!$E$25,자동계산!$C$25),0)))</f>
        <v/>
      </c>
      <c r="BT36" s="72">
        <f>IF($A36="","",IF(AA36="",0,IF(AA36=IF($B36="언어와 매체",자동계산!$D$26,자동계산!$B$26),IF($B36="언어와 매체",자동계산!$E$26,자동계산!$C$26),0)))</f>
        <v/>
      </c>
      <c r="BU36" s="72">
        <f>IF($A36="","",IF(AB36="",0,IF(AB36=IF($B36="언어와 매체",자동계산!$D$27,자동계산!$B$27),IF($B36="언어와 매체",자동계산!$E$27,자동계산!$C$27),0)))</f>
        <v/>
      </c>
      <c r="BV36" s="72">
        <f>IF($A36="","",IF(AC36="",0,IF(AC36=IF($B36="언어와 매체",자동계산!$D$28,자동계산!$B$28),IF($B36="언어와 매체",자동계산!$E$28,자동계산!$C$28),0)))</f>
        <v/>
      </c>
      <c r="BW36" s="72">
        <f>IF($A36="","",IF(AD36="",0,IF(AD36=IF($B36="언어와 매체",자동계산!$D$29,자동계산!$B$29),IF($B36="언어와 매체",자동계산!$E$29,자동계산!$C$29),0)))</f>
        <v/>
      </c>
      <c r="BX36" s="72">
        <f>IF($A36="","",IF(AE36="",0,IF(AE36=IF($B36="언어와 매체",자동계산!$D$30,자동계산!$B$30),IF($B36="언어와 매체",자동계산!$E$30,자동계산!$C$30),0)))</f>
        <v/>
      </c>
      <c r="BY36" s="72">
        <f>IF($A36="","",IF(AF36="",0,IF(AF36=IF($B36="언어와 매체",자동계산!$D$31,자동계산!$B$31),IF($B36="언어와 매체",자동계산!$E$31,자동계산!$C$31),0)))</f>
        <v/>
      </c>
      <c r="BZ36" s="72">
        <f>IF($A36="","",IF(AG36="",0,IF(AG36=IF($B36="언어와 매체",자동계산!$D$32,자동계산!$B$32),IF($B36="언어와 매체",자동계산!$E$32,자동계산!$C$32),0)))</f>
        <v/>
      </c>
      <c r="CA36" s="72">
        <f>IF($A36="","",IF(AH36="",0,IF(AH36=IF($B36="언어와 매체",자동계산!$D$33,자동계산!$B$33),IF($B36="언어와 매체",자동계산!$E$33,자동계산!$C$33),0)))</f>
        <v/>
      </c>
      <c r="CB36" s="72">
        <f>IF($A36="","",IF(AI36="",0,IF(AI36=IF($B36="언어와 매체",자동계산!$D$34,자동계산!$B$34),IF($B36="언어와 매체",자동계산!$E$34,자동계산!$C$34),0)))</f>
        <v/>
      </c>
      <c r="CC36" s="72">
        <f>IF($A36="","",IF(AJ36="",0,IF(AJ36=IF($B36="언어와 매체",자동계산!$D$35,자동계산!$B$35),IF($B36="언어와 매체",자동계산!$E$35,자동계산!$C$35),0)))</f>
        <v/>
      </c>
      <c r="CD36" s="72">
        <f>IF($A36="","",IF(AK36="",0,IF(AK36=IF($B36="언어와 매체",자동계산!$D$36,자동계산!$B$36),IF($B36="언어와 매체",자동계산!$E$36,자동계산!$C$36),0)))</f>
        <v/>
      </c>
      <c r="CE36" s="72">
        <f>IF($A36="","",IF(AL36="",0,IF(AL36=IF($B36="언어와 매체",자동계산!$D$37,자동계산!$B$37),IF($B36="언어와 매체",자동계산!$E$37,자동계산!$C$37),0)))</f>
        <v/>
      </c>
      <c r="CF36" s="72">
        <f>IF($A36="","",IF(AM36="",0,IF(AM36=IF($B36="언어와 매체",자동계산!$D$38,자동계산!$B$38),IF($B36="언어와 매체",자동계산!$E$38,자동계산!$C$38),0)))</f>
        <v/>
      </c>
      <c r="CG36" s="72">
        <f>IF($A36="","",IF(AN36="",0,IF(AN36=IF($B36="언어와 매체",자동계산!$D$39,자동계산!$B$39),IF($B36="언어와 매체",자동계산!$E$39,자동계산!$C$39),0)))</f>
        <v/>
      </c>
      <c r="CH36" s="72">
        <f>IF($A36="","",IF(AO36="",0,IF(AO36=IF($B36="언어와 매체",자동계산!$D$40,자동계산!$B$40),IF($B36="언어와 매체",자동계산!$E$40,자동계산!$C$40),0)))</f>
        <v/>
      </c>
      <c r="CI36" s="72">
        <f>IF($A36="","",IF(AP36="",0,IF(AP36=IF($B36="언어와 매체",자동계산!$D$41,자동계산!$B$41),IF($B36="언어와 매체",자동계산!$E$41,자동계산!$C$41),0)))</f>
        <v/>
      </c>
      <c r="CJ36" s="72">
        <f>IF($A36="","",IF(AQ36="",0,IF(AQ36=IF($B36="언어와 매체",자동계산!$D$42,자동계산!$B$42),IF($B36="언어와 매체",자동계산!$E$42,자동계산!$C$42),0)))</f>
        <v/>
      </c>
      <c r="CK36" s="72">
        <f>IF($A36="","",IF(AR36="",0,IF(AR36=IF($B36="언어와 매체",자동계산!$D$43,자동계산!$B$43),IF($B36="언어와 매체",자동계산!$E$43,자동계산!$C$43),0)))</f>
        <v/>
      </c>
      <c r="CL36" s="72">
        <f>IF($A36="","",IF(AS36="",0,IF(AS36=IF($B36="언어와 매체",자동계산!$D$44,자동계산!$B$44),IF($B36="언어와 매체",자동계산!$E$44,자동계산!$C$44),0)))</f>
        <v/>
      </c>
      <c r="CM36" s="72">
        <f>IF($A36="","",IF(AT36="",0,IF(AT36=IF($B36="언어와 매체",자동계산!$D$45,자동계산!$B$45),IF($B36="언어와 매체",자동계산!$E$45,자동계산!$C$45),0)))</f>
        <v/>
      </c>
      <c r="CN36" s="72">
        <f>IF($A36="","",IF(AU36="",0,IF(AU36=IF($B36="언어와 매체",자동계산!$D$46,자동계산!$B$46),IF($B36="언어와 매체",자동계산!$E$46,자동계산!$C$46),0)))</f>
        <v/>
      </c>
      <c r="CO36" s="72">
        <f>IF($A36="","",IF(AV36="",0,IF(AV36=IF($B36="언어와 매체",자동계산!$D$47,자동계산!$B$47),IF($B36="언어와 매체",자동계산!$E$47,자동계산!$C$47),0)))</f>
        <v/>
      </c>
      <c r="CP36" s="72">
        <f>IF($A36="","",IF(AW36="",0,IF(AW36=IF($B36="언어와 매체",자동계산!$D$48,자동계산!$B$48),IF($B36="언어와 매체",자동계산!$E$48,자동계산!$C$48),0)))</f>
        <v/>
      </c>
    </row>
    <row r="37">
      <c r="A37" s="70">
        <f>IF(답안입력!A37="","",답안입력!A37)</f>
        <v/>
      </c>
      <c r="B37" s="70">
        <f>IF($A37="","",답안입력!C37)</f>
        <v/>
      </c>
      <c r="C37" s="71">
        <f>IF($A37="","",SUM(AX37:CP37))</f>
        <v/>
      </c>
      <c r="D37" s="70">
        <f>IF($A37="","",IF($C37&gt;=IF($B37="언어와 매체",회차설정!$B$9,회차설정!$B$8),"1등급",IF($C37&gt;=IF($B37="언어와 매체",회차설정!$C$9,회차설정!$C$8),"2등급",IF($C37&gt;=IF($B37="언어와 매체",회차설정!$D$9,회차설정!$D$8),"3등급",IF($C37&gt;=IF($B37="언어와 매체",회차설정!$E$9,회차설정!$E$8),"4등급","등급 외")))))</f>
        <v/>
      </c>
      <c r="E37" s="72">
        <f>IF($A37="","",IF(LEN(답안입력!$D37)&gt;=1,VALUE(MID(답안입력!$D37,1,1)),IF(답안입력!E37="","",답안입력!E37)))</f>
        <v/>
      </c>
      <c r="F37" s="72">
        <f>IF($A37="","",IF(LEN(답안입력!$D37)&gt;=2,VALUE(MID(답안입력!$D37,2,1)),IF(답안입력!F37="","",답안입력!F37)))</f>
        <v/>
      </c>
      <c r="G37" s="72">
        <f>IF($A37="","",IF(LEN(답안입력!$D37)&gt;=3,VALUE(MID(답안입력!$D37,3,1)),IF(답안입력!G37="","",답안입력!G37)))</f>
        <v/>
      </c>
      <c r="H37" s="72">
        <f>IF($A37="","",IF(LEN(답안입력!$D37)&gt;=4,VALUE(MID(답안입력!$D37,4,1)),IF(답안입력!H37="","",답안입력!H37)))</f>
        <v/>
      </c>
      <c r="I37" s="72">
        <f>IF($A37="","",IF(LEN(답안입력!$D37)&gt;=5,VALUE(MID(답안입력!$D37,5,1)),IF(답안입력!I37="","",답안입력!I37)))</f>
        <v/>
      </c>
      <c r="J37" s="72">
        <f>IF($A37="","",IF(LEN(답안입력!$D37)&gt;=6,VALUE(MID(답안입력!$D37,6,1)),IF(답안입력!J37="","",답안입력!J37)))</f>
        <v/>
      </c>
      <c r="K37" s="72">
        <f>IF($A37="","",IF(LEN(답안입력!$D37)&gt;=7,VALUE(MID(답안입력!$D37,7,1)),IF(답안입력!K37="","",답안입력!K37)))</f>
        <v/>
      </c>
      <c r="L37" s="72">
        <f>IF($A37="","",IF(LEN(답안입력!$D37)&gt;=8,VALUE(MID(답안입력!$D37,8,1)),IF(답안입력!L37="","",답안입력!L37)))</f>
        <v/>
      </c>
      <c r="M37" s="72">
        <f>IF($A37="","",IF(LEN(답안입력!$D37)&gt;=9,VALUE(MID(답안입력!$D37,9,1)),IF(답안입력!M37="","",답안입력!M37)))</f>
        <v/>
      </c>
      <c r="N37" s="72">
        <f>IF($A37="","",IF(LEN(답안입력!$D37)&gt;=10,VALUE(MID(답안입력!$D37,10,1)),IF(답안입력!N37="","",답안입력!N37)))</f>
        <v/>
      </c>
      <c r="O37" s="72">
        <f>IF($A37="","",IF(LEN(답안입력!$D37)&gt;=11,VALUE(MID(답안입력!$D37,11,1)),IF(답안입력!O37="","",답안입력!O37)))</f>
        <v/>
      </c>
      <c r="P37" s="72">
        <f>IF($A37="","",IF(LEN(답안입력!$D37)&gt;=12,VALUE(MID(답안입력!$D37,12,1)),IF(답안입력!P37="","",답안입력!P37)))</f>
        <v/>
      </c>
      <c r="Q37" s="72">
        <f>IF($A37="","",IF(LEN(답안입력!$D37)&gt;=13,VALUE(MID(답안입력!$D37,13,1)),IF(답안입력!Q37="","",답안입력!Q37)))</f>
        <v/>
      </c>
      <c r="R37" s="72">
        <f>IF($A37="","",IF(LEN(답안입력!$D37)&gt;=14,VALUE(MID(답안입력!$D37,14,1)),IF(답안입력!R37="","",답안입력!R37)))</f>
        <v/>
      </c>
      <c r="S37" s="72">
        <f>IF($A37="","",IF(LEN(답안입력!$D37)&gt;=15,VALUE(MID(답안입력!$D37,15,1)),IF(답안입력!S37="","",답안입력!S37)))</f>
        <v/>
      </c>
      <c r="T37" s="72">
        <f>IF($A37="","",IF(LEN(답안입력!$D37)&gt;=16,VALUE(MID(답안입력!$D37,16,1)),IF(답안입력!T37="","",답안입력!T37)))</f>
        <v/>
      </c>
      <c r="U37" s="72">
        <f>IF($A37="","",IF(LEN(답안입력!$D37)&gt;=17,VALUE(MID(답안입력!$D37,17,1)),IF(답안입력!U37="","",답안입력!U37)))</f>
        <v/>
      </c>
      <c r="V37" s="72">
        <f>IF($A37="","",IF(LEN(답안입력!$D37)&gt;=18,VALUE(MID(답안입력!$D37,18,1)),IF(답안입력!V37="","",답안입력!V37)))</f>
        <v/>
      </c>
      <c r="W37" s="72">
        <f>IF($A37="","",IF(LEN(답안입력!$D37)&gt;=19,VALUE(MID(답안입력!$D37,19,1)),IF(답안입력!W37="","",답안입력!W37)))</f>
        <v/>
      </c>
      <c r="X37" s="72">
        <f>IF($A37="","",IF(LEN(답안입력!$D37)&gt;=20,VALUE(MID(답안입력!$D37,20,1)),IF(답안입력!X37="","",답안입력!X37)))</f>
        <v/>
      </c>
      <c r="Y37" s="72">
        <f>IF($A37="","",IF(LEN(답안입력!$D37)&gt;=21,VALUE(MID(답안입력!$D37,21,1)),IF(답안입력!Y37="","",답안입력!Y37)))</f>
        <v/>
      </c>
      <c r="Z37" s="72">
        <f>IF($A37="","",IF(LEN(답안입력!$D37)&gt;=22,VALUE(MID(답안입력!$D37,22,1)),IF(답안입력!Z37="","",답안입력!Z37)))</f>
        <v/>
      </c>
      <c r="AA37" s="72">
        <f>IF($A37="","",IF(LEN(답안입력!$D37)&gt;=23,VALUE(MID(답안입력!$D37,23,1)),IF(답안입력!AA37="","",답안입력!AA37)))</f>
        <v/>
      </c>
      <c r="AB37" s="72">
        <f>IF($A37="","",IF(LEN(답안입력!$D37)&gt;=24,VALUE(MID(답안입력!$D37,24,1)),IF(답안입력!AB37="","",답안입력!AB37)))</f>
        <v/>
      </c>
      <c r="AC37" s="72">
        <f>IF($A37="","",IF(LEN(답안입력!$D37)&gt;=25,VALUE(MID(답안입력!$D37,25,1)),IF(답안입력!AC37="","",답안입력!AC37)))</f>
        <v/>
      </c>
      <c r="AD37" s="72">
        <f>IF($A37="","",IF(LEN(답안입력!$D37)&gt;=26,VALUE(MID(답안입력!$D37,26,1)),IF(답안입력!AD37="","",답안입력!AD37)))</f>
        <v/>
      </c>
      <c r="AE37" s="72">
        <f>IF($A37="","",IF(LEN(답안입력!$D37)&gt;=27,VALUE(MID(답안입력!$D37,27,1)),IF(답안입력!AE37="","",답안입력!AE37)))</f>
        <v/>
      </c>
      <c r="AF37" s="72">
        <f>IF($A37="","",IF(LEN(답안입력!$D37)&gt;=28,VALUE(MID(답안입력!$D37,28,1)),IF(답안입력!AF37="","",답안입력!AF37)))</f>
        <v/>
      </c>
      <c r="AG37" s="72">
        <f>IF($A37="","",IF(LEN(답안입력!$D37)&gt;=29,VALUE(MID(답안입력!$D37,29,1)),IF(답안입력!AG37="","",답안입력!AG37)))</f>
        <v/>
      </c>
      <c r="AH37" s="72">
        <f>IF($A37="","",IF(LEN(답안입력!$D37)&gt;=30,VALUE(MID(답안입력!$D37,30,1)),IF(답안입력!AH37="","",답안입력!AH37)))</f>
        <v/>
      </c>
      <c r="AI37" s="72">
        <f>IF($A37="","",IF(LEN(답안입력!$D37)&gt;=31,VALUE(MID(답안입력!$D37,31,1)),IF(답안입력!AI37="","",답안입력!AI37)))</f>
        <v/>
      </c>
      <c r="AJ37" s="72">
        <f>IF($A37="","",IF(LEN(답안입력!$D37)&gt;=32,VALUE(MID(답안입력!$D37,32,1)),IF(답안입력!AJ37="","",답안입력!AJ37)))</f>
        <v/>
      </c>
      <c r="AK37" s="72">
        <f>IF($A37="","",IF(LEN(답안입력!$D37)&gt;=33,VALUE(MID(답안입력!$D37,33,1)),IF(답안입력!AK37="","",답안입력!AK37)))</f>
        <v/>
      </c>
      <c r="AL37" s="72">
        <f>IF($A37="","",IF(LEN(답안입력!$D37)&gt;=34,VALUE(MID(답안입력!$D37,34,1)),IF(답안입력!AL37="","",답안입력!AL37)))</f>
        <v/>
      </c>
      <c r="AM37" s="72">
        <f>IF($A37="","",IF(LEN(답안입력!$D37)&gt;=35,VALUE(MID(답안입력!$D37,35,1)),IF(답안입력!AM37="","",답안입력!AM37)))</f>
        <v/>
      </c>
      <c r="AN37" s="72">
        <f>IF($A37="","",IF(LEN(답안입력!$D37)&gt;=36,VALUE(MID(답안입력!$D37,36,1)),IF(답안입력!AN37="","",답안입력!AN37)))</f>
        <v/>
      </c>
      <c r="AO37" s="72">
        <f>IF($A37="","",IF(LEN(답안입력!$D37)&gt;=37,VALUE(MID(답안입력!$D37,37,1)),IF(답안입력!AO37="","",답안입력!AO37)))</f>
        <v/>
      </c>
      <c r="AP37" s="72">
        <f>IF($A37="","",IF(LEN(답안입력!$D37)&gt;=38,VALUE(MID(답안입력!$D37,38,1)),IF(답안입력!AP37="","",답안입력!AP37)))</f>
        <v/>
      </c>
      <c r="AQ37" s="72">
        <f>IF($A37="","",IF(LEN(답안입력!$D37)&gt;=39,VALUE(MID(답안입력!$D37,39,1)),IF(답안입력!AQ37="","",답안입력!AQ37)))</f>
        <v/>
      </c>
      <c r="AR37" s="72">
        <f>IF($A37="","",IF(LEN(답안입력!$D37)&gt;=40,VALUE(MID(답안입력!$D37,40,1)),IF(답안입력!AR37="","",답안입력!AR37)))</f>
        <v/>
      </c>
      <c r="AS37" s="72">
        <f>IF($A37="","",IF(LEN(답안입력!$D37)&gt;=41,VALUE(MID(답안입력!$D37,41,1)),IF(답안입력!AS37="","",답안입력!AS37)))</f>
        <v/>
      </c>
      <c r="AT37" s="72">
        <f>IF($A37="","",IF(LEN(답안입력!$D37)&gt;=42,VALUE(MID(답안입력!$D37,42,1)),IF(답안입력!AT37="","",답안입력!AT37)))</f>
        <v/>
      </c>
      <c r="AU37" s="72">
        <f>IF($A37="","",IF(LEN(답안입력!$D37)&gt;=43,VALUE(MID(답안입력!$D37,43,1)),IF(답안입력!AU37="","",답안입력!AU37)))</f>
        <v/>
      </c>
      <c r="AV37" s="72">
        <f>IF($A37="","",IF(LEN(답안입력!$D37)&gt;=44,VALUE(MID(답안입력!$D37,44,1)),IF(답안입력!AV37="","",답안입력!AV37)))</f>
        <v/>
      </c>
      <c r="AW37" s="72">
        <f>IF($A37="","",IF(LEN(답안입력!$D37)&gt;=45,VALUE(MID(답안입력!$D37,45,1)),IF(답안입력!AW37="","",답안입력!AW37)))</f>
        <v/>
      </c>
      <c r="AX37" s="72">
        <f>IF($A37="","",IF(E37="",0,IF(E37=IF($B37="언어와 매체",자동계산!$D$4,자동계산!$B$4),IF($B37="언어와 매체",자동계산!$E$4,자동계산!$C$4),0)))</f>
        <v/>
      </c>
      <c r="AY37" s="72">
        <f>IF($A37="","",IF(F37="",0,IF(F37=IF($B37="언어와 매체",자동계산!$D$5,자동계산!$B$5),IF($B37="언어와 매체",자동계산!$E$5,자동계산!$C$5),0)))</f>
        <v/>
      </c>
      <c r="AZ37" s="72">
        <f>IF($A37="","",IF(G37="",0,IF(G37=IF($B37="언어와 매체",자동계산!$D$6,자동계산!$B$6),IF($B37="언어와 매체",자동계산!$E$6,자동계산!$C$6),0)))</f>
        <v/>
      </c>
      <c r="BA37" s="72">
        <f>IF($A37="","",IF(H37="",0,IF(H37=IF($B37="언어와 매체",자동계산!$D$7,자동계산!$B$7),IF($B37="언어와 매체",자동계산!$E$7,자동계산!$C$7),0)))</f>
        <v/>
      </c>
      <c r="BB37" s="72">
        <f>IF($A37="","",IF(I37="",0,IF(I37=IF($B37="언어와 매체",자동계산!$D$8,자동계산!$B$8),IF($B37="언어와 매체",자동계산!$E$8,자동계산!$C$8),0)))</f>
        <v/>
      </c>
      <c r="BC37" s="72">
        <f>IF($A37="","",IF(J37="",0,IF(J37=IF($B37="언어와 매체",자동계산!$D$9,자동계산!$B$9),IF($B37="언어와 매체",자동계산!$E$9,자동계산!$C$9),0)))</f>
        <v/>
      </c>
      <c r="BD37" s="72">
        <f>IF($A37="","",IF(K37="",0,IF(K37=IF($B37="언어와 매체",자동계산!$D$10,자동계산!$B$10),IF($B37="언어와 매체",자동계산!$E$10,자동계산!$C$10),0)))</f>
        <v/>
      </c>
      <c r="BE37" s="72">
        <f>IF($A37="","",IF(L37="",0,IF(L37=IF($B37="언어와 매체",자동계산!$D$11,자동계산!$B$11),IF($B37="언어와 매체",자동계산!$E$11,자동계산!$C$11),0)))</f>
        <v/>
      </c>
      <c r="BF37" s="72">
        <f>IF($A37="","",IF(M37="",0,IF(M37=IF($B37="언어와 매체",자동계산!$D$12,자동계산!$B$12),IF($B37="언어와 매체",자동계산!$E$12,자동계산!$C$12),0)))</f>
        <v/>
      </c>
      <c r="BG37" s="72">
        <f>IF($A37="","",IF(N37="",0,IF(N37=IF($B37="언어와 매체",자동계산!$D$13,자동계산!$B$13),IF($B37="언어와 매체",자동계산!$E$13,자동계산!$C$13),0)))</f>
        <v/>
      </c>
      <c r="BH37" s="72">
        <f>IF($A37="","",IF(O37="",0,IF(O37=IF($B37="언어와 매체",자동계산!$D$14,자동계산!$B$14),IF($B37="언어와 매체",자동계산!$E$14,자동계산!$C$14),0)))</f>
        <v/>
      </c>
      <c r="BI37" s="72">
        <f>IF($A37="","",IF(P37="",0,IF(P37=IF($B37="언어와 매체",자동계산!$D$15,자동계산!$B$15),IF($B37="언어와 매체",자동계산!$E$15,자동계산!$C$15),0)))</f>
        <v/>
      </c>
      <c r="BJ37" s="72">
        <f>IF($A37="","",IF(Q37="",0,IF(Q37=IF($B37="언어와 매체",자동계산!$D$16,자동계산!$B$16),IF($B37="언어와 매체",자동계산!$E$16,자동계산!$C$16),0)))</f>
        <v/>
      </c>
      <c r="BK37" s="72">
        <f>IF($A37="","",IF(R37="",0,IF(R37=IF($B37="언어와 매체",자동계산!$D$17,자동계산!$B$17),IF($B37="언어와 매체",자동계산!$E$17,자동계산!$C$17),0)))</f>
        <v/>
      </c>
      <c r="BL37" s="72">
        <f>IF($A37="","",IF(S37="",0,IF(S37=IF($B37="언어와 매체",자동계산!$D$18,자동계산!$B$18),IF($B37="언어와 매체",자동계산!$E$18,자동계산!$C$18),0)))</f>
        <v/>
      </c>
      <c r="BM37" s="72">
        <f>IF($A37="","",IF(T37="",0,IF(T37=IF($B37="언어와 매체",자동계산!$D$19,자동계산!$B$19),IF($B37="언어와 매체",자동계산!$E$19,자동계산!$C$19),0)))</f>
        <v/>
      </c>
      <c r="BN37" s="72">
        <f>IF($A37="","",IF(U37="",0,IF(U37=IF($B37="언어와 매체",자동계산!$D$20,자동계산!$B$20),IF($B37="언어와 매체",자동계산!$E$20,자동계산!$C$20),0)))</f>
        <v/>
      </c>
      <c r="BO37" s="72">
        <f>IF($A37="","",IF(V37="",0,IF(V37=IF($B37="언어와 매체",자동계산!$D$21,자동계산!$B$21),IF($B37="언어와 매체",자동계산!$E$21,자동계산!$C$21),0)))</f>
        <v/>
      </c>
      <c r="BP37" s="72">
        <f>IF($A37="","",IF(W37="",0,IF(W37=IF($B37="언어와 매체",자동계산!$D$22,자동계산!$B$22),IF($B37="언어와 매체",자동계산!$E$22,자동계산!$C$22),0)))</f>
        <v/>
      </c>
      <c r="BQ37" s="72">
        <f>IF($A37="","",IF(X37="",0,IF(X37=IF($B37="언어와 매체",자동계산!$D$23,자동계산!$B$23),IF($B37="언어와 매체",자동계산!$E$23,자동계산!$C$23),0)))</f>
        <v/>
      </c>
      <c r="BR37" s="72">
        <f>IF($A37="","",IF(Y37="",0,IF(Y37=IF($B37="언어와 매체",자동계산!$D$24,자동계산!$B$24),IF($B37="언어와 매체",자동계산!$E$24,자동계산!$C$24),0)))</f>
        <v/>
      </c>
      <c r="BS37" s="72">
        <f>IF($A37="","",IF(Z37="",0,IF(Z37=IF($B37="언어와 매체",자동계산!$D$25,자동계산!$B$25),IF($B37="언어와 매체",자동계산!$E$25,자동계산!$C$25),0)))</f>
        <v/>
      </c>
      <c r="BT37" s="72">
        <f>IF($A37="","",IF(AA37="",0,IF(AA37=IF($B37="언어와 매체",자동계산!$D$26,자동계산!$B$26),IF($B37="언어와 매체",자동계산!$E$26,자동계산!$C$26),0)))</f>
        <v/>
      </c>
      <c r="BU37" s="72">
        <f>IF($A37="","",IF(AB37="",0,IF(AB37=IF($B37="언어와 매체",자동계산!$D$27,자동계산!$B$27),IF($B37="언어와 매체",자동계산!$E$27,자동계산!$C$27),0)))</f>
        <v/>
      </c>
      <c r="BV37" s="72">
        <f>IF($A37="","",IF(AC37="",0,IF(AC37=IF($B37="언어와 매체",자동계산!$D$28,자동계산!$B$28),IF($B37="언어와 매체",자동계산!$E$28,자동계산!$C$28),0)))</f>
        <v/>
      </c>
      <c r="BW37" s="72">
        <f>IF($A37="","",IF(AD37="",0,IF(AD37=IF($B37="언어와 매체",자동계산!$D$29,자동계산!$B$29),IF($B37="언어와 매체",자동계산!$E$29,자동계산!$C$29),0)))</f>
        <v/>
      </c>
      <c r="BX37" s="72">
        <f>IF($A37="","",IF(AE37="",0,IF(AE37=IF($B37="언어와 매체",자동계산!$D$30,자동계산!$B$30),IF($B37="언어와 매체",자동계산!$E$30,자동계산!$C$30),0)))</f>
        <v/>
      </c>
      <c r="BY37" s="72">
        <f>IF($A37="","",IF(AF37="",0,IF(AF37=IF($B37="언어와 매체",자동계산!$D$31,자동계산!$B$31),IF($B37="언어와 매체",자동계산!$E$31,자동계산!$C$31),0)))</f>
        <v/>
      </c>
      <c r="BZ37" s="72">
        <f>IF($A37="","",IF(AG37="",0,IF(AG37=IF($B37="언어와 매체",자동계산!$D$32,자동계산!$B$32),IF($B37="언어와 매체",자동계산!$E$32,자동계산!$C$32),0)))</f>
        <v/>
      </c>
      <c r="CA37" s="72">
        <f>IF($A37="","",IF(AH37="",0,IF(AH37=IF($B37="언어와 매체",자동계산!$D$33,자동계산!$B$33),IF($B37="언어와 매체",자동계산!$E$33,자동계산!$C$33),0)))</f>
        <v/>
      </c>
      <c r="CB37" s="72">
        <f>IF($A37="","",IF(AI37="",0,IF(AI37=IF($B37="언어와 매체",자동계산!$D$34,자동계산!$B$34),IF($B37="언어와 매체",자동계산!$E$34,자동계산!$C$34),0)))</f>
        <v/>
      </c>
      <c r="CC37" s="72">
        <f>IF($A37="","",IF(AJ37="",0,IF(AJ37=IF($B37="언어와 매체",자동계산!$D$35,자동계산!$B$35),IF($B37="언어와 매체",자동계산!$E$35,자동계산!$C$35),0)))</f>
        <v/>
      </c>
      <c r="CD37" s="72">
        <f>IF($A37="","",IF(AK37="",0,IF(AK37=IF($B37="언어와 매체",자동계산!$D$36,자동계산!$B$36),IF($B37="언어와 매체",자동계산!$E$36,자동계산!$C$36),0)))</f>
        <v/>
      </c>
      <c r="CE37" s="72">
        <f>IF($A37="","",IF(AL37="",0,IF(AL37=IF($B37="언어와 매체",자동계산!$D$37,자동계산!$B$37),IF($B37="언어와 매체",자동계산!$E$37,자동계산!$C$37),0)))</f>
        <v/>
      </c>
      <c r="CF37" s="72">
        <f>IF($A37="","",IF(AM37="",0,IF(AM37=IF($B37="언어와 매체",자동계산!$D$38,자동계산!$B$38),IF($B37="언어와 매체",자동계산!$E$38,자동계산!$C$38),0)))</f>
        <v/>
      </c>
      <c r="CG37" s="72">
        <f>IF($A37="","",IF(AN37="",0,IF(AN37=IF($B37="언어와 매체",자동계산!$D$39,자동계산!$B$39),IF($B37="언어와 매체",자동계산!$E$39,자동계산!$C$39),0)))</f>
        <v/>
      </c>
      <c r="CH37" s="72">
        <f>IF($A37="","",IF(AO37="",0,IF(AO37=IF($B37="언어와 매체",자동계산!$D$40,자동계산!$B$40),IF($B37="언어와 매체",자동계산!$E$40,자동계산!$C$40),0)))</f>
        <v/>
      </c>
      <c r="CI37" s="72">
        <f>IF($A37="","",IF(AP37="",0,IF(AP37=IF($B37="언어와 매체",자동계산!$D$41,자동계산!$B$41),IF($B37="언어와 매체",자동계산!$E$41,자동계산!$C$41),0)))</f>
        <v/>
      </c>
      <c r="CJ37" s="72">
        <f>IF($A37="","",IF(AQ37="",0,IF(AQ37=IF($B37="언어와 매체",자동계산!$D$42,자동계산!$B$42),IF($B37="언어와 매체",자동계산!$E$42,자동계산!$C$42),0)))</f>
        <v/>
      </c>
      <c r="CK37" s="72">
        <f>IF($A37="","",IF(AR37="",0,IF(AR37=IF($B37="언어와 매체",자동계산!$D$43,자동계산!$B$43),IF($B37="언어와 매체",자동계산!$E$43,자동계산!$C$43),0)))</f>
        <v/>
      </c>
      <c r="CL37" s="72">
        <f>IF($A37="","",IF(AS37="",0,IF(AS37=IF($B37="언어와 매체",자동계산!$D$44,자동계산!$B$44),IF($B37="언어와 매체",자동계산!$E$44,자동계산!$C$44),0)))</f>
        <v/>
      </c>
      <c r="CM37" s="72">
        <f>IF($A37="","",IF(AT37="",0,IF(AT37=IF($B37="언어와 매체",자동계산!$D$45,자동계산!$B$45),IF($B37="언어와 매체",자동계산!$E$45,자동계산!$C$45),0)))</f>
        <v/>
      </c>
      <c r="CN37" s="72">
        <f>IF($A37="","",IF(AU37="",0,IF(AU37=IF($B37="언어와 매체",자동계산!$D$46,자동계산!$B$46),IF($B37="언어와 매체",자동계산!$E$46,자동계산!$C$46),0)))</f>
        <v/>
      </c>
      <c r="CO37" s="72">
        <f>IF($A37="","",IF(AV37="",0,IF(AV37=IF($B37="언어와 매체",자동계산!$D$47,자동계산!$B$47),IF($B37="언어와 매체",자동계산!$E$47,자동계산!$C$47),0)))</f>
        <v/>
      </c>
      <c r="CP37" s="72">
        <f>IF($A37="","",IF(AW37="",0,IF(AW37=IF($B37="언어와 매체",자동계산!$D$48,자동계산!$B$48),IF($B37="언어와 매체",자동계산!$E$48,자동계산!$C$48),0)))</f>
        <v/>
      </c>
    </row>
    <row r="38">
      <c r="A38" s="70">
        <f>IF(답안입력!A38="","",답안입력!A38)</f>
        <v/>
      </c>
      <c r="B38" s="70">
        <f>IF($A38="","",답안입력!C38)</f>
        <v/>
      </c>
      <c r="C38" s="71">
        <f>IF($A38="","",SUM(AX38:CP38))</f>
        <v/>
      </c>
      <c r="D38" s="70">
        <f>IF($A38="","",IF($C38&gt;=IF($B38="언어와 매체",회차설정!$B$9,회차설정!$B$8),"1등급",IF($C38&gt;=IF($B38="언어와 매체",회차설정!$C$9,회차설정!$C$8),"2등급",IF($C38&gt;=IF($B38="언어와 매체",회차설정!$D$9,회차설정!$D$8),"3등급",IF($C38&gt;=IF($B38="언어와 매체",회차설정!$E$9,회차설정!$E$8),"4등급","등급 외")))))</f>
        <v/>
      </c>
      <c r="E38" s="72">
        <f>IF($A38="","",IF(LEN(답안입력!$D38)&gt;=1,VALUE(MID(답안입력!$D38,1,1)),IF(답안입력!E38="","",답안입력!E38)))</f>
        <v/>
      </c>
      <c r="F38" s="72">
        <f>IF($A38="","",IF(LEN(답안입력!$D38)&gt;=2,VALUE(MID(답안입력!$D38,2,1)),IF(답안입력!F38="","",답안입력!F38)))</f>
        <v/>
      </c>
      <c r="G38" s="72">
        <f>IF($A38="","",IF(LEN(답안입력!$D38)&gt;=3,VALUE(MID(답안입력!$D38,3,1)),IF(답안입력!G38="","",답안입력!G38)))</f>
        <v/>
      </c>
      <c r="H38" s="72">
        <f>IF($A38="","",IF(LEN(답안입력!$D38)&gt;=4,VALUE(MID(답안입력!$D38,4,1)),IF(답안입력!H38="","",답안입력!H38)))</f>
        <v/>
      </c>
      <c r="I38" s="72">
        <f>IF($A38="","",IF(LEN(답안입력!$D38)&gt;=5,VALUE(MID(답안입력!$D38,5,1)),IF(답안입력!I38="","",답안입력!I38)))</f>
        <v/>
      </c>
      <c r="J38" s="72">
        <f>IF($A38="","",IF(LEN(답안입력!$D38)&gt;=6,VALUE(MID(답안입력!$D38,6,1)),IF(답안입력!J38="","",답안입력!J38)))</f>
        <v/>
      </c>
      <c r="K38" s="72">
        <f>IF($A38="","",IF(LEN(답안입력!$D38)&gt;=7,VALUE(MID(답안입력!$D38,7,1)),IF(답안입력!K38="","",답안입력!K38)))</f>
        <v/>
      </c>
      <c r="L38" s="72">
        <f>IF($A38="","",IF(LEN(답안입력!$D38)&gt;=8,VALUE(MID(답안입력!$D38,8,1)),IF(답안입력!L38="","",답안입력!L38)))</f>
        <v/>
      </c>
      <c r="M38" s="72">
        <f>IF($A38="","",IF(LEN(답안입력!$D38)&gt;=9,VALUE(MID(답안입력!$D38,9,1)),IF(답안입력!M38="","",답안입력!M38)))</f>
        <v/>
      </c>
      <c r="N38" s="72">
        <f>IF($A38="","",IF(LEN(답안입력!$D38)&gt;=10,VALUE(MID(답안입력!$D38,10,1)),IF(답안입력!N38="","",답안입력!N38)))</f>
        <v/>
      </c>
      <c r="O38" s="72">
        <f>IF($A38="","",IF(LEN(답안입력!$D38)&gt;=11,VALUE(MID(답안입력!$D38,11,1)),IF(답안입력!O38="","",답안입력!O38)))</f>
        <v/>
      </c>
      <c r="P38" s="72">
        <f>IF($A38="","",IF(LEN(답안입력!$D38)&gt;=12,VALUE(MID(답안입력!$D38,12,1)),IF(답안입력!P38="","",답안입력!P38)))</f>
        <v/>
      </c>
      <c r="Q38" s="72">
        <f>IF($A38="","",IF(LEN(답안입력!$D38)&gt;=13,VALUE(MID(답안입력!$D38,13,1)),IF(답안입력!Q38="","",답안입력!Q38)))</f>
        <v/>
      </c>
      <c r="R38" s="72">
        <f>IF($A38="","",IF(LEN(답안입력!$D38)&gt;=14,VALUE(MID(답안입력!$D38,14,1)),IF(답안입력!R38="","",답안입력!R38)))</f>
        <v/>
      </c>
      <c r="S38" s="72">
        <f>IF($A38="","",IF(LEN(답안입력!$D38)&gt;=15,VALUE(MID(답안입력!$D38,15,1)),IF(답안입력!S38="","",답안입력!S38)))</f>
        <v/>
      </c>
      <c r="T38" s="72">
        <f>IF($A38="","",IF(LEN(답안입력!$D38)&gt;=16,VALUE(MID(답안입력!$D38,16,1)),IF(답안입력!T38="","",답안입력!T38)))</f>
        <v/>
      </c>
      <c r="U38" s="72">
        <f>IF($A38="","",IF(LEN(답안입력!$D38)&gt;=17,VALUE(MID(답안입력!$D38,17,1)),IF(답안입력!U38="","",답안입력!U38)))</f>
        <v/>
      </c>
      <c r="V38" s="72">
        <f>IF($A38="","",IF(LEN(답안입력!$D38)&gt;=18,VALUE(MID(답안입력!$D38,18,1)),IF(답안입력!V38="","",답안입력!V38)))</f>
        <v/>
      </c>
      <c r="W38" s="72">
        <f>IF($A38="","",IF(LEN(답안입력!$D38)&gt;=19,VALUE(MID(답안입력!$D38,19,1)),IF(답안입력!W38="","",답안입력!W38)))</f>
        <v/>
      </c>
      <c r="X38" s="72">
        <f>IF($A38="","",IF(LEN(답안입력!$D38)&gt;=20,VALUE(MID(답안입력!$D38,20,1)),IF(답안입력!X38="","",답안입력!X38)))</f>
        <v/>
      </c>
      <c r="Y38" s="72">
        <f>IF($A38="","",IF(LEN(답안입력!$D38)&gt;=21,VALUE(MID(답안입력!$D38,21,1)),IF(답안입력!Y38="","",답안입력!Y38)))</f>
        <v/>
      </c>
      <c r="Z38" s="72">
        <f>IF($A38="","",IF(LEN(답안입력!$D38)&gt;=22,VALUE(MID(답안입력!$D38,22,1)),IF(답안입력!Z38="","",답안입력!Z38)))</f>
        <v/>
      </c>
      <c r="AA38" s="72">
        <f>IF($A38="","",IF(LEN(답안입력!$D38)&gt;=23,VALUE(MID(답안입력!$D38,23,1)),IF(답안입력!AA38="","",답안입력!AA38)))</f>
        <v/>
      </c>
      <c r="AB38" s="72">
        <f>IF($A38="","",IF(LEN(답안입력!$D38)&gt;=24,VALUE(MID(답안입력!$D38,24,1)),IF(답안입력!AB38="","",답안입력!AB38)))</f>
        <v/>
      </c>
      <c r="AC38" s="72">
        <f>IF($A38="","",IF(LEN(답안입력!$D38)&gt;=25,VALUE(MID(답안입력!$D38,25,1)),IF(답안입력!AC38="","",답안입력!AC38)))</f>
        <v/>
      </c>
      <c r="AD38" s="72">
        <f>IF($A38="","",IF(LEN(답안입력!$D38)&gt;=26,VALUE(MID(답안입력!$D38,26,1)),IF(답안입력!AD38="","",답안입력!AD38)))</f>
        <v/>
      </c>
      <c r="AE38" s="72">
        <f>IF($A38="","",IF(LEN(답안입력!$D38)&gt;=27,VALUE(MID(답안입력!$D38,27,1)),IF(답안입력!AE38="","",답안입력!AE38)))</f>
        <v/>
      </c>
      <c r="AF38" s="72">
        <f>IF($A38="","",IF(LEN(답안입력!$D38)&gt;=28,VALUE(MID(답안입력!$D38,28,1)),IF(답안입력!AF38="","",답안입력!AF38)))</f>
        <v/>
      </c>
      <c r="AG38" s="72">
        <f>IF($A38="","",IF(LEN(답안입력!$D38)&gt;=29,VALUE(MID(답안입력!$D38,29,1)),IF(답안입력!AG38="","",답안입력!AG38)))</f>
        <v/>
      </c>
      <c r="AH38" s="72">
        <f>IF($A38="","",IF(LEN(답안입력!$D38)&gt;=30,VALUE(MID(답안입력!$D38,30,1)),IF(답안입력!AH38="","",답안입력!AH38)))</f>
        <v/>
      </c>
      <c r="AI38" s="72">
        <f>IF($A38="","",IF(LEN(답안입력!$D38)&gt;=31,VALUE(MID(답안입력!$D38,31,1)),IF(답안입력!AI38="","",답안입력!AI38)))</f>
        <v/>
      </c>
      <c r="AJ38" s="72">
        <f>IF($A38="","",IF(LEN(답안입력!$D38)&gt;=32,VALUE(MID(답안입력!$D38,32,1)),IF(답안입력!AJ38="","",답안입력!AJ38)))</f>
        <v/>
      </c>
      <c r="AK38" s="72">
        <f>IF($A38="","",IF(LEN(답안입력!$D38)&gt;=33,VALUE(MID(답안입력!$D38,33,1)),IF(답안입력!AK38="","",답안입력!AK38)))</f>
        <v/>
      </c>
      <c r="AL38" s="72">
        <f>IF($A38="","",IF(LEN(답안입력!$D38)&gt;=34,VALUE(MID(답안입력!$D38,34,1)),IF(답안입력!AL38="","",답안입력!AL38)))</f>
        <v/>
      </c>
      <c r="AM38" s="72">
        <f>IF($A38="","",IF(LEN(답안입력!$D38)&gt;=35,VALUE(MID(답안입력!$D38,35,1)),IF(답안입력!AM38="","",답안입력!AM38)))</f>
        <v/>
      </c>
      <c r="AN38" s="72">
        <f>IF($A38="","",IF(LEN(답안입력!$D38)&gt;=36,VALUE(MID(답안입력!$D38,36,1)),IF(답안입력!AN38="","",답안입력!AN38)))</f>
        <v/>
      </c>
      <c r="AO38" s="72">
        <f>IF($A38="","",IF(LEN(답안입력!$D38)&gt;=37,VALUE(MID(답안입력!$D38,37,1)),IF(답안입력!AO38="","",답안입력!AO38)))</f>
        <v/>
      </c>
      <c r="AP38" s="72">
        <f>IF($A38="","",IF(LEN(답안입력!$D38)&gt;=38,VALUE(MID(답안입력!$D38,38,1)),IF(답안입력!AP38="","",답안입력!AP38)))</f>
        <v/>
      </c>
      <c r="AQ38" s="72">
        <f>IF($A38="","",IF(LEN(답안입력!$D38)&gt;=39,VALUE(MID(답안입력!$D38,39,1)),IF(답안입력!AQ38="","",답안입력!AQ38)))</f>
        <v/>
      </c>
      <c r="AR38" s="72">
        <f>IF($A38="","",IF(LEN(답안입력!$D38)&gt;=40,VALUE(MID(답안입력!$D38,40,1)),IF(답안입력!AR38="","",답안입력!AR38)))</f>
        <v/>
      </c>
      <c r="AS38" s="72">
        <f>IF($A38="","",IF(LEN(답안입력!$D38)&gt;=41,VALUE(MID(답안입력!$D38,41,1)),IF(답안입력!AS38="","",답안입력!AS38)))</f>
        <v/>
      </c>
      <c r="AT38" s="72">
        <f>IF($A38="","",IF(LEN(답안입력!$D38)&gt;=42,VALUE(MID(답안입력!$D38,42,1)),IF(답안입력!AT38="","",답안입력!AT38)))</f>
        <v/>
      </c>
      <c r="AU38" s="72">
        <f>IF($A38="","",IF(LEN(답안입력!$D38)&gt;=43,VALUE(MID(답안입력!$D38,43,1)),IF(답안입력!AU38="","",답안입력!AU38)))</f>
        <v/>
      </c>
      <c r="AV38" s="72">
        <f>IF($A38="","",IF(LEN(답안입력!$D38)&gt;=44,VALUE(MID(답안입력!$D38,44,1)),IF(답안입력!AV38="","",답안입력!AV38)))</f>
        <v/>
      </c>
      <c r="AW38" s="72">
        <f>IF($A38="","",IF(LEN(답안입력!$D38)&gt;=45,VALUE(MID(답안입력!$D38,45,1)),IF(답안입력!AW38="","",답안입력!AW38)))</f>
        <v/>
      </c>
      <c r="AX38" s="72">
        <f>IF($A38="","",IF(E38="",0,IF(E38=IF($B38="언어와 매체",자동계산!$D$4,자동계산!$B$4),IF($B38="언어와 매체",자동계산!$E$4,자동계산!$C$4),0)))</f>
        <v/>
      </c>
      <c r="AY38" s="72">
        <f>IF($A38="","",IF(F38="",0,IF(F38=IF($B38="언어와 매체",자동계산!$D$5,자동계산!$B$5),IF($B38="언어와 매체",자동계산!$E$5,자동계산!$C$5),0)))</f>
        <v/>
      </c>
      <c r="AZ38" s="72">
        <f>IF($A38="","",IF(G38="",0,IF(G38=IF($B38="언어와 매체",자동계산!$D$6,자동계산!$B$6),IF($B38="언어와 매체",자동계산!$E$6,자동계산!$C$6),0)))</f>
        <v/>
      </c>
      <c r="BA38" s="72">
        <f>IF($A38="","",IF(H38="",0,IF(H38=IF($B38="언어와 매체",자동계산!$D$7,자동계산!$B$7),IF($B38="언어와 매체",자동계산!$E$7,자동계산!$C$7),0)))</f>
        <v/>
      </c>
      <c r="BB38" s="72">
        <f>IF($A38="","",IF(I38="",0,IF(I38=IF($B38="언어와 매체",자동계산!$D$8,자동계산!$B$8),IF($B38="언어와 매체",자동계산!$E$8,자동계산!$C$8),0)))</f>
        <v/>
      </c>
      <c r="BC38" s="72">
        <f>IF($A38="","",IF(J38="",0,IF(J38=IF($B38="언어와 매체",자동계산!$D$9,자동계산!$B$9),IF($B38="언어와 매체",자동계산!$E$9,자동계산!$C$9),0)))</f>
        <v/>
      </c>
      <c r="BD38" s="72">
        <f>IF($A38="","",IF(K38="",0,IF(K38=IF($B38="언어와 매체",자동계산!$D$10,자동계산!$B$10),IF($B38="언어와 매체",자동계산!$E$10,자동계산!$C$10),0)))</f>
        <v/>
      </c>
      <c r="BE38" s="72">
        <f>IF($A38="","",IF(L38="",0,IF(L38=IF($B38="언어와 매체",자동계산!$D$11,자동계산!$B$11),IF($B38="언어와 매체",자동계산!$E$11,자동계산!$C$11),0)))</f>
        <v/>
      </c>
      <c r="BF38" s="72">
        <f>IF($A38="","",IF(M38="",0,IF(M38=IF($B38="언어와 매체",자동계산!$D$12,자동계산!$B$12),IF($B38="언어와 매체",자동계산!$E$12,자동계산!$C$12),0)))</f>
        <v/>
      </c>
      <c r="BG38" s="72">
        <f>IF($A38="","",IF(N38="",0,IF(N38=IF($B38="언어와 매체",자동계산!$D$13,자동계산!$B$13),IF($B38="언어와 매체",자동계산!$E$13,자동계산!$C$13),0)))</f>
        <v/>
      </c>
      <c r="BH38" s="72">
        <f>IF($A38="","",IF(O38="",0,IF(O38=IF($B38="언어와 매체",자동계산!$D$14,자동계산!$B$14),IF($B38="언어와 매체",자동계산!$E$14,자동계산!$C$14),0)))</f>
        <v/>
      </c>
      <c r="BI38" s="72">
        <f>IF($A38="","",IF(P38="",0,IF(P38=IF($B38="언어와 매체",자동계산!$D$15,자동계산!$B$15),IF($B38="언어와 매체",자동계산!$E$15,자동계산!$C$15),0)))</f>
        <v/>
      </c>
      <c r="BJ38" s="72">
        <f>IF($A38="","",IF(Q38="",0,IF(Q38=IF($B38="언어와 매체",자동계산!$D$16,자동계산!$B$16),IF($B38="언어와 매체",자동계산!$E$16,자동계산!$C$16),0)))</f>
        <v/>
      </c>
      <c r="BK38" s="72">
        <f>IF($A38="","",IF(R38="",0,IF(R38=IF($B38="언어와 매체",자동계산!$D$17,자동계산!$B$17),IF($B38="언어와 매체",자동계산!$E$17,자동계산!$C$17),0)))</f>
        <v/>
      </c>
      <c r="BL38" s="72">
        <f>IF($A38="","",IF(S38="",0,IF(S38=IF($B38="언어와 매체",자동계산!$D$18,자동계산!$B$18),IF($B38="언어와 매체",자동계산!$E$18,자동계산!$C$18),0)))</f>
        <v/>
      </c>
      <c r="BM38" s="72">
        <f>IF($A38="","",IF(T38="",0,IF(T38=IF($B38="언어와 매체",자동계산!$D$19,자동계산!$B$19),IF($B38="언어와 매체",자동계산!$E$19,자동계산!$C$19),0)))</f>
        <v/>
      </c>
      <c r="BN38" s="72">
        <f>IF($A38="","",IF(U38="",0,IF(U38=IF($B38="언어와 매체",자동계산!$D$20,자동계산!$B$20),IF($B38="언어와 매체",자동계산!$E$20,자동계산!$C$20),0)))</f>
        <v/>
      </c>
      <c r="BO38" s="72">
        <f>IF($A38="","",IF(V38="",0,IF(V38=IF($B38="언어와 매체",자동계산!$D$21,자동계산!$B$21),IF($B38="언어와 매체",자동계산!$E$21,자동계산!$C$21),0)))</f>
        <v/>
      </c>
      <c r="BP38" s="72">
        <f>IF($A38="","",IF(W38="",0,IF(W38=IF($B38="언어와 매체",자동계산!$D$22,자동계산!$B$22),IF($B38="언어와 매체",자동계산!$E$22,자동계산!$C$22),0)))</f>
        <v/>
      </c>
      <c r="BQ38" s="72">
        <f>IF($A38="","",IF(X38="",0,IF(X38=IF($B38="언어와 매체",자동계산!$D$23,자동계산!$B$23),IF($B38="언어와 매체",자동계산!$E$23,자동계산!$C$23),0)))</f>
        <v/>
      </c>
      <c r="BR38" s="72">
        <f>IF($A38="","",IF(Y38="",0,IF(Y38=IF($B38="언어와 매체",자동계산!$D$24,자동계산!$B$24),IF($B38="언어와 매체",자동계산!$E$24,자동계산!$C$24),0)))</f>
        <v/>
      </c>
      <c r="BS38" s="72">
        <f>IF($A38="","",IF(Z38="",0,IF(Z38=IF($B38="언어와 매체",자동계산!$D$25,자동계산!$B$25),IF($B38="언어와 매체",자동계산!$E$25,자동계산!$C$25),0)))</f>
        <v/>
      </c>
      <c r="BT38" s="72">
        <f>IF($A38="","",IF(AA38="",0,IF(AA38=IF($B38="언어와 매체",자동계산!$D$26,자동계산!$B$26),IF($B38="언어와 매체",자동계산!$E$26,자동계산!$C$26),0)))</f>
        <v/>
      </c>
      <c r="BU38" s="72">
        <f>IF($A38="","",IF(AB38="",0,IF(AB38=IF($B38="언어와 매체",자동계산!$D$27,자동계산!$B$27),IF($B38="언어와 매체",자동계산!$E$27,자동계산!$C$27),0)))</f>
        <v/>
      </c>
      <c r="BV38" s="72">
        <f>IF($A38="","",IF(AC38="",0,IF(AC38=IF($B38="언어와 매체",자동계산!$D$28,자동계산!$B$28),IF($B38="언어와 매체",자동계산!$E$28,자동계산!$C$28),0)))</f>
        <v/>
      </c>
      <c r="BW38" s="72">
        <f>IF($A38="","",IF(AD38="",0,IF(AD38=IF($B38="언어와 매체",자동계산!$D$29,자동계산!$B$29),IF($B38="언어와 매체",자동계산!$E$29,자동계산!$C$29),0)))</f>
        <v/>
      </c>
      <c r="BX38" s="72">
        <f>IF($A38="","",IF(AE38="",0,IF(AE38=IF($B38="언어와 매체",자동계산!$D$30,자동계산!$B$30),IF($B38="언어와 매체",자동계산!$E$30,자동계산!$C$30),0)))</f>
        <v/>
      </c>
      <c r="BY38" s="72">
        <f>IF($A38="","",IF(AF38="",0,IF(AF38=IF($B38="언어와 매체",자동계산!$D$31,자동계산!$B$31),IF($B38="언어와 매체",자동계산!$E$31,자동계산!$C$31),0)))</f>
        <v/>
      </c>
      <c r="BZ38" s="72">
        <f>IF($A38="","",IF(AG38="",0,IF(AG38=IF($B38="언어와 매체",자동계산!$D$32,자동계산!$B$32),IF($B38="언어와 매체",자동계산!$E$32,자동계산!$C$32),0)))</f>
        <v/>
      </c>
      <c r="CA38" s="72">
        <f>IF($A38="","",IF(AH38="",0,IF(AH38=IF($B38="언어와 매체",자동계산!$D$33,자동계산!$B$33),IF($B38="언어와 매체",자동계산!$E$33,자동계산!$C$33),0)))</f>
        <v/>
      </c>
      <c r="CB38" s="72">
        <f>IF($A38="","",IF(AI38="",0,IF(AI38=IF($B38="언어와 매체",자동계산!$D$34,자동계산!$B$34),IF($B38="언어와 매체",자동계산!$E$34,자동계산!$C$34),0)))</f>
        <v/>
      </c>
      <c r="CC38" s="72">
        <f>IF($A38="","",IF(AJ38="",0,IF(AJ38=IF($B38="언어와 매체",자동계산!$D$35,자동계산!$B$35),IF($B38="언어와 매체",자동계산!$E$35,자동계산!$C$35),0)))</f>
        <v/>
      </c>
      <c r="CD38" s="72">
        <f>IF($A38="","",IF(AK38="",0,IF(AK38=IF($B38="언어와 매체",자동계산!$D$36,자동계산!$B$36),IF($B38="언어와 매체",자동계산!$E$36,자동계산!$C$36),0)))</f>
        <v/>
      </c>
      <c r="CE38" s="72">
        <f>IF($A38="","",IF(AL38="",0,IF(AL38=IF($B38="언어와 매체",자동계산!$D$37,자동계산!$B$37),IF($B38="언어와 매체",자동계산!$E$37,자동계산!$C$37),0)))</f>
        <v/>
      </c>
      <c r="CF38" s="72">
        <f>IF($A38="","",IF(AM38="",0,IF(AM38=IF($B38="언어와 매체",자동계산!$D$38,자동계산!$B$38),IF($B38="언어와 매체",자동계산!$E$38,자동계산!$C$38),0)))</f>
        <v/>
      </c>
      <c r="CG38" s="72">
        <f>IF($A38="","",IF(AN38="",0,IF(AN38=IF($B38="언어와 매체",자동계산!$D$39,자동계산!$B$39),IF($B38="언어와 매체",자동계산!$E$39,자동계산!$C$39),0)))</f>
        <v/>
      </c>
      <c r="CH38" s="72">
        <f>IF($A38="","",IF(AO38="",0,IF(AO38=IF($B38="언어와 매체",자동계산!$D$40,자동계산!$B$40),IF($B38="언어와 매체",자동계산!$E$40,자동계산!$C$40),0)))</f>
        <v/>
      </c>
      <c r="CI38" s="72">
        <f>IF($A38="","",IF(AP38="",0,IF(AP38=IF($B38="언어와 매체",자동계산!$D$41,자동계산!$B$41),IF($B38="언어와 매체",자동계산!$E$41,자동계산!$C$41),0)))</f>
        <v/>
      </c>
      <c r="CJ38" s="72">
        <f>IF($A38="","",IF(AQ38="",0,IF(AQ38=IF($B38="언어와 매체",자동계산!$D$42,자동계산!$B$42),IF($B38="언어와 매체",자동계산!$E$42,자동계산!$C$42),0)))</f>
        <v/>
      </c>
      <c r="CK38" s="72">
        <f>IF($A38="","",IF(AR38="",0,IF(AR38=IF($B38="언어와 매체",자동계산!$D$43,자동계산!$B$43),IF($B38="언어와 매체",자동계산!$E$43,자동계산!$C$43),0)))</f>
        <v/>
      </c>
      <c r="CL38" s="72">
        <f>IF($A38="","",IF(AS38="",0,IF(AS38=IF($B38="언어와 매체",자동계산!$D$44,자동계산!$B$44),IF($B38="언어와 매체",자동계산!$E$44,자동계산!$C$44),0)))</f>
        <v/>
      </c>
      <c r="CM38" s="72">
        <f>IF($A38="","",IF(AT38="",0,IF(AT38=IF($B38="언어와 매체",자동계산!$D$45,자동계산!$B$45),IF($B38="언어와 매체",자동계산!$E$45,자동계산!$C$45),0)))</f>
        <v/>
      </c>
      <c r="CN38" s="72">
        <f>IF($A38="","",IF(AU38="",0,IF(AU38=IF($B38="언어와 매체",자동계산!$D$46,자동계산!$B$46),IF($B38="언어와 매체",자동계산!$E$46,자동계산!$C$46),0)))</f>
        <v/>
      </c>
      <c r="CO38" s="72">
        <f>IF($A38="","",IF(AV38="",0,IF(AV38=IF($B38="언어와 매체",자동계산!$D$47,자동계산!$B$47),IF($B38="언어와 매체",자동계산!$E$47,자동계산!$C$47),0)))</f>
        <v/>
      </c>
      <c r="CP38" s="72">
        <f>IF($A38="","",IF(AW38="",0,IF(AW38=IF($B38="언어와 매체",자동계산!$D$48,자동계산!$B$48),IF($B38="언어와 매체",자동계산!$E$48,자동계산!$C$48),0)))</f>
        <v/>
      </c>
    </row>
    <row r="39">
      <c r="A39" s="70">
        <f>IF(답안입력!A39="","",답안입력!A39)</f>
        <v/>
      </c>
      <c r="B39" s="70">
        <f>IF($A39="","",답안입력!C39)</f>
        <v/>
      </c>
      <c r="C39" s="71">
        <f>IF($A39="","",SUM(AX39:CP39))</f>
        <v/>
      </c>
      <c r="D39" s="70">
        <f>IF($A39="","",IF($C39&gt;=IF($B39="언어와 매체",회차설정!$B$9,회차설정!$B$8),"1등급",IF($C39&gt;=IF($B39="언어와 매체",회차설정!$C$9,회차설정!$C$8),"2등급",IF($C39&gt;=IF($B39="언어와 매체",회차설정!$D$9,회차설정!$D$8),"3등급",IF($C39&gt;=IF($B39="언어와 매체",회차설정!$E$9,회차설정!$E$8),"4등급","등급 외")))))</f>
        <v/>
      </c>
      <c r="E39" s="72">
        <f>IF($A39="","",IF(LEN(답안입력!$D39)&gt;=1,VALUE(MID(답안입력!$D39,1,1)),IF(답안입력!E39="","",답안입력!E39)))</f>
        <v/>
      </c>
      <c r="F39" s="72">
        <f>IF($A39="","",IF(LEN(답안입력!$D39)&gt;=2,VALUE(MID(답안입력!$D39,2,1)),IF(답안입력!F39="","",답안입력!F39)))</f>
        <v/>
      </c>
      <c r="G39" s="72">
        <f>IF($A39="","",IF(LEN(답안입력!$D39)&gt;=3,VALUE(MID(답안입력!$D39,3,1)),IF(답안입력!G39="","",답안입력!G39)))</f>
        <v/>
      </c>
      <c r="H39" s="72">
        <f>IF($A39="","",IF(LEN(답안입력!$D39)&gt;=4,VALUE(MID(답안입력!$D39,4,1)),IF(답안입력!H39="","",답안입력!H39)))</f>
        <v/>
      </c>
      <c r="I39" s="72">
        <f>IF($A39="","",IF(LEN(답안입력!$D39)&gt;=5,VALUE(MID(답안입력!$D39,5,1)),IF(답안입력!I39="","",답안입력!I39)))</f>
        <v/>
      </c>
      <c r="J39" s="72">
        <f>IF($A39="","",IF(LEN(답안입력!$D39)&gt;=6,VALUE(MID(답안입력!$D39,6,1)),IF(답안입력!J39="","",답안입력!J39)))</f>
        <v/>
      </c>
      <c r="K39" s="72">
        <f>IF($A39="","",IF(LEN(답안입력!$D39)&gt;=7,VALUE(MID(답안입력!$D39,7,1)),IF(답안입력!K39="","",답안입력!K39)))</f>
        <v/>
      </c>
      <c r="L39" s="72">
        <f>IF($A39="","",IF(LEN(답안입력!$D39)&gt;=8,VALUE(MID(답안입력!$D39,8,1)),IF(답안입력!L39="","",답안입력!L39)))</f>
        <v/>
      </c>
      <c r="M39" s="72">
        <f>IF($A39="","",IF(LEN(답안입력!$D39)&gt;=9,VALUE(MID(답안입력!$D39,9,1)),IF(답안입력!M39="","",답안입력!M39)))</f>
        <v/>
      </c>
      <c r="N39" s="72">
        <f>IF($A39="","",IF(LEN(답안입력!$D39)&gt;=10,VALUE(MID(답안입력!$D39,10,1)),IF(답안입력!N39="","",답안입력!N39)))</f>
        <v/>
      </c>
      <c r="O39" s="72">
        <f>IF($A39="","",IF(LEN(답안입력!$D39)&gt;=11,VALUE(MID(답안입력!$D39,11,1)),IF(답안입력!O39="","",답안입력!O39)))</f>
        <v/>
      </c>
      <c r="P39" s="72">
        <f>IF($A39="","",IF(LEN(답안입력!$D39)&gt;=12,VALUE(MID(답안입력!$D39,12,1)),IF(답안입력!P39="","",답안입력!P39)))</f>
        <v/>
      </c>
      <c r="Q39" s="72">
        <f>IF($A39="","",IF(LEN(답안입력!$D39)&gt;=13,VALUE(MID(답안입력!$D39,13,1)),IF(답안입력!Q39="","",답안입력!Q39)))</f>
        <v/>
      </c>
      <c r="R39" s="72">
        <f>IF($A39="","",IF(LEN(답안입력!$D39)&gt;=14,VALUE(MID(답안입력!$D39,14,1)),IF(답안입력!R39="","",답안입력!R39)))</f>
        <v/>
      </c>
      <c r="S39" s="72">
        <f>IF($A39="","",IF(LEN(답안입력!$D39)&gt;=15,VALUE(MID(답안입력!$D39,15,1)),IF(답안입력!S39="","",답안입력!S39)))</f>
        <v/>
      </c>
      <c r="T39" s="72">
        <f>IF($A39="","",IF(LEN(답안입력!$D39)&gt;=16,VALUE(MID(답안입력!$D39,16,1)),IF(답안입력!T39="","",답안입력!T39)))</f>
        <v/>
      </c>
      <c r="U39" s="72">
        <f>IF($A39="","",IF(LEN(답안입력!$D39)&gt;=17,VALUE(MID(답안입력!$D39,17,1)),IF(답안입력!U39="","",답안입력!U39)))</f>
        <v/>
      </c>
      <c r="V39" s="72">
        <f>IF($A39="","",IF(LEN(답안입력!$D39)&gt;=18,VALUE(MID(답안입력!$D39,18,1)),IF(답안입력!V39="","",답안입력!V39)))</f>
        <v/>
      </c>
      <c r="W39" s="72">
        <f>IF($A39="","",IF(LEN(답안입력!$D39)&gt;=19,VALUE(MID(답안입력!$D39,19,1)),IF(답안입력!W39="","",답안입력!W39)))</f>
        <v/>
      </c>
      <c r="X39" s="72">
        <f>IF($A39="","",IF(LEN(답안입력!$D39)&gt;=20,VALUE(MID(답안입력!$D39,20,1)),IF(답안입력!X39="","",답안입력!X39)))</f>
        <v/>
      </c>
      <c r="Y39" s="72">
        <f>IF($A39="","",IF(LEN(답안입력!$D39)&gt;=21,VALUE(MID(답안입력!$D39,21,1)),IF(답안입력!Y39="","",답안입력!Y39)))</f>
        <v/>
      </c>
      <c r="Z39" s="72">
        <f>IF($A39="","",IF(LEN(답안입력!$D39)&gt;=22,VALUE(MID(답안입력!$D39,22,1)),IF(답안입력!Z39="","",답안입력!Z39)))</f>
        <v/>
      </c>
      <c r="AA39" s="72">
        <f>IF($A39="","",IF(LEN(답안입력!$D39)&gt;=23,VALUE(MID(답안입력!$D39,23,1)),IF(답안입력!AA39="","",답안입력!AA39)))</f>
        <v/>
      </c>
      <c r="AB39" s="72">
        <f>IF($A39="","",IF(LEN(답안입력!$D39)&gt;=24,VALUE(MID(답안입력!$D39,24,1)),IF(답안입력!AB39="","",답안입력!AB39)))</f>
        <v/>
      </c>
      <c r="AC39" s="72">
        <f>IF($A39="","",IF(LEN(답안입력!$D39)&gt;=25,VALUE(MID(답안입력!$D39,25,1)),IF(답안입력!AC39="","",답안입력!AC39)))</f>
        <v/>
      </c>
      <c r="AD39" s="72">
        <f>IF($A39="","",IF(LEN(답안입력!$D39)&gt;=26,VALUE(MID(답안입력!$D39,26,1)),IF(답안입력!AD39="","",답안입력!AD39)))</f>
        <v/>
      </c>
      <c r="AE39" s="72">
        <f>IF($A39="","",IF(LEN(답안입력!$D39)&gt;=27,VALUE(MID(답안입력!$D39,27,1)),IF(답안입력!AE39="","",답안입력!AE39)))</f>
        <v/>
      </c>
      <c r="AF39" s="72">
        <f>IF($A39="","",IF(LEN(답안입력!$D39)&gt;=28,VALUE(MID(답안입력!$D39,28,1)),IF(답안입력!AF39="","",답안입력!AF39)))</f>
        <v/>
      </c>
      <c r="AG39" s="72">
        <f>IF($A39="","",IF(LEN(답안입력!$D39)&gt;=29,VALUE(MID(답안입력!$D39,29,1)),IF(답안입력!AG39="","",답안입력!AG39)))</f>
        <v/>
      </c>
      <c r="AH39" s="72">
        <f>IF($A39="","",IF(LEN(답안입력!$D39)&gt;=30,VALUE(MID(답안입력!$D39,30,1)),IF(답안입력!AH39="","",답안입력!AH39)))</f>
        <v/>
      </c>
      <c r="AI39" s="72">
        <f>IF($A39="","",IF(LEN(답안입력!$D39)&gt;=31,VALUE(MID(답안입력!$D39,31,1)),IF(답안입력!AI39="","",답안입력!AI39)))</f>
        <v/>
      </c>
      <c r="AJ39" s="72">
        <f>IF($A39="","",IF(LEN(답안입력!$D39)&gt;=32,VALUE(MID(답안입력!$D39,32,1)),IF(답안입력!AJ39="","",답안입력!AJ39)))</f>
        <v/>
      </c>
      <c r="AK39" s="72">
        <f>IF($A39="","",IF(LEN(답안입력!$D39)&gt;=33,VALUE(MID(답안입력!$D39,33,1)),IF(답안입력!AK39="","",답안입력!AK39)))</f>
        <v/>
      </c>
      <c r="AL39" s="72">
        <f>IF($A39="","",IF(LEN(답안입력!$D39)&gt;=34,VALUE(MID(답안입력!$D39,34,1)),IF(답안입력!AL39="","",답안입력!AL39)))</f>
        <v/>
      </c>
      <c r="AM39" s="72">
        <f>IF($A39="","",IF(LEN(답안입력!$D39)&gt;=35,VALUE(MID(답안입력!$D39,35,1)),IF(답안입력!AM39="","",답안입력!AM39)))</f>
        <v/>
      </c>
      <c r="AN39" s="72">
        <f>IF($A39="","",IF(LEN(답안입력!$D39)&gt;=36,VALUE(MID(답안입력!$D39,36,1)),IF(답안입력!AN39="","",답안입력!AN39)))</f>
        <v/>
      </c>
      <c r="AO39" s="72">
        <f>IF($A39="","",IF(LEN(답안입력!$D39)&gt;=37,VALUE(MID(답안입력!$D39,37,1)),IF(답안입력!AO39="","",답안입력!AO39)))</f>
        <v/>
      </c>
      <c r="AP39" s="72">
        <f>IF($A39="","",IF(LEN(답안입력!$D39)&gt;=38,VALUE(MID(답안입력!$D39,38,1)),IF(답안입력!AP39="","",답안입력!AP39)))</f>
        <v/>
      </c>
      <c r="AQ39" s="72">
        <f>IF($A39="","",IF(LEN(답안입력!$D39)&gt;=39,VALUE(MID(답안입력!$D39,39,1)),IF(답안입력!AQ39="","",답안입력!AQ39)))</f>
        <v/>
      </c>
      <c r="AR39" s="72">
        <f>IF($A39="","",IF(LEN(답안입력!$D39)&gt;=40,VALUE(MID(답안입력!$D39,40,1)),IF(답안입력!AR39="","",답안입력!AR39)))</f>
        <v/>
      </c>
      <c r="AS39" s="72">
        <f>IF($A39="","",IF(LEN(답안입력!$D39)&gt;=41,VALUE(MID(답안입력!$D39,41,1)),IF(답안입력!AS39="","",답안입력!AS39)))</f>
        <v/>
      </c>
      <c r="AT39" s="72">
        <f>IF($A39="","",IF(LEN(답안입력!$D39)&gt;=42,VALUE(MID(답안입력!$D39,42,1)),IF(답안입력!AT39="","",답안입력!AT39)))</f>
        <v/>
      </c>
      <c r="AU39" s="72">
        <f>IF($A39="","",IF(LEN(답안입력!$D39)&gt;=43,VALUE(MID(답안입력!$D39,43,1)),IF(답안입력!AU39="","",답안입력!AU39)))</f>
        <v/>
      </c>
      <c r="AV39" s="72">
        <f>IF($A39="","",IF(LEN(답안입력!$D39)&gt;=44,VALUE(MID(답안입력!$D39,44,1)),IF(답안입력!AV39="","",답안입력!AV39)))</f>
        <v/>
      </c>
      <c r="AW39" s="72">
        <f>IF($A39="","",IF(LEN(답안입력!$D39)&gt;=45,VALUE(MID(답안입력!$D39,45,1)),IF(답안입력!AW39="","",답안입력!AW39)))</f>
        <v/>
      </c>
      <c r="AX39" s="72">
        <f>IF($A39="","",IF(E39="",0,IF(E39=IF($B39="언어와 매체",자동계산!$D$4,자동계산!$B$4),IF($B39="언어와 매체",자동계산!$E$4,자동계산!$C$4),0)))</f>
        <v/>
      </c>
      <c r="AY39" s="72">
        <f>IF($A39="","",IF(F39="",0,IF(F39=IF($B39="언어와 매체",자동계산!$D$5,자동계산!$B$5),IF($B39="언어와 매체",자동계산!$E$5,자동계산!$C$5),0)))</f>
        <v/>
      </c>
      <c r="AZ39" s="72">
        <f>IF($A39="","",IF(G39="",0,IF(G39=IF($B39="언어와 매체",자동계산!$D$6,자동계산!$B$6),IF($B39="언어와 매체",자동계산!$E$6,자동계산!$C$6),0)))</f>
        <v/>
      </c>
      <c r="BA39" s="72">
        <f>IF($A39="","",IF(H39="",0,IF(H39=IF($B39="언어와 매체",자동계산!$D$7,자동계산!$B$7),IF($B39="언어와 매체",자동계산!$E$7,자동계산!$C$7),0)))</f>
        <v/>
      </c>
      <c r="BB39" s="72">
        <f>IF($A39="","",IF(I39="",0,IF(I39=IF($B39="언어와 매체",자동계산!$D$8,자동계산!$B$8),IF($B39="언어와 매체",자동계산!$E$8,자동계산!$C$8),0)))</f>
        <v/>
      </c>
      <c r="BC39" s="72">
        <f>IF($A39="","",IF(J39="",0,IF(J39=IF($B39="언어와 매체",자동계산!$D$9,자동계산!$B$9),IF($B39="언어와 매체",자동계산!$E$9,자동계산!$C$9),0)))</f>
        <v/>
      </c>
      <c r="BD39" s="72">
        <f>IF($A39="","",IF(K39="",0,IF(K39=IF($B39="언어와 매체",자동계산!$D$10,자동계산!$B$10),IF($B39="언어와 매체",자동계산!$E$10,자동계산!$C$10),0)))</f>
        <v/>
      </c>
      <c r="BE39" s="72">
        <f>IF($A39="","",IF(L39="",0,IF(L39=IF($B39="언어와 매체",자동계산!$D$11,자동계산!$B$11),IF($B39="언어와 매체",자동계산!$E$11,자동계산!$C$11),0)))</f>
        <v/>
      </c>
      <c r="BF39" s="72">
        <f>IF($A39="","",IF(M39="",0,IF(M39=IF($B39="언어와 매체",자동계산!$D$12,자동계산!$B$12),IF($B39="언어와 매체",자동계산!$E$12,자동계산!$C$12),0)))</f>
        <v/>
      </c>
      <c r="BG39" s="72">
        <f>IF($A39="","",IF(N39="",0,IF(N39=IF($B39="언어와 매체",자동계산!$D$13,자동계산!$B$13),IF($B39="언어와 매체",자동계산!$E$13,자동계산!$C$13),0)))</f>
        <v/>
      </c>
      <c r="BH39" s="72">
        <f>IF($A39="","",IF(O39="",0,IF(O39=IF($B39="언어와 매체",자동계산!$D$14,자동계산!$B$14),IF($B39="언어와 매체",자동계산!$E$14,자동계산!$C$14),0)))</f>
        <v/>
      </c>
      <c r="BI39" s="72">
        <f>IF($A39="","",IF(P39="",0,IF(P39=IF($B39="언어와 매체",자동계산!$D$15,자동계산!$B$15),IF($B39="언어와 매체",자동계산!$E$15,자동계산!$C$15),0)))</f>
        <v/>
      </c>
      <c r="BJ39" s="72">
        <f>IF($A39="","",IF(Q39="",0,IF(Q39=IF($B39="언어와 매체",자동계산!$D$16,자동계산!$B$16),IF($B39="언어와 매체",자동계산!$E$16,자동계산!$C$16),0)))</f>
        <v/>
      </c>
      <c r="BK39" s="72">
        <f>IF($A39="","",IF(R39="",0,IF(R39=IF($B39="언어와 매체",자동계산!$D$17,자동계산!$B$17),IF($B39="언어와 매체",자동계산!$E$17,자동계산!$C$17),0)))</f>
        <v/>
      </c>
      <c r="BL39" s="72">
        <f>IF($A39="","",IF(S39="",0,IF(S39=IF($B39="언어와 매체",자동계산!$D$18,자동계산!$B$18),IF($B39="언어와 매체",자동계산!$E$18,자동계산!$C$18),0)))</f>
        <v/>
      </c>
      <c r="BM39" s="72">
        <f>IF($A39="","",IF(T39="",0,IF(T39=IF($B39="언어와 매체",자동계산!$D$19,자동계산!$B$19),IF($B39="언어와 매체",자동계산!$E$19,자동계산!$C$19),0)))</f>
        <v/>
      </c>
      <c r="BN39" s="72">
        <f>IF($A39="","",IF(U39="",0,IF(U39=IF($B39="언어와 매체",자동계산!$D$20,자동계산!$B$20),IF($B39="언어와 매체",자동계산!$E$20,자동계산!$C$20),0)))</f>
        <v/>
      </c>
      <c r="BO39" s="72">
        <f>IF($A39="","",IF(V39="",0,IF(V39=IF($B39="언어와 매체",자동계산!$D$21,자동계산!$B$21),IF($B39="언어와 매체",자동계산!$E$21,자동계산!$C$21),0)))</f>
        <v/>
      </c>
      <c r="BP39" s="72">
        <f>IF($A39="","",IF(W39="",0,IF(W39=IF($B39="언어와 매체",자동계산!$D$22,자동계산!$B$22),IF($B39="언어와 매체",자동계산!$E$22,자동계산!$C$22),0)))</f>
        <v/>
      </c>
      <c r="BQ39" s="72">
        <f>IF($A39="","",IF(X39="",0,IF(X39=IF($B39="언어와 매체",자동계산!$D$23,자동계산!$B$23),IF($B39="언어와 매체",자동계산!$E$23,자동계산!$C$23),0)))</f>
        <v/>
      </c>
      <c r="BR39" s="72">
        <f>IF($A39="","",IF(Y39="",0,IF(Y39=IF($B39="언어와 매체",자동계산!$D$24,자동계산!$B$24),IF($B39="언어와 매체",자동계산!$E$24,자동계산!$C$24),0)))</f>
        <v/>
      </c>
      <c r="BS39" s="72">
        <f>IF($A39="","",IF(Z39="",0,IF(Z39=IF($B39="언어와 매체",자동계산!$D$25,자동계산!$B$25),IF($B39="언어와 매체",자동계산!$E$25,자동계산!$C$25),0)))</f>
        <v/>
      </c>
      <c r="BT39" s="72">
        <f>IF($A39="","",IF(AA39="",0,IF(AA39=IF($B39="언어와 매체",자동계산!$D$26,자동계산!$B$26),IF($B39="언어와 매체",자동계산!$E$26,자동계산!$C$26),0)))</f>
        <v/>
      </c>
      <c r="BU39" s="72">
        <f>IF($A39="","",IF(AB39="",0,IF(AB39=IF($B39="언어와 매체",자동계산!$D$27,자동계산!$B$27),IF($B39="언어와 매체",자동계산!$E$27,자동계산!$C$27),0)))</f>
        <v/>
      </c>
      <c r="BV39" s="72">
        <f>IF($A39="","",IF(AC39="",0,IF(AC39=IF($B39="언어와 매체",자동계산!$D$28,자동계산!$B$28),IF($B39="언어와 매체",자동계산!$E$28,자동계산!$C$28),0)))</f>
        <v/>
      </c>
      <c r="BW39" s="72">
        <f>IF($A39="","",IF(AD39="",0,IF(AD39=IF($B39="언어와 매체",자동계산!$D$29,자동계산!$B$29),IF($B39="언어와 매체",자동계산!$E$29,자동계산!$C$29),0)))</f>
        <v/>
      </c>
      <c r="BX39" s="72">
        <f>IF($A39="","",IF(AE39="",0,IF(AE39=IF($B39="언어와 매체",자동계산!$D$30,자동계산!$B$30),IF($B39="언어와 매체",자동계산!$E$30,자동계산!$C$30),0)))</f>
        <v/>
      </c>
      <c r="BY39" s="72">
        <f>IF($A39="","",IF(AF39="",0,IF(AF39=IF($B39="언어와 매체",자동계산!$D$31,자동계산!$B$31),IF($B39="언어와 매체",자동계산!$E$31,자동계산!$C$31),0)))</f>
        <v/>
      </c>
      <c r="BZ39" s="72">
        <f>IF($A39="","",IF(AG39="",0,IF(AG39=IF($B39="언어와 매체",자동계산!$D$32,자동계산!$B$32),IF($B39="언어와 매체",자동계산!$E$32,자동계산!$C$32),0)))</f>
        <v/>
      </c>
      <c r="CA39" s="72">
        <f>IF($A39="","",IF(AH39="",0,IF(AH39=IF($B39="언어와 매체",자동계산!$D$33,자동계산!$B$33),IF($B39="언어와 매체",자동계산!$E$33,자동계산!$C$33),0)))</f>
        <v/>
      </c>
      <c r="CB39" s="72">
        <f>IF($A39="","",IF(AI39="",0,IF(AI39=IF($B39="언어와 매체",자동계산!$D$34,자동계산!$B$34),IF($B39="언어와 매체",자동계산!$E$34,자동계산!$C$34),0)))</f>
        <v/>
      </c>
      <c r="CC39" s="72">
        <f>IF($A39="","",IF(AJ39="",0,IF(AJ39=IF($B39="언어와 매체",자동계산!$D$35,자동계산!$B$35),IF($B39="언어와 매체",자동계산!$E$35,자동계산!$C$35),0)))</f>
        <v/>
      </c>
      <c r="CD39" s="72">
        <f>IF($A39="","",IF(AK39="",0,IF(AK39=IF($B39="언어와 매체",자동계산!$D$36,자동계산!$B$36),IF($B39="언어와 매체",자동계산!$E$36,자동계산!$C$36),0)))</f>
        <v/>
      </c>
      <c r="CE39" s="72">
        <f>IF($A39="","",IF(AL39="",0,IF(AL39=IF($B39="언어와 매체",자동계산!$D$37,자동계산!$B$37),IF($B39="언어와 매체",자동계산!$E$37,자동계산!$C$37),0)))</f>
        <v/>
      </c>
      <c r="CF39" s="72">
        <f>IF($A39="","",IF(AM39="",0,IF(AM39=IF($B39="언어와 매체",자동계산!$D$38,자동계산!$B$38),IF($B39="언어와 매체",자동계산!$E$38,자동계산!$C$38),0)))</f>
        <v/>
      </c>
      <c r="CG39" s="72">
        <f>IF($A39="","",IF(AN39="",0,IF(AN39=IF($B39="언어와 매체",자동계산!$D$39,자동계산!$B$39),IF($B39="언어와 매체",자동계산!$E$39,자동계산!$C$39),0)))</f>
        <v/>
      </c>
      <c r="CH39" s="72">
        <f>IF($A39="","",IF(AO39="",0,IF(AO39=IF($B39="언어와 매체",자동계산!$D$40,자동계산!$B$40),IF($B39="언어와 매체",자동계산!$E$40,자동계산!$C$40),0)))</f>
        <v/>
      </c>
      <c r="CI39" s="72">
        <f>IF($A39="","",IF(AP39="",0,IF(AP39=IF($B39="언어와 매체",자동계산!$D$41,자동계산!$B$41),IF($B39="언어와 매체",자동계산!$E$41,자동계산!$C$41),0)))</f>
        <v/>
      </c>
      <c r="CJ39" s="72">
        <f>IF($A39="","",IF(AQ39="",0,IF(AQ39=IF($B39="언어와 매체",자동계산!$D$42,자동계산!$B$42),IF($B39="언어와 매체",자동계산!$E$42,자동계산!$C$42),0)))</f>
        <v/>
      </c>
      <c r="CK39" s="72">
        <f>IF($A39="","",IF(AR39="",0,IF(AR39=IF($B39="언어와 매체",자동계산!$D$43,자동계산!$B$43),IF($B39="언어와 매체",자동계산!$E$43,자동계산!$C$43),0)))</f>
        <v/>
      </c>
      <c r="CL39" s="72">
        <f>IF($A39="","",IF(AS39="",0,IF(AS39=IF($B39="언어와 매체",자동계산!$D$44,자동계산!$B$44),IF($B39="언어와 매체",자동계산!$E$44,자동계산!$C$44),0)))</f>
        <v/>
      </c>
      <c r="CM39" s="72">
        <f>IF($A39="","",IF(AT39="",0,IF(AT39=IF($B39="언어와 매체",자동계산!$D$45,자동계산!$B$45),IF($B39="언어와 매체",자동계산!$E$45,자동계산!$C$45),0)))</f>
        <v/>
      </c>
      <c r="CN39" s="72">
        <f>IF($A39="","",IF(AU39="",0,IF(AU39=IF($B39="언어와 매체",자동계산!$D$46,자동계산!$B$46),IF($B39="언어와 매체",자동계산!$E$46,자동계산!$C$46),0)))</f>
        <v/>
      </c>
      <c r="CO39" s="72">
        <f>IF($A39="","",IF(AV39="",0,IF(AV39=IF($B39="언어와 매체",자동계산!$D$47,자동계산!$B$47),IF($B39="언어와 매체",자동계산!$E$47,자동계산!$C$47),0)))</f>
        <v/>
      </c>
      <c r="CP39" s="72">
        <f>IF($A39="","",IF(AW39="",0,IF(AW39=IF($B39="언어와 매체",자동계산!$D$48,자동계산!$B$48),IF($B39="언어와 매체",자동계산!$E$48,자동계산!$C$48),0)))</f>
        <v/>
      </c>
    </row>
    <row r="40">
      <c r="A40" s="70">
        <f>IF(답안입력!A40="","",답안입력!A40)</f>
        <v/>
      </c>
      <c r="B40" s="70">
        <f>IF($A40="","",답안입력!C40)</f>
        <v/>
      </c>
      <c r="C40" s="71">
        <f>IF($A40="","",SUM(AX40:CP40))</f>
        <v/>
      </c>
      <c r="D40" s="70">
        <f>IF($A40="","",IF($C40&gt;=IF($B40="언어와 매체",회차설정!$B$9,회차설정!$B$8),"1등급",IF($C40&gt;=IF($B40="언어와 매체",회차설정!$C$9,회차설정!$C$8),"2등급",IF($C40&gt;=IF($B40="언어와 매체",회차설정!$D$9,회차설정!$D$8),"3등급",IF($C40&gt;=IF($B40="언어와 매체",회차설정!$E$9,회차설정!$E$8),"4등급","등급 외")))))</f>
        <v/>
      </c>
      <c r="E40" s="72">
        <f>IF($A40="","",IF(LEN(답안입력!$D40)&gt;=1,VALUE(MID(답안입력!$D40,1,1)),IF(답안입력!E40="","",답안입력!E40)))</f>
        <v/>
      </c>
      <c r="F40" s="72">
        <f>IF($A40="","",IF(LEN(답안입력!$D40)&gt;=2,VALUE(MID(답안입력!$D40,2,1)),IF(답안입력!F40="","",답안입력!F40)))</f>
        <v/>
      </c>
      <c r="G40" s="72">
        <f>IF($A40="","",IF(LEN(답안입력!$D40)&gt;=3,VALUE(MID(답안입력!$D40,3,1)),IF(답안입력!G40="","",답안입력!G40)))</f>
        <v/>
      </c>
      <c r="H40" s="72">
        <f>IF($A40="","",IF(LEN(답안입력!$D40)&gt;=4,VALUE(MID(답안입력!$D40,4,1)),IF(답안입력!H40="","",답안입력!H40)))</f>
        <v/>
      </c>
      <c r="I40" s="72">
        <f>IF($A40="","",IF(LEN(답안입력!$D40)&gt;=5,VALUE(MID(답안입력!$D40,5,1)),IF(답안입력!I40="","",답안입력!I40)))</f>
        <v/>
      </c>
      <c r="J40" s="72">
        <f>IF($A40="","",IF(LEN(답안입력!$D40)&gt;=6,VALUE(MID(답안입력!$D40,6,1)),IF(답안입력!J40="","",답안입력!J40)))</f>
        <v/>
      </c>
      <c r="K40" s="72">
        <f>IF($A40="","",IF(LEN(답안입력!$D40)&gt;=7,VALUE(MID(답안입력!$D40,7,1)),IF(답안입력!K40="","",답안입력!K40)))</f>
        <v/>
      </c>
      <c r="L40" s="72">
        <f>IF($A40="","",IF(LEN(답안입력!$D40)&gt;=8,VALUE(MID(답안입력!$D40,8,1)),IF(답안입력!L40="","",답안입력!L40)))</f>
        <v/>
      </c>
      <c r="M40" s="72">
        <f>IF($A40="","",IF(LEN(답안입력!$D40)&gt;=9,VALUE(MID(답안입력!$D40,9,1)),IF(답안입력!M40="","",답안입력!M40)))</f>
        <v/>
      </c>
      <c r="N40" s="72">
        <f>IF($A40="","",IF(LEN(답안입력!$D40)&gt;=10,VALUE(MID(답안입력!$D40,10,1)),IF(답안입력!N40="","",답안입력!N40)))</f>
        <v/>
      </c>
      <c r="O40" s="72">
        <f>IF($A40="","",IF(LEN(답안입력!$D40)&gt;=11,VALUE(MID(답안입력!$D40,11,1)),IF(답안입력!O40="","",답안입력!O40)))</f>
        <v/>
      </c>
      <c r="P40" s="72">
        <f>IF($A40="","",IF(LEN(답안입력!$D40)&gt;=12,VALUE(MID(답안입력!$D40,12,1)),IF(답안입력!P40="","",답안입력!P40)))</f>
        <v/>
      </c>
      <c r="Q40" s="72">
        <f>IF($A40="","",IF(LEN(답안입력!$D40)&gt;=13,VALUE(MID(답안입력!$D40,13,1)),IF(답안입력!Q40="","",답안입력!Q40)))</f>
        <v/>
      </c>
      <c r="R40" s="72">
        <f>IF($A40="","",IF(LEN(답안입력!$D40)&gt;=14,VALUE(MID(답안입력!$D40,14,1)),IF(답안입력!R40="","",답안입력!R40)))</f>
        <v/>
      </c>
      <c r="S40" s="72">
        <f>IF($A40="","",IF(LEN(답안입력!$D40)&gt;=15,VALUE(MID(답안입력!$D40,15,1)),IF(답안입력!S40="","",답안입력!S40)))</f>
        <v/>
      </c>
      <c r="T40" s="72">
        <f>IF($A40="","",IF(LEN(답안입력!$D40)&gt;=16,VALUE(MID(답안입력!$D40,16,1)),IF(답안입력!T40="","",답안입력!T40)))</f>
        <v/>
      </c>
      <c r="U40" s="72">
        <f>IF($A40="","",IF(LEN(답안입력!$D40)&gt;=17,VALUE(MID(답안입력!$D40,17,1)),IF(답안입력!U40="","",답안입력!U40)))</f>
        <v/>
      </c>
      <c r="V40" s="72">
        <f>IF($A40="","",IF(LEN(답안입력!$D40)&gt;=18,VALUE(MID(답안입력!$D40,18,1)),IF(답안입력!V40="","",답안입력!V40)))</f>
        <v/>
      </c>
      <c r="W40" s="72">
        <f>IF($A40="","",IF(LEN(답안입력!$D40)&gt;=19,VALUE(MID(답안입력!$D40,19,1)),IF(답안입력!W40="","",답안입력!W40)))</f>
        <v/>
      </c>
      <c r="X40" s="72">
        <f>IF($A40="","",IF(LEN(답안입력!$D40)&gt;=20,VALUE(MID(답안입력!$D40,20,1)),IF(답안입력!X40="","",답안입력!X40)))</f>
        <v/>
      </c>
      <c r="Y40" s="72">
        <f>IF($A40="","",IF(LEN(답안입력!$D40)&gt;=21,VALUE(MID(답안입력!$D40,21,1)),IF(답안입력!Y40="","",답안입력!Y40)))</f>
        <v/>
      </c>
      <c r="Z40" s="72">
        <f>IF($A40="","",IF(LEN(답안입력!$D40)&gt;=22,VALUE(MID(답안입력!$D40,22,1)),IF(답안입력!Z40="","",답안입력!Z40)))</f>
        <v/>
      </c>
      <c r="AA40" s="72">
        <f>IF($A40="","",IF(LEN(답안입력!$D40)&gt;=23,VALUE(MID(답안입력!$D40,23,1)),IF(답안입력!AA40="","",답안입력!AA40)))</f>
        <v/>
      </c>
      <c r="AB40" s="72">
        <f>IF($A40="","",IF(LEN(답안입력!$D40)&gt;=24,VALUE(MID(답안입력!$D40,24,1)),IF(답안입력!AB40="","",답안입력!AB40)))</f>
        <v/>
      </c>
      <c r="AC40" s="72">
        <f>IF($A40="","",IF(LEN(답안입력!$D40)&gt;=25,VALUE(MID(답안입력!$D40,25,1)),IF(답안입력!AC40="","",답안입력!AC40)))</f>
        <v/>
      </c>
      <c r="AD40" s="72">
        <f>IF($A40="","",IF(LEN(답안입력!$D40)&gt;=26,VALUE(MID(답안입력!$D40,26,1)),IF(답안입력!AD40="","",답안입력!AD40)))</f>
        <v/>
      </c>
      <c r="AE40" s="72">
        <f>IF($A40="","",IF(LEN(답안입력!$D40)&gt;=27,VALUE(MID(답안입력!$D40,27,1)),IF(답안입력!AE40="","",답안입력!AE40)))</f>
        <v/>
      </c>
      <c r="AF40" s="72">
        <f>IF($A40="","",IF(LEN(답안입력!$D40)&gt;=28,VALUE(MID(답안입력!$D40,28,1)),IF(답안입력!AF40="","",답안입력!AF40)))</f>
        <v/>
      </c>
      <c r="AG40" s="72">
        <f>IF($A40="","",IF(LEN(답안입력!$D40)&gt;=29,VALUE(MID(답안입력!$D40,29,1)),IF(답안입력!AG40="","",답안입력!AG40)))</f>
        <v/>
      </c>
      <c r="AH40" s="72">
        <f>IF($A40="","",IF(LEN(답안입력!$D40)&gt;=30,VALUE(MID(답안입력!$D40,30,1)),IF(답안입력!AH40="","",답안입력!AH40)))</f>
        <v/>
      </c>
      <c r="AI40" s="72">
        <f>IF($A40="","",IF(LEN(답안입력!$D40)&gt;=31,VALUE(MID(답안입력!$D40,31,1)),IF(답안입력!AI40="","",답안입력!AI40)))</f>
        <v/>
      </c>
      <c r="AJ40" s="72">
        <f>IF($A40="","",IF(LEN(답안입력!$D40)&gt;=32,VALUE(MID(답안입력!$D40,32,1)),IF(답안입력!AJ40="","",답안입력!AJ40)))</f>
        <v/>
      </c>
      <c r="AK40" s="72">
        <f>IF($A40="","",IF(LEN(답안입력!$D40)&gt;=33,VALUE(MID(답안입력!$D40,33,1)),IF(답안입력!AK40="","",답안입력!AK40)))</f>
        <v/>
      </c>
      <c r="AL40" s="72">
        <f>IF($A40="","",IF(LEN(답안입력!$D40)&gt;=34,VALUE(MID(답안입력!$D40,34,1)),IF(답안입력!AL40="","",답안입력!AL40)))</f>
        <v/>
      </c>
      <c r="AM40" s="72">
        <f>IF($A40="","",IF(LEN(답안입력!$D40)&gt;=35,VALUE(MID(답안입력!$D40,35,1)),IF(답안입력!AM40="","",답안입력!AM40)))</f>
        <v/>
      </c>
      <c r="AN40" s="72">
        <f>IF($A40="","",IF(LEN(답안입력!$D40)&gt;=36,VALUE(MID(답안입력!$D40,36,1)),IF(답안입력!AN40="","",답안입력!AN40)))</f>
        <v/>
      </c>
      <c r="AO40" s="72">
        <f>IF($A40="","",IF(LEN(답안입력!$D40)&gt;=37,VALUE(MID(답안입력!$D40,37,1)),IF(답안입력!AO40="","",답안입력!AO40)))</f>
        <v/>
      </c>
      <c r="AP40" s="72">
        <f>IF($A40="","",IF(LEN(답안입력!$D40)&gt;=38,VALUE(MID(답안입력!$D40,38,1)),IF(답안입력!AP40="","",답안입력!AP40)))</f>
        <v/>
      </c>
      <c r="AQ40" s="72">
        <f>IF($A40="","",IF(LEN(답안입력!$D40)&gt;=39,VALUE(MID(답안입력!$D40,39,1)),IF(답안입력!AQ40="","",답안입력!AQ40)))</f>
        <v/>
      </c>
      <c r="AR40" s="72">
        <f>IF($A40="","",IF(LEN(답안입력!$D40)&gt;=40,VALUE(MID(답안입력!$D40,40,1)),IF(답안입력!AR40="","",답안입력!AR40)))</f>
        <v/>
      </c>
      <c r="AS40" s="72">
        <f>IF($A40="","",IF(LEN(답안입력!$D40)&gt;=41,VALUE(MID(답안입력!$D40,41,1)),IF(답안입력!AS40="","",답안입력!AS40)))</f>
        <v/>
      </c>
      <c r="AT40" s="72">
        <f>IF($A40="","",IF(LEN(답안입력!$D40)&gt;=42,VALUE(MID(답안입력!$D40,42,1)),IF(답안입력!AT40="","",답안입력!AT40)))</f>
        <v/>
      </c>
      <c r="AU40" s="72">
        <f>IF($A40="","",IF(LEN(답안입력!$D40)&gt;=43,VALUE(MID(답안입력!$D40,43,1)),IF(답안입력!AU40="","",답안입력!AU40)))</f>
        <v/>
      </c>
      <c r="AV40" s="72">
        <f>IF($A40="","",IF(LEN(답안입력!$D40)&gt;=44,VALUE(MID(답안입력!$D40,44,1)),IF(답안입력!AV40="","",답안입력!AV40)))</f>
        <v/>
      </c>
      <c r="AW40" s="72">
        <f>IF($A40="","",IF(LEN(답안입력!$D40)&gt;=45,VALUE(MID(답안입력!$D40,45,1)),IF(답안입력!AW40="","",답안입력!AW40)))</f>
        <v/>
      </c>
      <c r="AX40" s="72">
        <f>IF($A40="","",IF(E40="",0,IF(E40=IF($B40="언어와 매체",자동계산!$D$4,자동계산!$B$4),IF($B40="언어와 매체",자동계산!$E$4,자동계산!$C$4),0)))</f>
        <v/>
      </c>
      <c r="AY40" s="72">
        <f>IF($A40="","",IF(F40="",0,IF(F40=IF($B40="언어와 매체",자동계산!$D$5,자동계산!$B$5),IF($B40="언어와 매체",자동계산!$E$5,자동계산!$C$5),0)))</f>
        <v/>
      </c>
      <c r="AZ40" s="72">
        <f>IF($A40="","",IF(G40="",0,IF(G40=IF($B40="언어와 매체",자동계산!$D$6,자동계산!$B$6),IF($B40="언어와 매체",자동계산!$E$6,자동계산!$C$6),0)))</f>
        <v/>
      </c>
      <c r="BA40" s="72">
        <f>IF($A40="","",IF(H40="",0,IF(H40=IF($B40="언어와 매체",자동계산!$D$7,자동계산!$B$7),IF($B40="언어와 매체",자동계산!$E$7,자동계산!$C$7),0)))</f>
        <v/>
      </c>
      <c r="BB40" s="72">
        <f>IF($A40="","",IF(I40="",0,IF(I40=IF($B40="언어와 매체",자동계산!$D$8,자동계산!$B$8),IF($B40="언어와 매체",자동계산!$E$8,자동계산!$C$8),0)))</f>
        <v/>
      </c>
      <c r="BC40" s="72">
        <f>IF($A40="","",IF(J40="",0,IF(J40=IF($B40="언어와 매체",자동계산!$D$9,자동계산!$B$9),IF($B40="언어와 매체",자동계산!$E$9,자동계산!$C$9),0)))</f>
        <v/>
      </c>
      <c r="BD40" s="72">
        <f>IF($A40="","",IF(K40="",0,IF(K40=IF($B40="언어와 매체",자동계산!$D$10,자동계산!$B$10),IF($B40="언어와 매체",자동계산!$E$10,자동계산!$C$10),0)))</f>
        <v/>
      </c>
      <c r="BE40" s="72">
        <f>IF($A40="","",IF(L40="",0,IF(L40=IF($B40="언어와 매체",자동계산!$D$11,자동계산!$B$11),IF($B40="언어와 매체",자동계산!$E$11,자동계산!$C$11),0)))</f>
        <v/>
      </c>
      <c r="BF40" s="72">
        <f>IF($A40="","",IF(M40="",0,IF(M40=IF($B40="언어와 매체",자동계산!$D$12,자동계산!$B$12),IF($B40="언어와 매체",자동계산!$E$12,자동계산!$C$12),0)))</f>
        <v/>
      </c>
      <c r="BG40" s="72">
        <f>IF($A40="","",IF(N40="",0,IF(N40=IF($B40="언어와 매체",자동계산!$D$13,자동계산!$B$13),IF($B40="언어와 매체",자동계산!$E$13,자동계산!$C$13),0)))</f>
        <v/>
      </c>
      <c r="BH40" s="72">
        <f>IF($A40="","",IF(O40="",0,IF(O40=IF($B40="언어와 매체",자동계산!$D$14,자동계산!$B$14),IF($B40="언어와 매체",자동계산!$E$14,자동계산!$C$14),0)))</f>
        <v/>
      </c>
      <c r="BI40" s="72">
        <f>IF($A40="","",IF(P40="",0,IF(P40=IF($B40="언어와 매체",자동계산!$D$15,자동계산!$B$15),IF($B40="언어와 매체",자동계산!$E$15,자동계산!$C$15),0)))</f>
        <v/>
      </c>
      <c r="BJ40" s="72">
        <f>IF($A40="","",IF(Q40="",0,IF(Q40=IF($B40="언어와 매체",자동계산!$D$16,자동계산!$B$16),IF($B40="언어와 매체",자동계산!$E$16,자동계산!$C$16),0)))</f>
        <v/>
      </c>
      <c r="BK40" s="72">
        <f>IF($A40="","",IF(R40="",0,IF(R40=IF($B40="언어와 매체",자동계산!$D$17,자동계산!$B$17),IF($B40="언어와 매체",자동계산!$E$17,자동계산!$C$17),0)))</f>
        <v/>
      </c>
      <c r="BL40" s="72">
        <f>IF($A40="","",IF(S40="",0,IF(S40=IF($B40="언어와 매체",자동계산!$D$18,자동계산!$B$18),IF($B40="언어와 매체",자동계산!$E$18,자동계산!$C$18),0)))</f>
        <v/>
      </c>
      <c r="BM40" s="72">
        <f>IF($A40="","",IF(T40="",0,IF(T40=IF($B40="언어와 매체",자동계산!$D$19,자동계산!$B$19),IF($B40="언어와 매체",자동계산!$E$19,자동계산!$C$19),0)))</f>
        <v/>
      </c>
      <c r="BN40" s="72">
        <f>IF($A40="","",IF(U40="",0,IF(U40=IF($B40="언어와 매체",자동계산!$D$20,자동계산!$B$20),IF($B40="언어와 매체",자동계산!$E$20,자동계산!$C$20),0)))</f>
        <v/>
      </c>
      <c r="BO40" s="72">
        <f>IF($A40="","",IF(V40="",0,IF(V40=IF($B40="언어와 매체",자동계산!$D$21,자동계산!$B$21),IF($B40="언어와 매체",자동계산!$E$21,자동계산!$C$21),0)))</f>
        <v/>
      </c>
      <c r="BP40" s="72">
        <f>IF($A40="","",IF(W40="",0,IF(W40=IF($B40="언어와 매체",자동계산!$D$22,자동계산!$B$22),IF($B40="언어와 매체",자동계산!$E$22,자동계산!$C$22),0)))</f>
        <v/>
      </c>
      <c r="BQ40" s="72">
        <f>IF($A40="","",IF(X40="",0,IF(X40=IF($B40="언어와 매체",자동계산!$D$23,자동계산!$B$23),IF($B40="언어와 매체",자동계산!$E$23,자동계산!$C$23),0)))</f>
        <v/>
      </c>
      <c r="BR40" s="72">
        <f>IF($A40="","",IF(Y40="",0,IF(Y40=IF($B40="언어와 매체",자동계산!$D$24,자동계산!$B$24),IF($B40="언어와 매체",자동계산!$E$24,자동계산!$C$24),0)))</f>
        <v/>
      </c>
      <c r="BS40" s="72">
        <f>IF($A40="","",IF(Z40="",0,IF(Z40=IF($B40="언어와 매체",자동계산!$D$25,자동계산!$B$25),IF($B40="언어와 매체",자동계산!$E$25,자동계산!$C$25),0)))</f>
        <v/>
      </c>
      <c r="BT40" s="72">
        <f>IF($A40="","",IF(AA40="",0,IF(AA40=IF($B40="언어와 매체",자동계산!$D$26,자동계산!$B$26),IF($B40="언어와 매체",자동계산!$E$26,자동계산!$C$26),0)))</f>
        <v/>
      </c>
      <c r="BU40" s="72">
        <f>IF($A40="","",IF(AB40="",0,IF(AB40=IF($B40="언어와 매체",자동계산!$D$27,자동계산!$B$27),IF($B40="언어와 매체",자동계산!$E$27,자동계산!$C$27),0)))</f>
        <v/>
      </c>
      <c r="BV40" s="72">
        <f>IF($A40="","",IF(AC40="",0,IF(AC40=IF($B40="언어와 매체",자동계산!$D$28,자동계산!$B$28),IF($B40="언어와 매체",자동계산!$E$28,자동계산!$C$28),0)))</f>
        <v/>
      </c>
      <c r="BW40" s="72">
        <f>IF($A40="","",IF(AD40="",0,IF(AD40=IF($B40="언어와 매체",자동계산!$D$29,자동계산!$B$29),IF($B40="언어와 매체",자동계산!$E$29,자동계산!$C$29),0)))</f>
        <v/>
      </c>
      <c r="BX40" s="72">
        <f>IF($A40="","",IF(AE40="",0,IF(AE40=IF($B40="언어와 매체",자동계산!$D$30,자동계산!$B$30),IF($B40="언어와 매체",자동계산!$E$30,자동계산!$C$30),0)))</f>
        <v/>
      </c>
      <c r="BY40" s="72">
        <f>IF($A40="","",IF(AF40="",0,IF(AF40=IF($B40="언어와 매체",자동계산!$D$31,자동계산!$B$31),IF($B40="언어와 매체",자동계산!$E$31,자동계산!$C$31),0)))</f>
        <v/>
      </c>
      <c r="BZ40" s="72">
        <f>IF($A40="","",IF(AG40="",0,IF(AG40=IF($B40="언어와 매체",자동계산!$D$32,자동계산!$B$32),IF($B40="언어와 매체",자동계산!$E$32,자동계산!$C$32),0)))</f>
        <v/>
      </c>
      <c r="CA40" s="72">
        <f>IF($A40="","",IF(AH40="",0,IF(AH40=IF($B40="언어와 매체",자동계산!$D$33,자동계산!$B$33),IF($B40="언어와 매체",자동계산!$E$33,자동계산!$C$33),0)))</f>
        <v/>
      </c>
      <c r="CB40" s="72">
        <f>IF($A40="","",IF(AI40="",0,IF(AI40=IF($B40="언어와 매체",자동계산!$D$34,자동계산!$B$34),IF($B40="언어와 매체",자동계산!$E$34,자동계산!$C$34),0)))</f>
        <v/>
      </c>
      <c r="CC40" s="72">
        <f>IF($A40="","",IF(AJ40="",0,IF(AJ40=IF($B40="언어와 매체",자동계산!$D$35,자동계산!$B$35),IF($B40="언어와 매체",자동계산!$E$35,자동계산!$C$35),0)))</f>
        <v/>
      </c>
      <c r="CD40" s="72">
        <f>IF($A40="","",IF(AK40="",0,IF(AK40=IF($B40="언어와 매체",자동계산!$D$36,자동계산!$B$36),IF($B40="언어와 매체",자동계산!$E$36,자동계산!$C$36),0)))</f>
        <v/>
      </c>
      <c r="CE40" s="72">
        <f>IF($A40="","",IF(AL40="",0,IF(AL40=IF($B40="언어와 매체",자동계산!$D$37,자동계산!$B$37),IF($B40="언어와 매체",자동계산!$E$37,자동계산!$C$37),0)))</f>
        <v/>
      </c>
      <c r="CF40" s="72">
        <f>IF($A40="","",IF(AM40="",0,IF(AM40=IF($B40="언어와 매체",자동계산!$D$38,자동계산!$B$38),IF($B40="언어와 매체",자동계산!$E$38,자동계산!$C$38),0)))</f>
        <v/>
      </c>
      <c r="CG40" s="72">
        <f>IF($A40="","",IF(AN40="",0,IF(AN40=IF($B40="언어와 매체",자동계산!$D$39,자동계산!$B$39),IF($B40="언어와 매체",자동계산!$E$39,자동계산!$C$39),0)))</f>
        <v/>
      </c>
      <c r="CH40" s="72">
        <f>IF($A40="","",IF(AO40="",0,IF(AO40=IF($B40="언어와 매체",자동계산!$D$40,자동계산!$B$40),IF($B40="언어와 매체",자동계산!$E$40,자동계산!$C$40),0)))</f>
        <v/>
      </c>
      <c r="CI40" s="72">
        <f>IF($A40="","",IF(AP40="",0,IF(AP40=IF($B40="언어와 매체",자동계산!$D$41,자동계산!$B$41),IF($B40="언어와 매체",자동계산!$E$41,자동계산!$C$41),0)))</f>
        <v/>
      </c>
      <c r="CJ40" s="72">
        <f>IF($A40="","",IF(AQ40="",0,IF(AQ40=IF($B40="언어와 매체",자동계산!$D$42,자동계산!$B$42),IF($B40="언어와 매체",자동계산!$E$42,자동계산!$C$42),0)))</f>
        <v/>
      </c>
      <c r="CK40" s="72">
        <f>IF($A40="","",IF(AR40="",0,IF(AR40=IF($B40="언어와 매체",자동계산!$D$43,자동계산!$B$43),IF($B40="언어와 매체",자동계산!$E$43,자동계산!$C$43),0)))</f>
        <v/>
      </c>
      <c r="CL40" s="72">
        <f>IF($A40="","",IF(AS40="",0,IF(AS40=IF($B40="언어와 매체",자동계산!$D$44,자동계산!$B$44),IF($B40="언어와 매체",자동계산!$E$44,자동계산!$C$44),0)))</f>
        <v/>
      </c>
      <c r="CM40" s="72">
        <f>IF($A40="","",IF(AT40="",0,IF(AT40=IF($B40="언어와 매체",자동계산!$D$45,자동계산!$B$45),IF($B40="언어와 매체",자동계산!$E$45,자동계산!$C$45),0)))</f>
        <v/>
      </c>
      <c r="CN40" s="72">
        <f>IF($A40="","",IF(AU40="",0,IF(AU40=IF($B40="언어와 매체",자동계산!$D$46,자동계산!$B$46),IF($B40="언어와 매체",자동계산!$E$46,자동계산!$C$46),0)))</f>
        <v/>
      </c>
      <c r="CO40" s="72">
        <f>IF($A40="","",IF(AV40="",0,IF(AV40=IF($B40="언어와 매체",자동계산!$D$47,자동계산!$B$47),IF($B40="언어와 매체",자동계산!$E$47,자동계산!$C$47),0)))</f>
        <v/>
      </c>
      <c r="CP40" s="72">
        <f>IF($A40="","",IF(AW40="",0,IF(AW40=IF($B40="언어와 매체",자동계산!$D$48,자동계산!$B$48),IF($B40="언어와 매체",자동계산!$E$48,자동계산!$C$48),0)))</f>
        <v/>
      </c>
    </row>
    <row r="41">
      <c r="A41" s="70">
        <f>IF(답안입력!A41="","",답안입력!A41)</f>
        <v/>
      </c>
      <c r="B41" s="70">
        <f>IF($A41="","",답안입력!C41)</f>
        <v/>
      </c>
      <c r="C41" s="71">
        <f>IF($A41="","",SUM(AX41:CP41))</f>
        <v/>
      </c>
      <c r="D41" s="70">
        <f>IF($A41="","",IF($C41&gt;=IF($B41="언어와 매체",회차설정!$B$9,회차설정!$B$8),"1등급",IF($C41&gt;=IF($B41="언어와 매체",회차설정!$C$9,회차설정!$C$8),"2등급",IF($C41&gt;=IF($B41="언어와 매체",회차설정!$D$9,회차설정!$D$8),"3등급",IF($C41&gt;=IF($B41="언어와 매체",회차설정!$E$9,회차설정!$E$8),"4등급","등급 외")))))</f>
        <v/>
      </c>
      <c r="E41" s="72">
        <f>IF($A41="","",IF(LEN(답안입력!$D41)&gt;=1,VALUE(MID(답안입력!$D41,1,1)),IF(답안입력!E41="","",답안입력!E41)))</f>
        <v/>
      </c>
      <c r="F41" s="72">
        <f>IF($A41="","",IF(LEN(답안입력!$D41)&gt;=2,VALUE(MID(답안입력!$D41,2,1)),IF(답안입력!F41="","",답안입력!F41)))</f>
        <v/>
      </c>
      <c r="G41" s="72">
        <f>IF($A41="","",IF(LEN(답안입력!$D41)&gt;=3,VALUE(MID(답안입력!$D41,3,1)),IF(답안입력!G41="","",답안입력!G41)))</f>
        <v/>
      </c>
      <c r="H41" s="72">
        <f>IF($A41="","",IF(LEN(답안입력!$D41)&gt;=4,VALUE(MID(답안입력!$D41,4,1)),IF(답안입력!H41="","",답안입력!H41)))</f>
        <v/>
      </c>
      <c r="I41" s="72">
        <f>IF($A41="","",IF(LEN(답안입력!$D41)&gt;=5,VALUE(MID(답안입력!$D41,5,1)),IF(답안입력!I41="","",답안입력!I41)))</f>
        <v/>
      </c>
      <c r="J41" s="72">
        <f>IF($A41="","",IF(LEN(답안입력!$D41)&gt;=6,VALUE(MID(답안입력!$D41,6,1)),IF(답안입력!J41="","",답안입력!J41)))</f>
        <v/>
      </c>
      <c r="K41" s="72">
        <f>IF($A41="","",IF(LEN(답안입력!$D41)&gt;=7,VALUE(MID(답안입력!$D41,7,1)),IF(답안입력!K41="","",답안입력!K41)))</f>
        <v/>
      </c>
      <c r="L41" s="72">
        <f>IF($A41="","",IF(LEN(답안입력!$D41)&gt;=8,VALUE(MID(답안입력!$D41,8,1)),IF(답안입력!L41="","",답안입력!L41)))</f>
        <v/>
      </c>
      <c r="M41" s="72">
        <f>IF($A41="","",IF(LEN(답안입력!$D41)&gt;=9,VALUE(MID(답안입력!$D41,9,1)),IF(답안입력!M41="","",답안입력!M41)))</f>
        <v/>
      </c>
      <c r="N41" s="72">
        <f>IF($A41="","",IF(LEN(답안입력!$D41)&gt;=10,VALUE(MID(답안입력!$D41,10,1)),IF(답안입력!N41="","",답안입력!N41)))</f>
        <v/>
      </c>
      <c r="O41" s="72">
        <f>IF($A41="","",IF(LEN(답안입력!$D41)&gt;=11,VALUE(MID(답안입력!$D41,11,1)),IF(답안입력!O41="","",답안입력!O41)))</f>
        <v/>
      </c>
      <c r="P41" s="72">
        <f>IF($A41="","",IF(LEN(답안입력!$D41)&gt;=12,VALUE(MID(답안입력!$D41,12,1)),IF(답안입력!P41="","",답안입력!P41)))</f>
        <v/>
      </c>
      <c r="Q41" s="72">
        <f>IF($A41="","",IF(LEN(답안입력!$D41)&gt;=13,VALUE(MID(답안입력!$D41,13,1)),IF(답안입력!Q41="","",답안입력!Q41)))</f>
        <v/>
      </c>
      <c r="R41" s="72">
        <f>IF($A41="","",IF(LEN(답안입력!$D41)&gt;=14,VALUE(MID(답안입력!$D41,14,1)),IF(답안입력!R41="","",답안입력!R41)))</f>
        <v/>
      </c>
      <c r="S41" s="72">
        <f>IF($A41="","",IF(LEN(답안입력!$D41)&gt;=15,VALUE(MID(답안입력!$D41,15,1)),IF(답안입력!S41="","",답안입력!S41)))</f>
        <v/>
      </c>
      <c r="T41" s="72">
        <f>IF($A41="","",IF(LEN(답안입력!$D41)&gt;=16,VALUE(MID(답안입력!$D41,16,1)),IF(답안입력!T41="","",답안입력!T41)))</f>
        <v/>
      </c>
      <c r="U41" s="72">
        <f>IF($A41="","",IF(LEN(답안입력!$D41)&gt;=17,VALUE(MID(답안입력!$D41,17,1)),IF(답안입력!U41="","",답안입력!U41)))</f>
        <v/>
      </c>
      <c r="V41" s="72">
        <f>IF($A41="","",IF(LEN(답안입력!$D41)&gt;=18,VALUE(MID(답안입력!$D41,18,1)),IF(답안입력!V41="","",답안입력!V41)))</f>
        <v/>
      </c>
      <c r="W41" s="72">
        <f>IF($A41="","",IF(LEN(답안입력!$D41)&gt;=19,VALUE(MID(답안입력!$D41,19,1)),IF(답안입력!W41="","",답안입력!W41)))</f>
        <v/>
      </c>
      <c r="X41" s="72">
        <f>IF($A41="","",IF(LEN(답안입력!$D41)&gt;=20,VALUE(MID(답안입력!$D41,20,1)),IF(답안입력!X41="","",답안입력!X41)))</f>
        <v/>
      </c>
      <c r="Y41" s="72">
        <f>IF($A41="","",IF(LEN(답안입력!$D41)&gt;=21,VALUE(MID(답안입력!$D41,21,1)),IF(답안입력!Y41="","",답안입력!Y41)))</f>
        <v/>
      </c>
      <c r="Z41" s="72">
        <f>IF($A41="","",IF(LEN(답안입력!$D41)&gt;=22,VALUE(MID(답안입력!$D41,22,1)),IF(답안입력!Z41="","",답안입력!Z41)))</f>
        <v/>
      </c>
      <c r="AA41" s="72">
        <f>IF($A41="","",IF(LEN(답안입력!$D41)&gt;=23,VALUE(MID(답안입력!$D41,23,1)),IF(답안입력!AA41="","",답안입력!AA41)))</f>
        <v/>
      </c>
      <c r="AB41" s="72">
        <f>IF($A41="","",IF(LEN(답안입력!$D41)&gt;=24,VALUE(MID(답안입력!$D41,24,1)),IF(답안입력!AB41="","",답안입력!AB41)))</f>
        <v/>
      </c>
      <c r="AC41" s="72">
        <f>IF($A41="","",IF(LEN(답안입력!$D41)&gt;=25,VALUE(MID(답안입력!$D41,25,1)),IF(답안입력!AC41="","",답안입력!AC41)))</f>
        <v/>
      </c>
      <c r="AD41" s="72">
        <f>IF($A41="","",IF(LEN(답안입력!$D41)&gt;=26,VALUE(MID(답안입력!$D41,26,1)),IF(답안입력!AD41="","",답안입력!AD41)))</f>
        <v/>
      </c>
      <c r="AE41" s="72">
        <f>IF($A41="","",IF(LEN(답안입력!$D41)&gt;=27,VALUE(MID(답안입력!$D41,27,1)),IF(답안입력!AE41="","",답안입력!AE41)))</f>
        <v/>
      </c>
      <c r="AF41" s="72">
        <f>IF($A41="","",IF(LEN(답안입력!$D41)&gt;=28,VALUE(MID(답안입력!$D41,28,1)),IF(답안입력!AF41="","",답안입력!AF41)))</f>
        <v/>
      </c>
      <c r="AG41" s="72">
        <f>IF($A41="","",IF(LEN(답안입력!$D41)&gt;=29,VALUE(MID(답안입력!$D41,29,1)),IF(답안입력!AG41="","",답안입력!AG41)))</f>
        <v/>
      </c>
      <c r="AH41" s="72">
        <f>IF($A41="","",IF(LEN(답안입력!$D41)&gt;=30,VALUE(MID(답안입력!$D41,30,1)),IF(답안입력!AH41="","",답안입력!AH41)))</f>
        <v/>
      </c>
      <c r="AI41" s="72">
        <f>IF($A41="","",IF(LEN(답안입력!$D41)&gt;=31,VALUE(MID(답안입력!$D41,31,1)),IF(답안입력!AI41="","",답안입력!AI41)))</f>
        <v/>
      </c>
      <c r="AJ41" s="72">
        <f>IF($A41="","",IF(LEN(답안입력!$D41)&gt;=32,VALUE(MID(답안입력!$D41,32,1)),IF(답안입력!AJ41="","",답안입력!AJ41)))</f>
        <v/>
      </c>
      <c r="AK41" s="72">
        <f>IF($A41="","",IF(LEN(답안입력!$D41)&gt;=33,VALUE(MID(답안입력!$D41,33,1)),IF(답안입력!AK41="","",답안입력!AK41)))</f>
        <v/>
      </c>
      <c r="AL41" s="72">
        <f>IF($A41="","",IF(LEN(답안입력!$D41)&gt;=34,VALUE(MID(답안입력!$D41,34,1)),IF(답안입력!AL41="","",답안입력!AL41)))</f>
        <v/>
      </c>
      <c r="AM41" s="72">
        <f>IF($A41="","",IF(LEN(답안입력!$D41)&gt;=35,VALUE(MID(답안입력!$D41,35,1)),IF(답안입력!AM41="","",답안입력!AM41)))</f>
        <v/>
      </c>
      <c r="AN41" s="72">
        <f>IF($A41="","",IF(LEN(답안입력!$D41)&gt;=36,VALUE(MID(답안입력!$D41,36,1)),IF(답안입력!AN41="","",답안입력!AN41)))</f>
        <v/>
      </c>
      <c r="AO41" s="72">
        <f>IF($A41="","",IF(LEN(답안입력!$D41)&gt;=37,VALUE(MID(답안입력!$D41,37,1)),IF(답안입력!AO41="","",답안입력!AO41)))</f>
        <v/>
      </c>
      <c r="AP41" s="72">
        <f>IF($A41="","",IF(LEN(답안입력!$D41)&gt;=38,VALUE(MID(답안입력!$D41,38,1)),IF(답안입력!AP41="","",답안입력!AP41)))</f>
        <v/>
      </c>
      <c r="AQ41" s="72">
        <f>IF($A41="","",IF(LEN(답안입력!$D41)&gt;=39,VALUE(MID(답안입력!$D41,39,1)),IF(답안입력!AQ41="","",답안입력!AQ41)))</f>
        <v/>
      </c>
      <c r="AR41" s="72">
        <f>IF($A41="","",IF(LEN(답안입력!$D41)&gt;=40,VALUE(MID(답안입력!$D41,40,1)),IF(답안입력!AR41="","",답안입력!AR41)))</f>
        <v/>
      </c>
      <c r="AS41" s="72">
        <f>IF($A41="","",IF(LEN(답안입력!$D41)&gt;=41,VALUE(MID(답안입력!$D41,41,1)),IF(답안입력!AS41="","",답안입력!AS41)))</f>
        <v/>
      </c>
      <c r="AT41" s="72">
        <f>IF($A41="","",IF(LEN(답안입력!$D41)&gt;=42,VALUE(MID(답안입력!$D41,42,1)),IF(답안입력!AT41="","",답안입력!AT41)))</f>
        <v/>
      </c>
      <c r="AU41" s="72">
        <f>IF($A41="","",IF(LEN(답안입력!$D41)&gt;=43,VALUE(MID(답안입력!$D41,43,1)),IF(답안입력!AU41="","",답안입력!AU41)))</f>
        <v/>
      </c>
      <c r="AV41" s="72">
        <f>IF($A41="","",IF(LEN(답안입력!$D41)&gt;=44,VALUE(MID(답안입력!$D41,44,1)),IF(답안입력!AV41="","",답안입력!AV41)))</f>
        <v/>
      </c>
      <c r="AW41" s="72">
        <f>IF($A41="","",IF(LEN(답안입력!$D41)&gt;=45,VALUE(MID(답안입력!$D41,45,1)),IF(답안입력!AW41="","",답안입력!AW41)))</f>
        <v/>
      </c>
      <c r="AX41" s="72">
        <f>IF($A41="","",IF(E41="",0,IF(E41=IF($B41="언어와 매체",자동계산!$D$4,자동계산!$B$4),IF($B41="언어와 매체",자동계산!$E$4,자동계산!$C$4),0)))</f>
        <v/>
      </c>
      <c r="AY41" s="72">
        <f>IF($A41="","",IF(F41="",0,IF(F41=IF($B41="언어와 매체",자동계산!$D$5,자동계산!$B$5),IF($B41="언어와 매체",자동계산!$E$5,자동계산!$C$5),0)))</f>
        <v/>
      </c>
      <c r="AZ41" s="72">
        <f>IF($A41="","",IF(G41="",0,IF(G41=IF($B41="언어와 매체",자동계산!$D$6,자동계산!$B$6),IF($B41="언어와 매체",자동계산!$E$6,자동계산!$C$6),0)))</f>
        <v/>
      </c>
      <c r="BA41" s="72">
        <f>IF($A41="","",IF(H41="",0,IF(H41=IF($B41="언어와 매체",자동계산!$D$7,자동계산!$B$7),IF($B41="언어와 매체",자동계산!$E$7,자동계산!$C$7),0)))</f>
        <v/>
      </c>
      <c r="BB41" s="72">
        <f>IF($A41="","",IF(I41="",0,IF(I41=IF($B41="언어와 매체",자동계산!$D$8,자동계산!$B$8),IF($B41="언어와 매체",자동계산!$E$8,자동계산!$C$8),0)))</f>
        <v/>
      </c>
      <c r="BC41" s="72">
        <f>IF($A41="","",IF(J41="",0,IF(J41=IF($B41="언어와 매체",자동계산!$D$9,자동계산!$B$9),IF($B41="언어와 매체",자동계산!$E$9,자동계산!$C$9),0)))</f>
        <v/>
      </c>
      <c r="BD41" s="72">
        <f>IF($A41="","",IF(K41="",0,IF(K41=IF($B41="언어와 매체",자동계산!$D$10,자동계산!$B$10),IF($B41="언어와 매체",자동계산!$E$10,자동계산!$C$10),0)))</f>
        <v/>
      </c>
      <c r="BE41" s="72">
        <f>IF($A41="","",IF(L41="",0,IF(L41=IF($B41="언어와 매체",자동계산!$D$11,자동계산!$B$11),IF($B41="언어와 매체",자동계산!$E$11,자동계산!$C$11),0)))</f>
        <v/>
      </c>
      <c r="BF41" s="72">
        <f>IF($A41="","",IF(M41="",0,IF(M41=IF($B41="언어와 매체",자동계산!$D$12,자동계산!$B$12),IF($B41="언어와 매체",자동계산!$E$12,자동계산!$C$12),0)))</f>
        <v/>
      </c>
      <c r="BG41" s="72">
        <f>IF($A41="","",IF(N41="",0,IF(N41=IF($B41="언어와 매체",자동계산!$D$13,자동계산!$B$13),IF($B41="언어와 매체",자동계산!$E$13,자동계산!$C$13),0)))</f>
        <v/>
      </c>
      <c r="BH41" s="72">
        <f>IF($A41="","",IF(O41="",0,IF(O41=IF($B41="언어와 매체",자동계산!$D$14,자동계산!$B$14),IF($B41="언어와 매체",자동계산!$E$14,자동계산!$C$14),0)))</f>
        <v/>
      </c>
      <c r="BI41" s="72">
        <f>IF($A41="","",IF(P41="",0,IF(P41=IF($B41="언어와 매체",자동계산!$D$15,자동계산!$B$15),IF($B41="언어와 매체",자동계산!$E$15,자동계산!$C$15),0)))</f>
        <v/>
      </c>
      <c r="BJ41" s="72">
        <f>IF($A41="","",IF(Q41="",0,IF(Q41=IF($B41="언어와 매체",자동계산!$D$16,자동계산!$B$16),IF($B41="언어와 매체",자동계산!$E$16,자동계산!$C$16),0)))</f>
        <v/>
      </c>
      <c r="BK41" s="72">
        <f>IF($A41="","",IF(R41="",0,IF(R41=IF($B41="언어와 매체",자동계산!$D$17,자동계산!$B$17),IF($B41="언어와 매체",자동계산!$E$17,자동계산!$C$17),0)))</f>
        <v/>
      </c>
      <c r="BL41" s="72">
        <f>IF($A41="","",IF(S41="",0,IF(S41=IF($B41="언어와 매체",자동계산!$D$18,자동계산!$B$18),IF($B41="언어와 매체",자동계산!$E$18,자동계산!$C$18),0)))</f>
        <v/>
      </c>
      <c r="BM41" s="72">
        <f>IF($A41="","",IF(T41="",0,IF(T41=IF($B41="언어와 매체",자동계산!$D$19,자동계산!$B$19),IF($B41="언어와 매체",자동계산!$E$19,자동계산!$C$19),0)))</f>
        <v/>
      </c>
      <c r="BN41" s="72">
        <f>IF($A41="","",IF(U41="",0,IF(U41=IF($B41="언어와 매체",자동계산!$D$20,자동계산!$B$20),IF($B41="언어와 매체",자동계산!$E$20,자동계산!$C$20),0)))</f>
        <v/>
      </c>
      <c r="BO41" s="72">
        <f>IF($A41="","",IF(V41="",0,IF(V41=IF($B41="언어와 매체",자동계산!$D$21,자동계산!$B$21),IF($B41="언어와 매체",자동계산!$E$21,자동계산!$C$21),0)))</f>
        <v/>
      </c>
      <c r="BP41" s="72">
        <f>IF($A41="","",IF(W41="",0,IF(W41=IF($B41="언어와 매체",자동계산!$D$22,자동계산!$B$22),IF($B41="언어와 매체",자동계산!$E$22,자동계산!$C$22),0)))</f>
        <v/>
      </c>
      <c r="BQ41" s="72">
        <f>IF($A41="","",IF(X41="",0,IF(X41=IF($B41="언어와 매체",자동계산!$D$23,자동계산!$B$23),IF($B41="언어와 매체",자동계산!$E$23,자동계산!$C$23),0)))</f>
        <v/>
      </c>
      <c r="BR41" s="72">
        <f>IF($A41="","",IF(Y41="",0,IF(Y41=IF($B41="언어와 매체",자동계산!$D$24,자동계산!$B$24),IF($B41="언어와 매체",자동계산!$E$24,자동계산!$C$24),0)))</f>
        <v/>
      </c>
      <c r="BS41" s="72">
        <f>IF($A41="","",IF(Z41="",0,IF(Z41=IF($B41="언어와 매체",자동계산!$D$25,자동계산!$B$25),IF($B41="언어와 매체",자동계산!$E$25,자동계산!$C$25),0)))</f>
        <v/>
      </c>
      <c r="BT41" s="72">
        <f>IF($A41="","",IF(AA41="",0,IF(AA41=IF($B41="언어와 매체",자동계산!$D$26,자동계산!$B$26),IF($B41="언어와 매체",자동계산!$E$26,자동계산!$C$26),0)))</f>
        <v/>
      </c>
      <c r="BU41" s="72">
        <f>IF($A41="","",IF(AB41="",0,IF(AB41=IF($B41="언어와 매체",자동계산!$D$27,자동계산!$B$27),IF($B41="언어와 매체",자동계산!$E$27,자동계산!$C$27),0)))</f>
        <v/>
      </c>
      <c r="BV41" s="72">
        <f>IF($A41="","",IF(AC41="",0,IF(AC41=IF($B41="언어와 매체",자동계산!$D$28,자동계산!$B$28),IF($B41="언어와 매체",자동계산!$E$28,자동계산!$C$28),0)))</f>
        <v/>
      </c>
      <c r="BW41" s="72">
        <f>IF($A41="","",IF(AD41="",0,IF(AD41=IF($B41="언어와 매체",자동계산!$D$29,자동계산!$B$29),IF($B41="언어와 매체",자동계산!$E$29,자동계산!$C$29),0)))</f>
        <v/>
      </c>
      <c r="BX41" s="72">
        <f>IF($A41="","",IF(AE41="",0,IF(AE41=IF($B41="언어와 매체",자동계산!$D$30,자동계산!$B$30),IF($B41="언어와 매체",자동계산!$E$30,자동계산!$C$30),0)))</f>
        <v/>
      </c>
      <c r="BY41" s="72">
        <f>IF($A41="","",IF(AF41="",0,IF(AF41=IF($B41="언어와 매체",자동계산!$D$31,자동계산!$B$31),IF($B41="언어와 매체",자동계산!$E$31,자동계산!$C$31),0)))</f>
        <v/>
      </c>
      <c r="BZ41" s="72">
        <f>IF($A41="","",IF(AG41="",0,IF(AG41=IF($B41="언어와 매체",자동계산!$D$32,자동계산!$B$32),IF($B41="언어와 매체",자동계산!$E$32,자동계산!$C$32),0)))</f>
        <v/>
      </c>
      <c r="CA41" s="72">
        <f>IF($A41="","",IF(AH41="",0,IF(AH41=IF($B41="언어와 매체",자동계산!$D$33,자동계산!$B$33),IF($B41="언어와 매체",자동계산!$E$33,자동계산!$C$33),0)))</f>
        <v/>
      </c>
      <c r="CB41" s="72">
        <f>IF($A41="","",IF(AI41="",0,IF(AI41=IF($B41="언어와 매체",자동계산!$D$34,자동계산!$B$34),IF($B41="언어와 매체",자동계산!$E$34,자동계산!$C$34),0)))</f>
        <v/>
      </c>
      <c r="CC41" s="72">
        <f>IF($A41="","",IF(AJ41="",0,IF(AJ41=IF($B41="언어와 매체",자동계산!$D$35,자동계산!$B$35),IF($B41="언어와 매체",자동계산!$E$35,자동계산!$C$35),0)))</f>
        <v/>
      </c>
      <c r="CD41" s="72">
        <f>IF($A41="","",IF(AK41="",0,IF(AK41=IF($B41="언어와 매체",자동계산!$D$36,자동계산!$B$36),IF($B41="언어와 매체",자동계산!$E$36,자동계산!$C$36),0)))</f>
        <v/>
      </c>
      <c r="CE41" s="72">
        <f>IF($A41="","",IF(AL41="",0,IF(AL41=IF($B41="언어와 매체",자동계산!$D$37,자동계산!$B$37),IF($B41="언어와 매체",자동계산!$E$37,자동계산!$C$37),0)))</f>
        <v/>
      </c>
      <c r="CF41" s="72">
        <f>IF($A41="","",IF(AM41="",0,IF(AM41=IF($B41="언어와 매체",자동계산!$D$38,자동계산!$B$38),IF($B41="언어와 매체",자동계산!$E$38,자동계산!$C$38),0)))</f>
        <v/>
      </c>
      <c r="CG41" s="72">
        <f>IF($A41="","",IF(AN41="",0,IF(AN41=IF($B41="언어와 매체",자동계산!$D$39,자동계산!$B$39),IF($B41="언어와 매체",자동계산!$E$39,자동계산!$C$39),0)))</f>
        <v/>
      </c>
      <c r="CH41" s="72">
        <f>IF($A41="","",IF(AO41="",0,IF(AO41=IF($B41="언어와 매체",자동계산!$D$40,자동계산!$B$40),IF($B41="언어와 매체",자동계산!$E$40,자동계산!$C$40),0)))</f>
        <v/>
      </c>
      <c r="CI41" s="72">
        <f>IF($A41="","",IF(AP41="",0,IF(AP41=IF($B41="언어와 매체",자동계산!$D$41,자동계산!$B$41),IF($B41="언어와 매체",자동계산!$E$41,자동계산!$C$41),0)))</f>
        <v/>
      </c>
      <c r="CJ41" s="72">
        <f>IF($A41="","",IF(AQ41="",0,IF(AQ41=IF($B41="언어와 매체",자동계산!$D$42,자동계산!$B$42),IF($B41="언어와 매체",자동계산!$E$42,자동계산!$C$42),0)))</f>
        <v/>
      </c>
      <c r="CK41" s="72">
        <f>IF($A41="","",IF(AR41="",0,IF(AR41=IF($B41="언어와 매체",자동계산!$D$43,자동계산!$B$43),IF($B41="언어와 매체",자동계산!$E$43,자동계산!$C$43),0)))</f>
        <v/>
      </c>
      <c r="CL41" s="72">
        <f>IF($A41="","",IF(AS41="",0,IF(AS41=IF($B41="언어와 매체",자동계산!$D$44,자동계산!$B$44),IF($B41="언어와 매체",자동계산!$E$44,자동계산!$C$44),0)))</f>
        <v/>
      </c>
      <c r="CM41" s="72">
        <f>IF($A41="","",IF(AT41="",0,IF(AT41=IF($B41="언어와 매체",자동계산!$D$45,자동계산!$B$45),IF($B41="언어와 매체",자동계산!$E$45,자동계산!$C$45),0)))</f>
        <v/>
      </c>
      <c r="CN41" s="72">
        <f>IF($A41="","",IF(AU41="",0,IF(AU41=IF($B41="언어와 매체",자동계산!$D$46,자동계산!$B$46),IF($B41="언어와 매체",자동계산!$E$46,자동계산!$C$46),0)))</f>
        <v/>
      </c>
      <c r="CO41" s="72">
        <f>IF($A41="","",IF(AV41="",0,IF(AV41=IF($B41="언어와 매체",자동계산!$D$47,자동계산!$B$47),IF($B41="언어와 매체",자동계산!$E$47,자동계산!$C$47),0)))</f>
        <v/>
      </c>
      <c r="CP41" s="72">
        <f>IF($A41="","",IF(AW41="",0,IF(AW41=IF($B41="언어와 매체",자동계산!$D$48,자동계산!$B$48),IF($B41="언어와 매체",자동계산!$E$48,자동계산!$C$48),0)))</f>
        <v/>
      </c>
    </row>
    <row r="42">
      <c r="A42" s="70">
        <f>IF(답안입력!A42="","",답안입력!A42)</f>
        <v/>
      </c>
      <c r="B42" s="70">
        <f>IF($A42="","",답안입력!C42)</f>
        <v/>
      </c>
      <c r="C42" s="71">
        <f>IF($A42="","",SUM(AX42:CP42))</f>
        <v/>
      </c>
      <c r="D42" s="70">
        <f>IF($A42="","",IF($C42&gt;=IF($B42="언어와 매체",회차설정!$B$9,회차설정!$B$8),"1등급",IF($C42&gt;=IF($B42="언어와 매체",회차설정!$C$9,회차설정!$C$8),"2등급",IF($C42&gt;=IF($B42="언어와 매체",회차설정!$D$9,회차설정!$D$8),"3등급",IF($C42&gt;=IF($B42="언어와 매체",회차설정!$E$9,회차설정!$E$8),"4등급","등급 외")))))</f>
        <v/>
      </c>
      <c r="E42" s="72">
        <f>IF($A42="","",IF(LEN(답안입력!$D42)&gt;=1,VALUE(MID(답안입력!$D42,1,1)),IF(답안입력!E42="","",답안입력!E42)))</f>
        <v/>
      </c>
      <c r="F42" s="72">
        <f>IF($A42="","",IF(LEN(답안입력!$D42)&gt;=2,VALUE(MID(답안입력!$D42,2,1)),IF(답안입력!F42="","",답안입력!F42)))</f>
        <v/>
      </c>
      <c r="G42" s="72">
        <f>IF($A42="","",IF(LEN(답안입력!$D42)&gt;=3,VALUE(MID(답안입력!$D42,3,1)),IF(답안입력!G42="","",답안입력!G42)))</f>
        <v/>
      </c>
      <c r="H42" s="72">
        <f>IF($A42="","",IF(LEN(답안입력!$D42)&gt;=4,VALUE(MID(답안입력!$D42,4,1)),IF(답안입력!H42="","",답안입력!H42)))</f>
        <v/>
      </c>
      <c r="I42" s="72">
        <f>IF($A42="","",IF(LEN(답안입력!$D42)&gt;=5,VALUE(MID(답안입력!$D42,5,1)),IF(답안입력!I42="","",답안입력!I42)))</f>
        <v/>
      </c>
      <c r="J42" s="72">
        <f>IF($A42="","",IF(LEN(답안입력!$D42)&gt;=6,VALUE(MID(답안입력!$D42,6,1)),IF(답안입력!J42="","",답안입력!J42)))</f>
        <v/>
      </c>
      <c r="K42" s="72">
        <f>IF($A42="","",IF(LEN(답안입력!$D42)&gt;=7,VALUE(MID(답안입력!$D42,7,1)),IF(답안입력!K42="","",답안입력!K42)))</f>
        <v/>
      </c>
      <c r="L42" s="72">
        <f>IF($A42="","",IF(LEN(답안입력!$D42)&gt;=8,VALUE(MID(답안입력!$D42,8,1)),IF(답안입력!L42="","",답안입력!L42)))</f>
        <v/>
      </c>
      <c r="M42" s="72">
        <f>IF($A42="","",IF(LEN(답안입력!$D42)&gt;=9,VALUE(MID(답안입력!$D42,9,1)),IF(답안입력!M42="","",답안입력!M42)))</f>
        <v/>
      </c>
      <c r="N42" s="72">
        <f>IF($A42="","",IF(LEN(답안입력!$D42)&gt;=10,VALUE(MID(답안입력!$D42,10,1)),IF(답안입력!N42="","",답안입력!N42)))</f>
        <v/>
      </c>
      <c r="O42" s="72">
        <f>IF($A42="","",IF(LEN(답안입력!$D42)&gt;=11,VALUE(MID(답안입력!$D42,11,1)),IF(답안입력!O42="","",답안입력!O42)))</f>
        <v/>
      </c>
      <c r="P42" s="72">
        <f>IF($A42="","",IF(LEN(답안입력!$D42)&gt;=12,VALUE(MID(답안입력!$D42,12,1)),IF(답안입력!P42="","",답안입력!P42)))</f>
        <v/>
      </c>
      <c r="Q42" s="72">
        <f>IF($A42="","",IF(LEN(답안입력!$D42)&gt;=13,VALUE(MID(답안입력!$D42,13,1)),IF(답안입력!Q42="","",답안입력!Q42)))</f>
        <v/>
      </c>
      <c r="R42" s="72">
        <f>IF($A42="","",IF(LEN(답안입력!$D42)&gt;=14,VALUE(MID(답안입력!$D42,14,1)),IF(답안입력!R42="","",답안입력!R42)))</f>
        <v/>
      </c>
      <c r="S42" s="72">
        <f>IF($A42="","",IF(LEN(답안입력!$D42)&gt;=15,VALUE(MID(답안입력!$D42,15,1)),IF(답안입력!S42="","",답안입력!S42)))</f>
        <v/>
      </c>
      <c r="T42" s="72">
        <f>IF($A42="","",IF(LEN(답안입력!$D42)&gt;=16,VALUE(MID(답안입력!$D42,16,1)),IF(답안입력!T42="","",답안입력!T42)))</f>
        <v/>
      </c>
      <c r="U42" s="72">
        <f>IF($A42="","",IF(LEN(답안입력!$D42)&gt;=17,VALUE(MID(답안입력!$D42,17,1)),IF(답안입력!U42="","",답안입력!U42)))</f>
        <v/>
      </c>
      <c r="V42" s="72">
        <f>IF($A42="","",IF(LEN(답안입력!$D42)&gt;=18,VALUE(MID(답안입력!$D42,18,1)),IF(답안입력!V42="","",답안입력!V42)))</f>
        <v/>
      </c>
      <c r="W42" s="72">
        <f>IF($A42="","",IF(LEN(답안입력!$D42)&gt;=19,VALUE(MID(답안입력!$D42,19,1)),IF(답안입력!W42="","",답안입력!W42)))</f>
        <v/>
      </c>
      <c r="X42" s="72">
        <f>IF($A42="","",IF(LEN(답안입력!$D42)&gt;=20,VALUE(MID(답안입력!$D42,20,1)),IF(답안입력!X42="","",답안입력!X42)))</f>
        <v/>
      </c>
      <c r="Y42" s="72">
        <f>IF($A42="","",IF(LEN(답안입력!$D42)&gt;=21,VALUE(MID(답안입력!$D42,21,1)),IF(답안입력!Y42="","",답안입력!Y42)))</f>
        <v/>
      </c>
      <c r="Z42" s="72">
        <f>IF($A42="","",IF(LEN(답안입력!$D42)&gt;=22,VALUE(MID(답안입력!$D42,22,1)),IF(답안입력!Z42="","",답안입력!Z42)))</f>
        <v/>
      </c>
      <c r="AA42" s="72">
        <f>IF($A42="","",IF(LEN(답안입력!$D42)&gt;=23,VALUE(MID(답안입력!$D42,23,1)),IF(답안입력!AA42="","",답안입력!AA42)))</f>
        <v/>
      </c>
      <c r="AB42" s="72">
        <f>IF($A42="","",IF(LEN(답안입력!$D42)&gt;=24,VALUE(MID(답안입력!$D42,24,1)),IF(답안입력!AB42="","",답안입력!AB42)))</f>
        <v/>
      </c>
      <c r="AC42" s="72">
        <f>IF($A42="","",IF(LEN(답안입력!$D42)&gt;=25,VALUE(MID(답안입력!$D42,25,1)),IF(답안입력!AC42="","",답안입력!AC42)))</f>
        <v/>
      </c>
      <c r="AD42" s="72">
        <f>IF($A42="","",IF(LEN(답안입력!$D42)&gt;=26,VALUE(MID(답안입력!$D42,26,1)),IF(답안입력!AD42="","",답안입력!AD42)))</f>
        <v/>
      </c>
      <c r="AE42" s="72">
        <f>IF($A42="","",IF(LEN(답안입력!$D42)&gt;=27,VALUE(MID(답안입력!$D42,27,1)),IF(답안입력!AE42="","",답안입력!AE42)))</f>
        <v/>
      </c>
      <c r="AF42" s="72">
        <f>IF($A42="","",IF(LEN(답안입력!$D42)&gt;=28,VALUE(MID(답안입력!$D42,28,1)),IF(답안입력!AF42="","",답안입력!AF42)))</f>
        <v/>
      </c>
      <c r="AG42" s="72">
        <f>IF($A42="","",IF(LEN(답안입력!$D42)&gt;=29,VALUE(MID(답안입력!$D42,29,1)),IF(답안입력!AG42="","",답안입력!AG42)))</f>
        <v/>
      </c>
      <c r="AH42" s="72">
        <f>IF($A42="","",IF(LEN(답안입력!$D42)&gt;=30,VALUE(MID(답안입력!$D42,30,1)),IF(답안입력!AH42="","",답안입력!AH42)))</f>
        <v/>
      </c>
      <c r="AI42" s="72">
        <f>IF($A42="","",IF(LEN(답안입력!$D42)&gt;=31,VALUE(MID(답안입력!$D42,31,1)),IF(답안입력!AI42="","",답안입력!AI42)))</f>
        <v/>
      </c>
      <c r="AJ42" s="72">
        <f>IF($A42="","",IF(LEN(답안입력!$D42)&gt;=32,VALUE(MID(답안입력!$D42,32,1)),IF(답안입력!AJ42="","",답안입력!AJ42)))</f>
        <v/>
      </c>
      <c r="AK42" s="72">
        <f>IF($A42="","",IF(LEN(답안입력!$D42)&gt;=33,VALUE(MID(답안입력!$D42,33,1)),IF(답안입력!AK42="","",답안입력!AK42)))</f>
        <v/>
      </c>
      <c r="AL42" s="72">
        <f>IF($A42="","",IF(LEN(답안입력!$D42)&gt;=34,VALUE(MID(답안입력!$D42,34,1)),IF(답안입력!AL42="","",답안입력!AL42)))</f>
        <v/>
      </c>
      <c r="AM42" s="72">
        <f>IF($A42="","",IF(LEN(답안입력!$D42)&gt;=35,VALUE(MID(답안입력!$D42,35,1)),IF(답안입력!AM42="","",답안입력!AM42)))</f>
        <v/>
      </c>
      <c r="AN42" s="72">
        <f>IF($A42="","",IF(LEN(답안입력!$D42)&gt;=36,VALUE(MID(답안입력!$D42,36,1)),IF(답안입력!AN42="","",답안입력!AN42)))</f>
        <v/>
      </c>
      <c r="AO42" s="72">
        <f>IF($A42="","",IF(LEN(답안입력!$D42)&gt;=37,VALUE(MID(답안입력!$D42,37,1)),IF(답안입력!AO42="","",답안입력!AO42)))</f>
        <v/>
      </c>
      <c r="AP42" s="72">
        <f>IF($A42="","",IF(LEN(답안입력!$D42)&gt;=38,VALUE(MID(답안입력!$D42,38,1)),IF(답안입력!AP42="","",답안입력!AP42)))</f>
        <v/>
      </c>
      <c r="AQ42" s="72">
        <f>IF($A42="","",IF(LEN(답안입력!$D42)&gt;=39,VALUE(MID(답안입력!$D42,39,1)),IF(답안입력!AQ42="","",답안입력!AQ42)))</f>
        <v/>
      </c>
      <c r="AR42" s="72">
        <f>IF($A42="","",IF(LEN(답안입력!$D42)&gt;=40,VALUE(MID(답안입력!$D42,40,1)),IF(답안입력!AR42="","",답안입력!AR42)))</f>
        <v/>
      </c>
      <c r="AS42" s="72">
        <f>IF($A42="","",IF(LEN(답안입력!$D42)&gt;=41,VALUE(MID(답안입력!$D42,41,1)),IF(답안입력!AS42="","",답안입력!AS42)))</f>
        <v/>
      </c>
      <c r="AT42" s="72">
        <f>IF($A42="","",IF(LEN(답안입력!$D42)&gt;=42,VALUE(MID(답안입력!$D42,42,1)),IF(답안입력!AT42="","",답안입력!AT42)))</f>
        <v/>
      </c>
      <c r="AU42" s="72">
        <f>IF($A42="","",IF(LEN(답안입력!$D42)&gt;=43,VALUE(MID(답안입력!$D42,43,1)),IF(답안입력!AU42="","",답안입력!AU42)))</f>
        <v/>
      </c>
      <c r="AV42" s="72">
        <f>IF($A42="","",IF(LEN(답안입력!$D42)&gt;=44,VALUE(MID(답안입력!$D42,44,1)),IF(답안입력!AV42="","",답안입력!AV42)))</f>
        <v/>
      </c>
      <c r="AW42" s="72">
        <f>IF($A42="","",IF(LEN(답안입력!$D42)&gt;=45,VALUE(MID(답안입력!$D42,45,1)),IF(답안입력!AW42="","",답안입력!AW42)))</f>
        <v/>
      </c>
      <c r="AX42" s="72">
        <f>IF($A42="","",IF(E42="",0,IF(E42=IF($B42="언어와 매체",자동계산!$D$4,자동계산!$B$4),IF($B42="언어와 매체",자동계산!$E$4,자동계산!$C$4),0)))</f>
        <v/>
      </c>
      <c r="AY42" s="72">
        <f>IF($A42="","",IF(F42="",0,IF(F42=IF($B42="언어와 매체",자동계산!$D$5,자동계산!$B$5),IF($B42="언어와 매체",자동계산!$E$5,자동계산!$C$5),0)))</f>
        <v/>
      </c>
      <c r="AZ42" s="72">
        <f>IF($A42="","",IF(G42="",0,IF(G42=IF($B42="언어와 매체",자동계산!$D$6,자동계산!$B$6),IF($B42="언어와 매체",자동계산!$E$6,자동계산!$C$6),0)))</f>
        <v/>
      </c>
      <c r="BA42" s="72">
        <f>IF($A42="","",IF(H42="",0,IF(H42=IF($B42="언어와 매체",자동계산!$D$7,자동계산!$B$7),IF($B42="언어와 매체",자동계산!$E$7,자동계산!$C$7),0)))</f>
        <v/>
      </c>
      <c r="BB42" s="72">
        <f>IF($A42="","",IF(I42="",0,IF(I42=IF($B42="언어와 매체",자동계산!$D$8,자동계산!$B$8),IF($B42="언어와 매체",자동계산!$E$8,자동계산!$C$8),0)))</f>
        <v/>
      </c>
      <c r="BC42" s="72">
        <f>IF($A42="","",IF(J42="",0,IF(J42=IF($B42="언어와 매체",자동계산!$D$9,자동계산!$B$9),IF($B42="언어와 매체",자동계산!$E$9,자동계산!$C$9),0)))</f>
        <v/>
      </c>
      <c r="BD42" s="72">
        <f>IF($A42="","",IF(K42="",0,IF(K42=IF($B42="언어와 매체",자동계산!$D$10,자동계산!$B$10),IF($B42="언어와 매체",자동계산!$E$10,자동계산!$C$10),0)))</f>
        <v/>
      </c>
      <c r="BE42" s="72">
        <f>IF($A42="","",IF(L42="",0,IF(L42=IF($B42="언어와 매체",자동계산!$D$11,자동계산!$B$11),IF($B42="언어와 매체",자동계산!$E$11,자동계산!$C$11),0)))</f>
        <v/>
      </c>
      <c r="BF42" s="72">
        <f>IF($A42="","",IF(M42="",0,IF(M42=IF($B42="언어와 매체",자동계산!$D$12,자동계산!$B$12),IF($B42="언어와 매체",자동계산!$E$12,자동계산!$C$12),0)))</f>
        <v/>
      </c>
      <c r="BG42" s="72">
        <f>IF($A42="","",IF(N42="",0,IF(N42=IF($B42="언어와 매체",자동계산!$D$13,자동계산!$B$13),IF($B42="언어와 매체",자동계산!$E$13,자동계산!$C$13),0)))</f>
        <v/>
      </c>
      <c r="BH42" s="72">
        <f>IF($A42="","",IF(O42="",0,IF(O42=IF($B42="언어와 매체",자동계산!$D$14,자동계산!$B$14),IF($B42="언어와 매체",자동계산!$E$14,자동계산!$C$14),0)))</f>
        <v/>
      </c>
      <c r="BI42" s="72">
        <f>IF($A42="","",IF(P42="",0,IF(P42=IF($B42="언어와 매체",자동계산!$D$15,자동계산!$B$15),IF($B42="언어와 매체",자동계산!$E$15,자동계산!$C$15),0)))</f>
        <v/>
      </c>
      <c r="BJ42" s="72">
        <f>IF($A42="","",IF(Q42="",0,IF(Q42=IF($B42="언어와 매체",자동계산!$D$16,자동계산!$B$16),IF($B42="언어와 매체",자동계산!$E$16,자동계산!$C$16),0)))</f>
        <v/>
      </c>
      <c r="BK42" s="72">
        <f>IF($A42="","",IF(R42="",0,IF(R42=IF($B42="언어와 매체",자동계산!$D$17,자동계산!$B$17),IF($B42="언어와 매체",자동계산!$E$17,자동계산!$C$17),0)))</f>
        <v/>
      </c>
      <c r="BL42" s="72">
        <f>IF($A42="","",IF(S42="",0,IF(S42=IF($B42="언어와 매체",자동계산!$D$18,자동계산!$B$18),IF($B42="언어와 매체",자동계산!$E$18,자동계산!$C$18),0)))</f>
        <v/>
      </c>
      <c r="BM42" s="72">
        <f>IF($A42="","",IF(T42="",0,IF(T42=IF($B42="언어와 매체",자동계산!$D$19,자동계산!$B$19),IF($B42="언어와 매체",자동계산!$E$19,자동계산!$C$19),0)))</f>
        <v/>
      </c>
      <c r="BN42" s="72">
        <f>IF($A42="","",IF(U42="",0,IF(U42=IF($B42="언어와 매체",자동계산!$D$20,자동계산!$B$20),IF($B42="언어와 매체",자동계산!$E$20,자동계산!$C$20),0)))</f>
        <v/>
      </c>
      <c r="BO42" s="72">
        <f>IF($A42="","",IF(V42="",0,IF(V42=IF($B42="언어와 매체",자동계산!$D$21,자동계산!$B$21),IF($B42="언어와 매체",자동계산!$E$21,자동계산!$C$21),0)))</f>
        <v/>
      </c>
      <c r="BP42" s="72">
        <f>IF($A42="","",IF(W42="",0,IF(W42=IF($B42="언어와 매체",자동계산!$D$22,자동계산!$B$22),IF($B42="언어와 매체",자동계산!$E$22,자동계산!$C$22),0)))</f>
        <v/>
      </c>
      <c r="BQ42" s="72">
        <f>IF($A42="","",IF(X42="",0,IF(X42=IF($B42="언어와 매체",자동계산!$D$23,자동계산!$B$23),IF($B42="언어와 매체",자동계산!$E$23,자동계산!$C$23),0)))</f>
        <v/>
      </c>
      <c r="BR42" s="72">
        <f>IF($A42="","",IF(Y42="",0,IF(Y42=IF($B42="언어와 매체",자동계산!$D$24,자동계산!$B$24),IF($B42="언어와 매체",자동계산!$E$24,자동계산!$C$24),0)))</f>
        <v/>
      </c>
      <c r="BS42" s="72">
        <f>IF($A42="","",IF(Z42="",0,IF(Z42=IF($B42="언어와 매체",자동계산!$D$25,자동계산!$B$25),IF($B42="언어와 매체",자동계산!$E$25,자동계산!$C$25),0)))</f>
        <v/>
      </c>
      <c r="BT42" s="72">
        <f>IF($A42="","",IF(AA42="",0,IF(AA42=IF($B42="언어와 매체",자동계산!$D$26,자동계산!$B$26),IF($B42="언어와 매체",자동계산!$E$26,자동계산!$C$26),0)))</f>
        <v/>
      </c>
      <c r="BU42" s="72">
        <f>IF($A42="","",IF(AB42="",0,IF(AB42=IF($B42="언어와 매체",자동계산!$D$27,자동계산!$B$27),IF($B42="언어와 매체",자동계산!$E$27,자동계산!$C$27),0)))</f>
        <v/>
      </c>
      <c r="BV42" s="72">
        <f>IF($A42="","",IF(AC42="",0,IF(AC42=IF($B42="언어와 매체",자동계산!$D$28,자동계산!$B$28),IF($B42="언어와 매체",자동계산!$E$28,자동계산!$C$28),0)))</f>
        <v/>
      </c>
      <c r="BW42" s="72">
        <f>IF($A42="","",IF(AD42="",0,IF(AD42=IF($B42="언어와 매체",자동계산!$D$29,자동계산!$B$29),IF($B42="언어와 매체",자동계산!$E$29,자동계산!$C$29),0)))</f>
        <v/>
      </c>
      <c r="BX42" s="72">
        <f>IF($A42="","",IF(AE42="",0,IF(AE42=IF($B42="언어와 매체",자동계산!$D$30,자동계산!$B$30),IF($B42="언어와 매체",자동계산!$E$30,자동계산!$C$30),0)))</f>
        <v/>
      </c>
      <c r="BY42" s="72">
        <f>IF($A42="","",IF(AF42="",0,IF(AF42=IF($B42="언어와 매체",자동계산!$D$31,자동계산!$B$31),IF($B42="언어와 매체",자동계산!$E$31,자동계산!$C$31),0)))</f>
        <v/>
      </c>
      <c r="BZ42" s="72">
        <f>IF($A42="","",IF(AG42="",0,IF(AG42=IF($B42="언어와 매체",자동계산!$D$32,자동계산!$B$32),IF($B42="언어와 매체",자동계산!$E$32,자동계산!$C$32),0)))</f>
        <v/>
      </c>
      <c r="CA42" s="72">
        <f>IF($A42="","",IF(AH42="",0,IF(AH42=IF($B42="언어와 매체",자동계산!$D$33,자동계산!$B$33),IF($B42="언어와 매체",자동계산!$E$33,자동계산!$C$33),0)))</f>
        <v/>
      </c>
      <c r="CB42" s="72">
        <f>IF($A42="","",IF(AI42="",0,IF(AI42=IF($B42="언어와 매체",자동계산!$D$34,자동계산!$B$34),IF($B42="언어와 매체",자동계산!$E$34,자동계산!$C$34),0)))</f>
        <v/>
      </c>
      <c r="CC42" s="72">
        <f>IF($A42="","",IF(AJ42="",0,IF(AJ42=IF($B42="언어와 매체",자동계산!$D$35,자동계산!$B$35),IF($B42="언어와 매체",자동계산!$E$35,자동계산!$C$35),0)))</f>
        <v/>
      </c>
      <c r="CD42" s="72">
        <f>IF($A42="","",IF(AK42="",0,IF(AK42=IF($B42="언어와 매체",자동계산!$D$36,자동계산!$B$36),IF($B42="언어와 매체",자동계산!$E$36,자동계산!$C$36),0)))</f>
        <v/>
      </c>
      <c r="CE42" s="72">
        <f>IF($A42="","",IF(AL42="",0,IF(AL42=IF($B42="언어와 매체",자동계산!$D$37,자동계산!$B$37),IF($B42="언어와 매체",자동계산!$E$37,자동계산!$C$37),0)))</f>
        <v/>
      </c>
      <c r="CF42" s="72">
        <f>IF($A42="","",IF(AM42="",0,IF(AM42=IF($B42="언어와 매체",자동계산!$D$38,자동계산!$B$38),IF($B42="언어와 매체",자동계산!$E$38,자동계산!$C$38),0)))</f>
        <v/>
      </c>
      <c r="CG42" s="72">
        <f>IF($A42="","",IF(AN42="",0,IF(AN42=IF($B42="언어와 매체",자동계산!$D$39,자동계산!$B$39),IF($B42="언어와 매체",자동계산!$E$39,자동계산!$C$39),0)))</f>
        <v/>
      </c>
      <c r="CH42" s="72">
        <f>IF($A42="","",IF(AO42="",0,IF(AO42=IF($B42="언어와 매체",자동계산!$D$40,자동계산!$B$40),IF($B42="언어와 매체",자동계산!$E$40,자동계산!$C$40),0)))</f>
        <v/>
      </c>
      <c r="CI42" s="72">
        <f>IF($A42="","",IF(AP42="",0,IF(AP42=IF($B42="언어와 매체",자동계산!$D$41,자동계산!$B$41),IF($B42="언어와 매체",자동계산!$E$41,자동계산!$C$41),0)))</f>
        <v/>
      </c>
      <c r="CJ42" s="72">
        <f>IF($A42="","",IF(AQ42="",0,IF(AQ42=IF($B42="언어와 매체",자동계산!$D$42,자동계산!$B$42),IF($B42="언어와 매체",자동계산!$E$42,자동계산!$C$42),0)))</f>
        <v/>
      </c>
      <c r="CK42" s="72">
        <f>IF($A42="","",IF(AR42="",0,IF(AR42=IF($B42="언어와 매체",자동계산!$D$43,자동계산!$B$43),IF($B42="언어와 매체",자동계산!$E$43,자동계산!$C$43),0)))</f>
        <v/>
      </c>
      <c r="CL42" s="72">
        <f>IF($A42="","",IF(AS42="",0,IF(AS42=IF($B42="언어와 매체",자동계산!$D$44,자동계산!$B$44),IF($B42="언어와 매체",자동계산!$E$44,자동계산!$C$44),0)))</f>
        <v/>
      </c>
      <c r="CM42" s="72">
        <f>IF($A42="","",IF(AT42="",0,IF(AT42=IF($B42="언어와 매체",자동계산!$D$45,자동계산!$B$45),IF($B42="언어와 매체",자동계산!$E$45,자동계산!$C$45),0)))</f>
        <v/>
      </c>
      <c r="CN42" s="72">
        <f>IF($A42="","",IF(AU42="",0,IF(AU42=IF($B42="언어와 매체",자동계산!$D$46,자동계산!$B$46),IF($B42="언어와 매체",자동계산!$E$46,자동계산!$C$46),0)))</f>
        <v/>
      </c>
      <c r="CO42" s="72">
        <f>IF($A42="","",IF(AV42="",0,IF(AV42=IF($B42="언어와 매체",자동계산!$D$47,자동계산!$B$47),IF($B42="언어와 매체",자동계산!$E$47,자동계산!$C$47),0)))</f>
        <v/>
      </c>
      <c r="CP42" s="72">
        <f>IF($A42="","",IF(AW42="",0,IF(AW42=IF($B42="언어와 매체",자동계산!$D$48,자동계산!$B$48),IF($B42="언어와 매체",자동계산!$E$48,자동계산!$C$48),0)))</f>
        <v/>
      </c>
    </row>
    <row r="43">
      <c r="A43" s="70">
        <f>IF(답안입력!A43="","",답안입력!A43)</f>
        <v/>
      </c>
      <c r="B43" s="70">
        <f>IF($A43="","",답안입력!C43)</f>
        <v/>
      </c>
      <c r="C43" s="71">
        <f>IF($A43="","",SUM(AX43:CP43))</f>
        <v/>
      </c>
      <c r="D43" s="70">
        <f>IF($A43="","",IF($C43&gt;=IF($B43="언어와 매체",회차설정!$B$9,회차설정!$B$8),"1등급",IF($C43&gt;=IF($B43="언어와 매체",회차설정!$C$9,회차설정!$C$8),"2등급",IF($C43&gt;=IF($B43="언어와 매체",회차설정!$D$9,회차설정!$D$8),"3등급",IF($C43&gt;=IF($B43="언어와 매체",회차설정!$E$9,회차설정!$E$8),"4등급","등급 외")))))</f>
        <v/>
      </c>
      <c r="E43" s="72">
        <f>IF($A43="","",IF(LEN(답안입력!$D43)&gt;=1,VALUE(MID(답안입력!$D43,1,1)),IF(답안입력!E43="","",답안입력!E43)))</f>
        <v/>
      </c>
      <c r="F43" s="72">
        <f>IF($A43="","",IF(LEN(답안입력!$D43)&gt;=2,VALUE(MID(답안입력!$D43,2,1)),IF(답안입력!F43="","",답안입력!F43)))</f>
        <v/>
      </c>
      <c r="G43" s="72">
        <f>IF($A43="","",IF(LEN(답안입력!$D43)&gt;=3,VALUE(MID(답안입력!$D43,3,1)),IF(답안입력!G43="","",답안입력!G43)))</f>
        <v/>
      </c>
      <c r="H43" s="72">
        <f>IF($A43="","",IF(LEN(답안입력!$D43)&gt;=4,VALUE(MID(답안입력!$D43,4,1)),IF(답안입력!H43="","",답안입력!H43)))</f>
        <v/>
      </c>
      <c r="I43" s="72">
        <f>IF($A43="","",IF(LEN(답안입력!$D43)&gt;=5,VALUE(MID(답안입력!$D43,5,1)),IF(답안입력!I43="","",답안입력!I43)))</f>
        <v/>
      </c>
      <c r="J43" s="72">
        <f>IF($A43="","",IF(LEN(답안입력!$D43)&gt;=6,VALUE(MID(답안입력!$D43,6,1)),IF(답안입력!J43="","",답안입력!J43)))</f>
        <v/>
      </c>
      <c r="K43" s="72">
        <f>IF($A43="","",IF(LEN(답안입력!$D43)&gt;=7,VALUE(MID(답안입력!$D43,7,1)),IF(답안입력!K43="","",답안입력!K43)))</f>
        <v/>
      </c>
      <c r="L43" s="72">
        <f>IF($A43="","",IF(LEN(답안입력!$D43)&gt;=8,VALUE(MID(답안입력!$D43,8,1)),IF(답안입력!L43="","",답안입력!L43)))</f>
        <v/>
      </c>
      <c r="M43" s="72">
        <f>IF($A43="","",IF(LEN(답안입력!$D43)&gt;=9,VALUE(MID(답안입력!$D43,9,1)),IF(답안입력!M43="","",답안입력!M43)))</f>
        <v/>
      </c>
      <c r="N43" s="72">
        <f>IF($A43="","",IF(LEN(답안입력!$D43)&gt;=10,VALUE(MID(답안입력!$D43,10,1)),IF(답안입력!N43="","",답안입력!N43)))</f>
        <v/>
      </c>
      <c r="O43" s="72">
        <f>IF($A43="","",IF(LEN(답안입력!$D43)&gt;=11,VALUE(MID(답안입력!$D43,11,1)),IF(답안입력!O43="","",답안입력!O43)))</f>
        <v/>
      </c>
      <c r="P43" s="72">
        <f>IF($A43="","",IF(LEN(답안입력!$D43)&gt;=12,VALUE(MID(답안입력!$D43,12,1)),IF(답안입력!P43="","",답안입력!P43)))</f>
        <v/>
      </c>
      <c r="Q43" s="72">
        <f>IF($A43="","",IF(LEN(답안입력!$D43)&gt;=13,VALUE(MID(답안입력!$D43,13,1)),IF(답안입력!Q43="","",답안입력!Q43)))</f>
        <v/>
      </c>
      <c r="R43" s="72">
        <f>IF($A43="","",IF(LEN(답안입력!$D43)&gt;=14,VALUE(MID(답안입력!$D43,14,1)),IF(답안입력!R43="","",답안입력!R43)))</f>
        <v/>
      </c>
      <c r="S43" s="72">
        <f>IF($A43="","",IF(LEN(답안입력!$D43)&gt;=15,VALUE(MID(답안입력!$D43,15,1)),IF(답안입력!S43="","",답안입력!S43)))</f>
        <v/>
      </c>
      <c r="T43" s="72">
        <f>IF($A43="","",IF(LEN(답안입력!$D43)&gt;=16,VALUE(MID(답안입력!$D43,16,1)),IF(답안입력!T43="","",답안입력!T43)))</f>
        <v/>
      </c>
      <c r="U43" s="72">
        <f>IF($A43="","",IF(LEN(답안입력!$D43)&gt;=17,VALUE(MID(답안입력!$D43,17,1)),IF(답안입력!U43="","",답안입력!U43)))</f>
        <v/>
      </c>
      <c r="V43" s="72">
        <f>IF($A43="","",IF(LEN(답안입력!$D43)&gt;=18,VALUE(MID(답안입력!$D43,18,1)),IF(답안입력!V43="","",답안입력!V43)))</f>
        <v/>
      </c>
      <c r="W43" s="72">
        <f>IF($A43="","",IF(LEN(답안입력!$D43)&gt;=19,VALUE(MID(답안입력!$D43,19,1)),IF(답안입력!W43="","",답안입력!W43)))</f>
        <v/>
      </c>
      <c r="X43" s="72">
        <f>IF($A43="","",IF(LEN(답안입력!$D43)&gt;=20,VALUE(MID(답안입력!$D43,20,1)),IF(답안입력!X43="","",답안입력!X43)))</f>
        <v/>
      </c>
      <c r="Y43" s="72">
        <f>IF($A43="","",IF(LEN(답안입력!$D43)&gt;=21,VALUE(MID(답안입력!$D43,21,1)),IF(답안입력!Y43="","",답안입력!Y43)))</f>
        <v/>
      </c>
      <c r="Z43" s="72">
        <f>IF($A43="","",IF(LEN(답안입력!$D43)&gt;=22,VALUE(MID(답안입력!$D43,22,1)),IF(답안입력!Z43="","",답안입력!Z43)))</f>
        <v/>
      </c>
      <c r="AA43" s="72">
        <f>IF($A43="","",IF(LEN(답안입력!$D43)&gt;=23,VALUE(MID(답안입력!$D43,23,1)),IF(답안입력!AA43="","",답안입력!AA43)))</f>
        <v/>
      </c>
      <c r="AB43" s="72">
        <f>IF($A43="","",IF(LEN(답안입력!$D43)&gt;=24,VALUE(MID(답안입력!$D43,24,1)),IF(답안입력!AB43="","",답안입력!AB43)))</f>
        <v/>
      </c>
      <c r="AC43" s="72">
        <f>IF($A43="","",IF(LEN(답안입력!$D43)&gt;=25,VALUE(MID(답안입력!$D43,25,1)),IF(답안입력!AC43="","",답안입력!AC43)))</f>
        <v/>
      </c>
      <c r="AD43" s="72">
        <f>IF($A43="","",IF(LEN(답안입력!$D43)&gt;=26,VALUE(MID(답안입력!$D43,26,1)),IF(답안입력!AD43="","",답안입력!AD43)))</f>
        <v/>
      </c>
      <c r="AE43" s="72">
        <f>IF($A43="","",IF(LEN(답안입력!$D43)&gt;=27,VALUE(MID(답안입력!$D43,27,1)),IF(답안입력!AE43="","",답안입력!AE43)))</f>
        <v/>
      </c>
      <c r="AF43" s="72">
        <f>IF($A43="","",IF(LEN(답안입력!$D43)&gt;=28,VALUE(MID(답안입력!$D43,28,1)),IF(답안입력!AF43="","",답안입력!AF43)))</f>
        <v/>
      </c>
      <c r="AG43" s="72">
        <f>IF($A43="","",IF(LEN(답안입력!$D43)&gt;=29,VALUE(MID(답안입력!$D43,29,1)),IF(답안입력!AG43="","",답안입력!AG43)))</f>
        <v/>
      </c>
      <c r="AH43" s="72">
        <f>IF($A43="","",IF(LEN(답안입력!$D43)&gt;=30,VALUE(MID(답안입력!$D43,30,1)),IF(답안입력!AH43="","",답안입력!AH43)))</f>
        <v/>
      </c>
      <c r="AI43" s="72">
        <f>IF($A43="","",IF(LEN(답안입력!$D43)&gt;=31,VALUE(MID(답안입력!$D43,31,1)),IF(답안입력!AI43="","",답안입력!AI43)))</f>
        <v/>
      </c>
      <c r="AJ43" s="72">
        <f>IF($A43="","",IF(LEN(답안입력!$D43)&gt;=32,VALUE(MID(답안입력!$D43,32,1)),IF(답안입력!AJ43="","",답안입력!AJ43)))</f>
        <v/>
      </c>
      <c r="AK43" s="72">
        <f>IF($A43="","",IF(LEN(답안입력!$D43)&gt;=33,VALUE(MID(답안입력!$D43,33,1)),IF(답안입력!AK43="","",답안입력!AK43)))</f>
        <v/>
      </c>
      <c r="AL43" s="72">
        <f>IF($A43="","",IF(LEN(답안입력!$D43)&gt;=34,VALUE(MID(답안입력!$D43,34,1)),IF(답안입력!AL43="","",답안입력!AL43)))</f>
        <v/>
      </c>
      <c r="AM43" s="72">
        <f>IF($A43="","",IF(LEN(답안입력!$D43)&gt;=35,VALUE(MID(답안입력!$D43,35,1)),IF(답안입력!AM43="","",답안입력!AM43)))</f>
        <v/>
      </c>
      <c r="AN43" s="72">
        <f>IF($A43="","",IF(LEN(답안입력!$D43)&gt;=36,VALUE(MID(답안입력!$D43,36,1)),IF(답안입력!AN43="","",답안입력!AN43)))</f>
        <v/>
      </c>
      <c r="AO43" s="72">
        <f>IF($A43="","",IF(LEN(답안입력!$D43)&gt;=37,VALUE(MID(답안입력!$D43,37,1)),IF(답안입력!AO43="","",답안입력!AO43)))</f>
        <v/>
      </c>
      <c r="AP43" s="72">
        <f>IF($A43="","",IF(LEN(답안입력!$D43)&gt;=38,VALUE(MID(답안입력!$D43,38,1)),IF(답안입력!AP43="","",답안입력!AP43)))</f>
        <v/>
      </c>
      <c r="AQ43" s="72">
        <f>IF($A43="","",IF(LEN(답안입력!$D43)&gt;=39,VALUE(MID(답안입력!$D43,39,1)),IF(답안입력!AQ43="","",답안입력!AQ43)))</f>
        <v/>
      </c>
      <c r="AR43" s="72">
        <f>IF($A43="","",IF(LEN(답안입력!$D43)&gt;=40,VALUE(MID(답안입력!$D43,40,1)),IF(답안입력!AR43="","",답안입력!AR43)))</f>
        <v/>
      </c>
      <c r="AS43" s="72">
        <f>IF($A43="","",IF(LEN(답안입력!$D43)&gt;=41,VALUE(MID(답안입력!$D43,41,1)),IF(답안입력!AS43="","",답안입력!AS43)))</f>
        <v/>
      </c>
      <c r="AT43" s="72">
        <f>IF($A43="","",IF(LEN(답안입력!$D43)&gt;=42,VALUE(MID(답안입력!$D43,42,1)),IF(답안입력!AT43="","",답안입력!AT43)))</f>
        <v/>
      </c>
      <c r="AU43" s="72">
        <f>IF($A43="","",IF(LEN(답안입력!$D43)&gt;=43,VALUE(MID(답안입력!$D43,43,1)),IF(답안입력!AU43="","",답안입력!AU43)))</f>
        <v/>
      </c>
      <c r="AV43" s="72">
        <f>IF($A43="","",IF(LEN(답안입력!$D43)&gt;=44,VALUE(MID(답안입력!$D43,44,1)),IF(답안입력!AV43="","",답안입력!AV43)))</f>
        <v/>
      </c>
      <c r="AW43" s="72">
        <f>IF($A43="","",IF(LEN(답안입력!$D43)&gt;=45,VALUE(MID(답안입력!$D43,45,1)),IF(답안입력!AW43="","",답안입력!AW43)))</f>
        <v/>
      </c>
      <c r="AX43" s="72">
        <f>IF($A43="","",IF(E43="",0,IF(E43=IF($B43="언어와 매체",자동계산!$D$4,자동계산!$B$4),IF($B43="언어와 매체",자동계산!$E$4,자동계산!$C$4),0)))</f>
        <v/>
      </c>
      <c r="AY43" s="72">
        <f>IF($A43="","",IF(F43="",0,IF(F43=IF($B43="언어와 매체",자동계산!$D$5,자동계산!$B$5),IF($B43="언어와 매체",자동계산!$E$5,자동계산!$C$5),0)))</f>
        <v/>
      </c>
      <c r="AZ43" s="72">
        <f>IF($A43="","",IF(G43="",0,IF(G43=IF($B43="언어와 매체",자동계산!$D$6,자동계산!$B$6),IF($B43="언어와 매체",자동계산!$E$6,자동계산!$C$6),0)))</f>
        <v/>
      </c>
      <c r="BA43" s="72">
        <f>IF($A43="","",IF(H43="",0,IF(H43=IF($B43="언어와 매체",자동계산!$D$7,자동계산!$B$7),IF($B43="언어와 매체",자동계산!$E$7,자동계산!$C$7),0)))</f>
        <v/>
      </c>
      <c r="BB43" s="72">
        <f>IF($A43="","",IF(I43="",0,IF(I43=IF($B43="언어와 매체",자동계산!$D$8,자동계산!$B$8),IF($B43="언어와 매체",자동계산!$E$8,자동계산!$C$8),0)))</f>
        <v/>
      </c>
      <c r="BC43" s="72">
        <f>IF($A43="","",IF(J43="",0,IF(J43=IF($B43="언어와 매체",자동계산!$D$9,자동계산!$B$9),IF($B43="언어와 매체",자동계산!$E$9,자동계산!$C$9),0)))</f>
        <v/>
      </c>
      <c r="BD43" s="72">
        <f>IF($A43="","",IF(K43="",0,IF(K43=IF($B43="언어와 매체",자동계산!$D$10,자동계산!$B$10),IF($B43="언어와 매체",자동계산!$E$10,자동계산!$C$10),0)))</f>
        <v/>
      </c>
      <c r="BE43" s="72">
        <f>IF($A43="","",IF(L43="",0,IF(L43=IF($B43="언어와 매체",자동계산!$D$11,자동계산!$B$11),IF($B43="언어와 매체",자동계산!$E$11,자동계산!$C$11),0)))</f>
        <v/>
      </c>
      <c r="BF43" s="72">
        <f>IF($A43="","",IF(M43="",0,IF(M43=IF($B43="언어와 매체",자동계산!$D$12,자동계산!$B$12),IF($B43="언어와 매체",자동계산!$E$12,자동계산!$C$12),0)))</f>
        <v/>
      </c>
      <c r="BG43" s="72">
        <f>IF($A43="","",IF(N43="",0,IF(N43=IF($B43="언어와 매체",자동계산!$D$13,자동계산!$B$13),IF($B43="언어와 매체",자동계산!$E$13,자동계산!$C$13),0)))</f>
        <v/>
      </c>
      <c r="BH43" s="72">
        <f>IF($A43="","",IF(O43="",0,IF(O43=IF($B43="언어와 매체",자동계산!$D$14,자동계산!$B$14),IF($B43="언어와 매체",자동계산!$E$14,자동계산!$C$14),0)))</f>
        <v/>
      </c>
      <c r="BI43" s="72">
        <f>IF($A43="","",IF(P43="",0,IF(P43=IF($B43="언어와 매체",자동계산!$D$15,자동계산!$B$15),IF($B43="언어와 매체",자동계산!$E$15,자동계산!$C$15),0)))</f>
        <v/>
      </c>
      <c r="BJ43" s="72">
        <f>IF($A43="","",IF(Q43="",0,IF(Q43=IF($B43="언어와 매체",자동계산!$D$16,자동계산!$B$16),IF($B43="언어와 매체",자동계산!$E$16,자동계산!$C$16),0)))</f>
        <v/>
      </c>
      <c r="BK43" s="72">
        <f>IF($A43="","",IF(R43="",0,IF(R43=IF($B43="언어와 매체",자동계산!$D$17,자동계산!$B$17),IF($B43="언어와 매체",자동계산!$E$17,자동계산!$C$17),0)))</f>
        <v/>
      </c>
      <c r="BL43" s="72">
        <f>IF($A43="","",IF(S43="",0,IF(S43=IF($B43="언어와 매체",자동계산!$D$18,자동계산!$B$18),IF($B43="언어와 매체",자동계산!$E$18,자동계산!$C$18),0)))</f>
        <v/>
      </c>
      <c r="BM43" s="72">
        <f>IF($A43="","",IF(T43="",0,IF(T43=IF($B43="언어와 매체",자동계산!$D$19,자동계산!$B$19),IF($B43="언어와 매체",자동계산!$E$19,자동계산!$C$19),0)))</f>
        <v/>
      </c>
      <c r="BN43" s="72">
        <f>IF($A43="","",IF(U43="",0,IF(U43=IF($B43="언어와 매체",자동계산!$D$20,자동계산!$B$20),IF($B43="언어와 매체",자동계산!$E$20,자동계산!$C$20),0)))</f>
        <v/>
      </c>
      <c r="BO43" s="72">
        <f>IF($A43="","",IF(V43="",0,IF(V43=IF($B43="언어와 매체",자동계산!$D$21,자동계산!$B$21),IF($B43="언어와 매체",자동계산!$E$21,자동계산!$C$21),0)))</f>
        <v/>
      </c>
      <c r="BP43" s="72">
        <f>IF($A43="","",IF(W43="",0,IF(W43=IF($B43="언어와 매체",자동계산!$D$22,자동계산!$B$22),IF($B43="언어와 매체",자동계산!$E$22,자동계산!$C$22),0)))</f>
        <v/>
      </c>
      <c r="BQ43" s="72">
        <f>IF($A43="","",IF(X43="",0,IF(X43=IF($B43="언어와 매체",자동계산!$D$23,자동계산!$B$23),IF($B43="언어와 매체",자동계산!$E$23,자동계산!$C$23),0)))</f>
        <v/>
      </c>
      <c r="BR43" s="72">
        <f>IF($A43="","",IF(Y43="",0,IF(Y43=IF($B43="언어와 매체",자동계산!$D$24,자동계산!$B$24),IF($B43="언어와 매체",자동계산!$E$24,자동계산!$C$24),0)))</f>
        <v/>
      </c>
      <c r="BS43" s="72">
        <f>IF($A43="","",IF(Z43="",0,IF(Z43=IF($B43="언어와 매체",자동계산!$D$25,자동계산!$B$25),IF($B43="언어와 매체",자동계산!$E$25,자동계산!$C$25),0)))</f>
        <v/>
      </c>
      <c r="BT43" s="72">
        <f>IF($A43="","",IF(AA43="",0,IF(AA43=IF($B43="언어와 매체",자동계산!$D$26,자동계산!$B$26),IF($B43="언어와 매체",자동계산!$E$26,자동계산!$C$26),0)))</f>
        <v/>
      </c>
      <c r="BU43" s="72">
        <f>IF($A43="","",IF(AB43="",0,IF(AB43=IF($B43="언어와 매체",자동계산!$D$27,자동계산!$B$27),IF($B43="언어와 매체",자동계산!$E$27,자동계산!$C$27),0)))</f>
        <v/>
      </c>
      <c r="BV43" s="72">
        <f>IF($A43="","",IF(AC43="",0,IF(AC43=IF($B43="언어와 매체",자동계산!$D$28,자동계산!$B$28),IF($B43="언어와 매체",자동계산!$E$28,자동계산!$C$28),0)))</f>
        <v/>
      </c>
      <c r="BW43" s="72">
        <f>IF($A43="","",IF(AD43="",0,IF(AD43=IF($B43="언어와 매체",자동계산!$D$29,자동계산!$B$29),IF($B43="언어와 매체",자동계산!$E$29,자동계산!$C$29),0)))</f>
        <v/>
      </c>
      <c r="BX43" s="72">
        <f>IF($A43="","",IF(AE43="",0,IF(AE43=IF($B43="언어와 매체",자동계산!$D$30,자동계산!$B$30),IF($B43="언어와 매체",자동계산!$E$30,자동계산!$C$30),0)))</f>
        <v/>
      </c>
      <c r="BY43" s="72">
        <f>IF($A43="","",IF(AF43="",0,IF(AF43=IF($B43="언어와 매체",자동계산!$D$31,자동계산!$B$31),IF($B43="언어와 매체",자동계산!$E$31,자동계산!$C$31),0)))</f>
        <v/>
      </c>
      <c r="BZ43" s="72">
        <f>IF($A43="","",IF(AG43="",0,IF(AG43=IF($B43="언어와 매체",자동계산!$D$32,자동계산!$B$32),IF($B43="언어와 매체",자동계산!$E$32,자동계산!$C$32),0)))</f>
        <v/>
      </c>
      <c r="CA43" s="72">
        <f>IF($A43="","",IF(AH43="",0,IF(AH43=IF($B43="언어와 매체",자동계산!$D$33,자동계산!$B$33),IF($B43="언어와 매체",자동계산!$E$33,자동계산!$C$33),0)))</f>
        <v/>
      </c>
      <c r="CB43" s="72">
        <f>IF($A43="","",IF(AI43="",0,IF(AI43=IF($B43="언어와 매체",자동계산!$D$34,자동계산!$B$34),IF($B43="언어와 매체",자동계산!$E$34,자동계산!$C$34),0)))</f>
        <v/>
      </c>
      <c r="CC43" s="72">
        <f>IF($A43="","",IF(AJ43="",0,IF(AJ43=IF($B43="언어와 매체",자동계산!$D$35,자동계산!$B$35),IF($B43="언어와 매체",자동계산!$E$35,자동계산!$C$35),0)))</f>
        <v/>
      </c>
      <c r="CD43" s="72">
        <f>IF($A43="","",IF(AK43="",0,IF(AK43=IF($B43="언어와 매체",자동계산!$D$36,자동계산!$B$36),IF($B43="언어와 매체",자동계산!$E$36,자동계산!$C$36),0)))</f>
        <v/>
      </c>
      <c r="CE43" s="72">
        <f>IF($A43="","",IF(AL43="",0,IF(AL43=IF($B43="언어와 매체",자동계산!$D$37,자동계산!$B$37),IF($B43="언어와 매체",자동계산!$E$37,자동계산!$C$37),0)))</f>
        <v/>
      </c>
      <c r="CF43" s="72">
        <f>IF($A43="","",IF(AM43="",0,IF(AM43=IF($B43="언어와 매체",자동계산!$D$38,자동계산!$B$38),IF($B43="언어와 매체",자동계산!$E$38,자동계산!$C$38),0)))</f>
        <v/>
      </c>
      <c r="CG43" s="72">
        <f>IF($A43="","",IF(AN43="",0,IF(AN43=IF($B43="언어와 매체",자동계산!$D$39,자동계산!$B$39),IF($B43="언어와 매체",자동계산!$E$39,자동계산!$C$39),0)))</f>
        <v/>
      </c>
      <c r="CH43" s="72">
        <f>IF($A43="","",IF(AO43="",0,IF(AO43=IF($B43="언어와 매체",자동계산!$D$40,자동계산!$B$40),IF($B43="언어와 매체",자동계산!$E$40,자동계산!$C$40),0)))</f>
        <v/>
      </c>
      <c r="CI43" s="72">
        <f>IF($A43="","",IF(AP43="",0,IF(AP43=IF($B43="언어와 매체",자동계산!$D$41,자동계산!$B$41),IF($B43="언어와 매체",자동계산!$E$41,자동계산!$C$41),0)))</f>
        <v/>
      </c>
      <c r="CJ43" s="72">
        <f>IF($A43="","",IF(AQ43="",0,IF(AQ43=IF($B43="언어와 매체",자동계산!$D$42,자동계산!$B$42),IF($B43="언어와 매체",자동계산!$E$42,자동계산!$C$42),0)))</f>
        <v/>
      </c>
      <c r="CK43" s="72">
        <f>IF($A43="","",IF(AR43="",0,IF(AR43=IF($B43="언어와 매체",자동계산!$D$43,자동계산!$B$43),IF($B43="언어와 매체",자동계산!$E$43,자동계산!$C$43),0)))</f>
        <v/>
      </c>
      <c r="CL43" s="72">
        <f>IF($A43="","",IF(AS43="",0,IF(AS43=IF($B43="언어와 매체",자동계산!$D$44,자동계산!$B$44),IF($B43="언어와 매체",자동계산!$E$44,자동계산!$C$44),0)))</f>
        <v/>
      </c>
      <c r="CM43" s="72">
        <f>IF($A43="","",IF(AT43="",0,IF(AT43=IF($B43="언어와 매체",자동계산!$D$45,자동계산!$B$45),IF($B43="언어와 매체",자동계산!$E$45,자동계산!$C$45),0)))</f>
        <v/>
      </c>
      <c r="CN43" s="72">
        <f>IF($A43="","",IF(AU43="",0,IF(AU43=IF($B43="언어와 매체",자동계산!$D$46,자동계산!$B$46),IF($B43="언어와 매체",자동계산!$E$46,자동계산!$C$46),0)))</f>
        <v/>
      </c>
      <c r="CO43" s="72">
        <f>IF($A43="","",IF(AV43="",0,IF(AV43=IF($B43="언어와 매체",자동계산!$D$47,자동계산!$B$47),IF($B43="언어와 매체",자동계산!$E$47,자동계산!$C$47),0)))</f>
        <v/>
      </c>
      <c r="CP43" s="72">
        <f>IF($A43="","",IF(AW43="",0,IF(AW43=IF($B43="언어와 매체",자동계산!$D$48,자동계산!$B$48),IF($B43="언어와 매체",자동계산!$E$48,자동계산!$C$48),0)))</f>
        <v/>
      </c>
    </row>
    <row r="44">
      <c r="A44" s="70">
        <f>IF(답안입력!A44="","",답안입력!A44)</f>
        <v/>
      </c>
      <c r="B44" s="70">
        <f>IF($A44="","",답안입력!C44)</f>
        <v/>
      </c>
      <c r="C44" s="71">
        <f>IF($A44="","",SUM(AX44:CP44))</f>
        <v/>
      </c>
      <c r="D44" s="70">
        <f>IF($A44="","",IF($C44&gt;=IF($B44="언어와 매체",회차설정!$B$9,회차설정!$B$8),"1등급",IF($C44&gt;=IF($B44="언어와 매체",회차설정!$C$9,회차설정!$C$8),"2등급",IF($C44&gt;=IF($B44="언어와 매체",회차설정!$D$9,회차설정!$D$8),"3등급",IF($C44&gt;=IF($B44="언어와 매체",회차설정!$E$9,회차설정!$E$8),"4등급","등급 외")))))</f>
        <v/>
      </c>
      <c r="E44" s="72">
        <f>IF($A44="","",IF(LEN(답안입력!$D44)&gt;=1,VALUE(MID(답안입력!$D44,1,1)),IF(답안입력!E44="","",답안입력!E44)))</f>
        <v/>
      </c>
      <c r="F44" s="72">
        <f>IF($A44="","",IF(LEN(답안입력!$D44)&gt;=2,VALUE(MID(답안입력!$D44,2,1)),IF(답안입력!F44="","",답안입력!F44)))</f>
        <v/>
      </c>
      <c r="G44" s="72">
        <f>IF($A44="","",IF(LEN(답안입력!$D44)&gt;=3,VALUE(MID(답안입력!$D44,3,1)),IF(답안입력!G44="","",답안입력!G44)))</f>
        <v/>
      </c>
      <c r="H44" s="72">
        <f>IF($A44="","",IF(LEN(답안입력!$D44)&gt;=4,VALUE(MID(답안입력!$D44,4,1)),IF(답안입력!H44="","",답안입력!H44)))</f>
        <v/>
      </c>
      <c r="I44" s="72">
        <f>IF($A44="","",IF(LEN(답안입력!$D44)&gt;=5,VALUE(MID(답안입력!$D44,5,1)),IF(답안입력!I44="","",답안입력!I44)))</f>
        <v/>
      </c>
      <c r="J44" s="72">
        <f>IF($A44="","",IF(LEN(답안입력!$D44)&gt;=6,VALUE(MID(답안입력!$D44,6,1)),IF(답안입력!J44="","",답안입력!J44)))</f>
        <v/>
      </c>
      <c r="K44" s="72">
        <f>IF($A44="","",IF(LEN(답안입력!$D44)&gt;=7,VALUE(MID(답안입력!$D44,7,1)),IF(답안입력!K44="","",답안입력!K44)))</f>
        <v/>
      </c>
      <c r="L44" s="72">
        <f>IF($A44="","",IF(LEN(답안입력!$D44)&gt;=8,VALUE(MID(답안입력!$D44,8,1)),IF(답안입력!L44="","",답안입력!L44)))</f>
        <v/>
      </c>
      <c r="M44" s="72">
        <f>IF($A44="","",IF(LEN(답안입력!$D44)&gt;=9,VALUE(MID(답안입력!$D44,9,1)),IF(답안입력!M44="","",답안입력!M44)))</f>
        <v/>
      </c>
      <c r="N44" s="72">
        <f>IF($A44="","",IF(LEN(답안입력!$D44)&gt;=10,VALUE(MID(답안입력!$D44,10,1)),IF(답안입력!N44="","",답안입력!N44)))</f>
        <v/>
      </c>
      <c r="O44" s="72">
        <f>IF($A44="","",IF(LEN(답안입력!$D44)&gt;=11,VALUE(MID(답안입력!$D44,11,1)),IF(답안입력!O44="","",답안입력!O44)))</f>
        <v/>
      </c>
      <c r="P44" s="72">
        <f>IF($A44="","",IF(LEN(답안입력!$D44)&gt;=12,VALUE(MID(답안입력!$D44,12,1)),IF(답안입력!P44="","",답안입력!P44)))</f>
        <v/>
      </c>
      <c r="Q44" s="72">
        <f>IF($A44="","",IF(LEN(답안입력!$D44)&gt;=13,VALUE(MID(답안입력!$D44,13,1)),IF(답안입력!Q44="","",답안입력!Q44)))</f>
        <v/>
      </c>
      <c r="R44" s="72">
        <f>IF($A44="","",IF(LEN(답안입력!$D44)&gt;=14,VALUE(MID(답안입력!$D44,14,1)),IF(답안입력!R44="","",답안입력!R44)))</f>
        <v/>
      </c>
      <c r="S44" s="72">
        <f>IF($A44="","",IF(LEN(답안입력!$D44)&gt;=15,VALUE(MID(답안입력!$D44,15,1)),IF(답안입력!S44="","",답안입력!S44)))</f>
        <v/>
      </c>
      <c r="T44" s="72">
        <f>IF($A44="","",IF(LEN(답안입력!$D44)&gt;=16,VALUE(MID(답안입력!$D44,16,1)),IF(답안입력!T44="","",답안입력!T44)))</f>
        <v/>
      </c>
      <c r="U44" s="72">
        <f>IF($A44="","",IF(LEN(답안입력!$D44)&gt;=17,VALUE(MID(답안입력!$D44,17,1)),IF(답안입력!U44="","",답안입력!U44)))</f>
        <v/>
      </c>
      <c r="V44" s="72">
        <f>IF($A44="","",IF(LEN(답안입력!$D44)&gt;=18,VALUE(MID(답안입력!$D44,18,1)),IF(답안입력!V44="","",답안입력!V44)))</f>
        <v/>
      </c>
      <c r="W44" s="72">
        <f>IF($A44="","",IF(LEN(답안입력!$D44)&gt;=19,VALUE(MID(답안입력!$D44,19,1)),IF(답안입력!W44="","",답안입력!W44)))</f>
        <v/>
      </c>
      <c r="X44" s="72">
        <f>IF($A44="","",IF(LEN(답안입력!$D44)&gt;=20,VALUE(MID(답안입력!$D44,20,1)),IF(답안입력!X44="","",답안입력!X44)))</f>
        <v/>
      </c>
      <c r="Y44" s="72">
        <f>IF($A44="","",IF(LEN(답안입력!$D44)&gt;=21,VALUE(MID(답안입력!$D44,21,1)),IF(답안입력!Y44="","",답안입력!Y44)))</f>
        <v/>
      </c>
      <c r="Z44" s="72">
        <f>IF($A44="","",IF(LEN(답안입력!$D44)&gt;=22,VALUE(MID(답안입력!$D44,22,1)),IF(답안입력!Z44="","",답안입력!Z44)))</f>
        <v/>
      </c>
      <c r="AA44" s="72">
        <f>IF($A44="","",IF(LEN(답안입력!$D44)&gt;=23,VALUE(MID(답안입력!$D44,23,1)),IF(답안입력!AA44="","",답안입력!AA44)))</f>
        <v/>
      </c>
      <c r="AB44" s="72">
        <f>IF($A44="","",IF(LEN(답안입력!$D44)&gt;=24,VALUE(MID(답안입력!$D44,24,1)),IF(답안입력!AB44="","",답안입력!AB44)))</f>
        <v/>
      </c>
      <c r="AC44" s="72">
        <f>IF($A44="","",IF(LEN(답안입력!$D44)&gt;=25,VALUE(MID(답안입력!$D44,25,1)),IF(답안입력!AC44="","",답안입력!AC44)))</f>
        <v/>
      </c>
      <c r="AD44" s="72">
        <f>IF($A44="","",IF(LEN(답안입력!$D44)&gt;=26,VALUE(MID(답안입력!$D44,26,1)),IF(답안입력!AD44="","",답안입력!AD44)))</f>
        <v/>
      </c>
      <c r="AE44" s="72">
        <f>IF($A44="","",IF(LEN(답안입력!$D44)&gt;=27,VALUE(MID(답안입력!$D44,27,1)),IF(답안입력!AE44="","",답안입력!AE44)))</f>
        <v/>
      </c>
      <c r="AF44" s="72">
        <f>IF($A44="","",IF(LEN(답안입력!$D44)&gt;=28,VALUE(MID(답안입력!$D44,28,1)),IF(답안입력!AF44="","",답안입력!AF44)))</f>
        <v/>
      </c>
      <c r="AG44" s="72">
        <f>IF($A44="","",IF(LEN(답안입력!$D44)&gt;=29,VALUE(MID(답안입력!$D44,29,1)),IF(답안입력!AG44="","",답안입력!AG44)))</f>
        <v/>
      </c>
      <c r="AH44" s="72">
        <f>IF($A44="","",IF(LEN(답안입력!$D44)&gt;=30,VALUE(MID(답안입력!$D44,30,1)),IF(답안입력!AH44="","",답안입력!AH44)))</f>
        <v/>
      </c>
      <c r="AI44" s="72">
        <f>IF($A44="","",IF(LEN(답안입력!$D44)&gt;=31,VALUE(MID(답안입력!$D44,31,1)),IF(답안입력!AI44="","",답안입력!AI44)))</f>
        <v/>
      </c>
      <c r="AJ44" s="72">
        <f>IF($A44="","",IF(LEN(답안입력!$D44)&gt;=32,VALUE(MID(답안입력!$D44,32,1)),IF(답안입력!AJ44="","",답안입력!AJ44)))</f>
        <v/>
      </c>
      <c r="AK44" s="72">
        <f>IF($A44="","",IF(LEN(답안입력!$D44)&gt;=33,VALUE(MID(답안입력!$D44,33,1)),IF(답안입력!AK44="","",답안입력!AK44)))</f>
        <v/>
      </c>
      <c r="AL44" s="72">
        <f>IF($A44="","",IF(LEN(답안입력!$D44)&gt;=34,VALUE(MID(답안입력!$D44,34,1)),IF(답안입력!AL44="","",답안입력!AL44)))</f>
        <v/>
      </c>
      <c r="AM44" s="72">
        <f>IF($A44="","",IF(LEN(답안입력!$D44)&gt;=35,VALUE(MID(답안입력!$D44,35,1)),IF(답안입력!AM44="","",답안입력!AM44)))</f>
        <v/>
      </c>
      <c r="AN44" s="72">
        <f>IF($A44="","",IF(LEN(답안입력!$D44)&gt;=36,VALUE(MID(답안입력!$D44,36,1)),IF(답안입력!AN44="","",답안입력!AN44)))</f>
        <v/>
      </c>
      <c r="AO44" s="72">
        <f>IF($A44="","",IF(LEN(답안입력!$D44)&gt;=37,VALUE(MID(답안입력!$D44,37,1)),IF(답안입력!AO44="","",답안입력!AO44)))</f>
        <v/>
      </c>
      <c r="AP44" s="72">
        <f>IF($A44="","",IF(LEN(답안입력!$D44)&gt;=38,VALUE(MID(답안입력!$D44,38,1)),IF(답안입력!AP44="","",답안입력!AP44)))</f>
        <v/>
      </c>
      <c r="AQ44" s="72">
        <f>IF($A44="","",IF(LEN(답안입력!$D44)&gt;=39,VALUE(MID(답안입력!$D44,39,1)),IF(답안입력!AQ44="","",답안입력!AQ44)))</f>
        <v/>
      </c>
      <c r="AR44" s="72">
        <f>IF($A44="","",IF(LEN(답안입력!$D44)&gt;=40,VALUE(MID(답안입력!$D44,40,1)),IF(답안입력!AR44="","",답안입력!AR44)))</f>
        <v/>
      </c>
      <c r="AS44" s="72">
        <f>IF($A44="","",IF(LEN(답안입력!$D44)&gt;=41,VALUE(MID(답안입력!$D44,41,1)),IF(답안입력!AS44="","",답안입력!AS44)))</f>
        <v/>
      </c>
      <c r="AT44" s="72">
        <f>IF($A44="","",IF(LEN(답안입력!$D44)&gt;=42,VALUE(MID(답안입력!$D44,42,1)),IF(답안입력!AT44="","",답안입력!AT44)))</f>
        <v/>
      </c>
      <c r="AU44" s="72">
        <f>IF($A44="","",IF(LEN(답안입력!$D44)&gt;=43,VALUE(MID(답안입력!$D44,43,1)),IF(답안입력!AU44="","",답안입력!AU44)))</f>
        <v/>
      </c>
      <c r="AV44" s="72">
        <f>IF($A44="","",IF(LEN(답안입력!$D44)&gt;=44,VALUE(MID(답안입력!$D44,44,1)),IF(답안입력!AV44="","",답안입력!AV44)))</f>
        <v/>
      </c>
      <c r="AW44" s="72">
        <f>IF($A44="","",IF(LEN(답안입력!$D44)&gt;=45,VALUE(MID(답안입력!$D44,45,1)),IF(답안입력!AW44="","",답안입력!AW44)))</f>
        <v/>
      </c>
      <c r="AX44" s="72">
        <f>IF($A44="","",IF(E44="",0,IF(E44=IF($B44="언어와 매체",자동계산!$D$4,자동계산!$B$4),IF($B44="언어와 매체",자동계산!$E$4,자동계산!$C$4),0)))</f>
        <v/>
      </c>
      <c r="AY44" s="72">
        <f>IF($A44="","",IF(F44="",0,IF(F44=IF($B44="언어와 매체",자동계산!$D$5,자동계산!$B$5),IF($B44="언어와 매체",자동계산!$E$5,자동계산!$C$5),0)))</f>
        <v/>
      </c>
      <c r="AZ44" s="72">
        <f>IF($A44="","",IF(G44="",0,IF(G44=IF($B44="언어와 매체",자동계산!$D$6,자동계산!$B$6),IF($B44="언어와 매체",자동계산!$E$6,자동계산!$C$6),0)))</f>
        <v/>
      </c>
      <c r="BA44" s="72">
        <f>IF($A44="","",IF(H44="",0,IF(H44=IF($B44="언어와 매체",자동계산!$D$7,자동계산!$B$7),IF($B44="언어와 매체",자동계산!$E$7,자동계산!$C$7),0)))</f>
        <v/>
      </c>
      <c r="BB44" s="72">
        <f>IF($A44="","",IF(I44="",0,IF(I44=IF($B44="언어와 매체",자동계산!$D$8,자동계산!$B$8),IF($B44="언어와 매체",자동계산!$E$8,자동계산!$C$8),0)))</f>
        <v/>
      </c>
      <c r="BC44" s="72">
        <f>IF($A44="","",IF(J44="",0,IF(J44=IF($B44="언어와 매체",자동계산!$D$9,자동계산!$B$9),IF($B44="언어와 매체",자동계산!$E$9,자동계산!$C$9),0)))</f>
        <v/>
      </c>
      <c r="BD44" s="72">
        <f>IF($A44="","",IF(K44="",0,IF(K44=IF($B44="언어와 매체",자동계산!$D$10,자동계산!$B$10),IF($B44="언어와 매체",자동계산!$E$10,자동계산!$C$10),0)))</f>
        <v/>
      </c>
      <c r="BE44" s="72">
        <f>IF($A44="","",IF(L44="",0,IF(L44=IF($B44="언어와 매체",자동계산!$D$11,자동계산!$B$11),IF($B44="언어와 매체",자동계산!$E$11,자동계산!$C$11),0)))</f>
        <v/>
      </c>
      <c r="BF44" s="72">
        <f>IF($A44="","",IF(M44="",0,IF(M44=IF($B44="언어와 매체",자동계산!$D$12,자동계산!$B$12),IF($B44="언어와 매체",자동계산!$E$12,자동계산!$C$12),0)))</f>
        <v/>
      </c>
      <c r="BG44" s="72">
        <f>IF($A44="","",IF(N44="",0,IF(N44=IF($B44="언어와 매체",자동계산!$D$13,자동계산!$B$13),IF($B44="언어와 매체",자동계산!$E$13,자동계산!$C$13),0)))</f>
        <v/>
      </c>
      <c r="BH44" s="72">
        <f>IF($A44="","",IF(O44="",0,IF(O44=IF($B44="언어와 매체",자동계산!$D$14,자동계산!$B$14),IF($B44="언어와 매체",자동계산!$E$14,자동계산!$C$14),0)))</f>
        <v/>
      </c>
      <c r="BI44" s="72">
        <f>IF($A44="","",IF(P44="",0,IF(P44=IF($B44="언어와 매체",자동계산!$D$15,자동계산!$B$15),IF($B44="언어와 매체",자동계산!$E$15,자동계산!$C$15),0)))</f>
        <v/>
      </c>
      <c r="BJ44" s="72">
        <f>IF($A44="","",IF(Q44="",0,IF(Q44=IF($B44="언어와 매체",자동계산!$D$16,자동계산!$B$16),IF($B44="언어와 매체",자동계산!$E$16,자동계산!$C$16),0)))</f>
        <v/>
      </c>
      <c r="BK44" s="72">
        <f>IF($A44="","",IF(R44="",0,IF(R44=IF($B44="언어와 매체",자동계산!$D$17,자동계산!$B$17),IF($B44="언어와 매체",자동계산!$E$17,자동계산!$C$17),0)))</f>
        <v/>
      </c>
      <c r="BL44" s="72">
        <f>IF($A44="","",IF(S44="",0,IF(S44=IF($B44="언어와 매체",자동계산!$D$18,자동계산!$B$18),IF($B44="언어와 매체",자동계산!$E$18,자동계산!$C$18),0)))</f>
        <v/>
      </c>
      <c r="BM44" s="72">
        <f>IF($A44="","",IF(T44="",0,IF(T44=IF($B44="언어와 매체",자동계산!$D$19,자동계산!$B$19),IF($B44="언어와 매체",자동계산!$E$19,자동계산!$C$19),0)))</f>
        <v/>
      </c>
      <c r="BN44" s="72">
        <f>IF($A44="","",IF(U44="",0,IF(U44=IF($B44="언어와 매체",자동계산!$D$20,자동계산!$B$20),IF($B44="언어와 매체",자동계산!$E$20,자동계산!$C$20),0)))</f>
        <v/>
      </c>
      <c r="BO44" s="72">
        <f>IF($A44="","",IF(V44="",0,IF(V44=IF($B44="언어와 매체",자동계산!$D$21,자동계산!$B$21),IF($B44="언어와 매체",자동계산!$E$21,자동계산!$C$21),0)))</f>
        <v/>
      </c>
      <c r="BP44" s="72">
        <f>IF($A44="","",IF(W44="",0,IF(W44=IF($B44="언어와 매체",자동계산!$D$22,자동계산!$B$22),IF($B44="언어와 매체",자동계산!$E$22,자동계산!$C$22),0)))</f>
        <v/>
      </c>
      <c r="BQ44" s="72">
        <f>IF($A44="","",IF(X44="",0,IF(X44=IF($B44="언어와 매체",자동계산!$D$23,자동계산!$B$23),IF($B44="언어와 매체",자동계산!$E$23,자동계산!$C$23),0)))</f>
        <v/>
      </c>
      <c r="BR44" s="72">
        <f>IF($A44="","",IF(Y44="",0,IF(Y44=IF($B44="언어와 매체",자동계산!$D$24,자동계산!$B$24),IF($B44="언어와 매체",자동계산!$E$24,자동계산!$C$24),0)))</f>
        <v/>
      </c>
      <c r="BS44" s="72">
        <f>IF($A44="","",IF(Z44="",0,IF(Z44=IF($B44="언어와 매체",자동계산!$D$25,자동계산!$B$25),IF($B44="언어와 매체",자동계산!$E$25,자동계산!$C$25),0)))</f>
        <v/>
      </c>
      <c r="BT44" s="72">
        <f>IF($A44="","",IF(AA44="",0,IF(AA44=IF($B44="언어와 매체",자동계산!$D$26,자동계산!$B$26),IF($B44="언어와 매체",자동계산!$E$26,자동계산!$C$26),0)))</f>
        <v/>
      </c>
      <c r="BU44" s="72">
        <f>IF($A44="","",IF(AB44="",0,IF(AB44=IF($B44="언어와 매체",자동계산!$D$27,자동계산!$B$27),IF($B44="언어와 매체",자동계산!$E$27,자동계산!$C$27),0)))</f>
        <v/>
      </c>
      <c r="BV44" s="72">
        <f>IF($A44="","",IF(AC44="",0,IF(AC44=IF($B44="언어와 매체",자동계산!$D$28,자동계산!$B$28),IF($B44="언어와 매체",자동계산!$E$28,자동계산!$C$28),0)))</f>
        <v/>
      </c>
      <c r="BW44" s="72">
        <f>IF($A44="","",IF(AD44="",0,IF(AD44=IF($B44="언어와 매체",자동계산!$D$29,자동계산!$B$29),IF($B44="언어와 매체",자동계산!$E$29,자동계산!$C$29),0)))</f>
        <v/>
      </c>
      <c r="BX44" s="72">
        <f>IF($A44="","",IF(AE44="",0,IF(AE44=IF($B44="언어와 매체",자동계산!$D$30,자동계산!$B$30),IF($B44="언어와 매체",자동계산!$E$30,자동계산!$C$30),0)))</f>
        <v/>
      </c>
      <c r="BY44" s="72">
        <f>IF($A44="","",IF(AF44="",0,IF(AF44=IF($B44="언어와 매체",자동계산!$D$31,자동계산!$B$31),IF($B44="언어와 매체",자동계산!$E$31,자동계산!$C$31),0)))</f>
        <v/>
      </c>
      <c r="BZ44" s="72">
        <f>IF($A44="","",IF(AG44="",0,IF(AG44=IF($B44="언어와 매체",자동계산!$D$32,자동계산!$B$32),IF($B44="언어와 매체",자동계산!$E$32,자동계산!$C$32),0)))</f>
        <v/>
      </c>
      <c r="CA44" s="72">
        <f>IF($A44="","",IF(AH44="",0,IF(AH44=IF($B44="언어와 매체",자동계산!$D$33,자동계산!$B$33),IF($B44="언어와 매체",자동계산!$E$33,자동계산!$C$33),0)))</f>
        <v/>
      </c>
      <c r="CB44" s="72">
        <f>IF($A44="","",IF(AI44="",0,IF(AI44=IF($B44="언어와 매체",자동계산!$D$34,자동계산!$B$34),IF($B44="언어와 매체",자동계산!$E$34,자동계산!$C$34),0)))</f>
        <v/>
      </c>
      <c r="CC44" s="72">
        <f>IF($A44="","",IF(AJ44="",0,IF(AJ44=IF($B44="언어와 매체",자동계산!$D$35,자동계산!$B$35),IF($B44="언어와 매체",자동계산!$E$35,자동계산!$C$35),0)))</f>
        <v/>
      </c>
      <c r="CD44" s="72">
        <f>IF($A44="","",IF(AK44="",0,IF(AK44=IF($B44="언어와 매체",자동계산!$D$36,자동계산!$B$36),IF($B44="언어와 매체",자동계산!$E$36,자동계산!$C$36),0)))</f>
        <v/>
      </c>
      <c r="CE44" s="72">
        <f>IF($A44="","",IF(AL44="",0,IF(AL44=IF($B44="언어와 매체",자동계산!$D$37,자동계산!$B$37),IF($B44="언어와 매체",자동계산!$E$37,자동계산!$C$37),0)))</f>
        <v/>
      </c>
      <c r="CF44" s="72">
        <f>IF($A44="","",IF(AM44="",0,IF(AM44=IF($B44="언어와 매체",자동계산!$D$38,자동계산!$B$38),IF($B44="언어와 매체",자동계산!$E$38,자동계산!$C$38),0)))</f>
        <v/>
      </c>
      <c r="CG44" s="72">
        <f>IF($A44="","",IF(AN44="",0,IF(AN44=IF($B44="언어와 매체",자동계산!$D$39,자동계산!$B$39),IF($B44="언어와 매체",자동계산!$E$39,자동계산!$C$39),0)))</f>
        <v/>
      </c>
      <c r="CH44" s="72">
        <f>IF($A44="","",IF(AO44="",0,IF(AO44=IF($B44="언어와 매체",자동계산!$D$40,자동계산!$B$40),IF($B44="언어와 매체",자동계산!$E$40,자동계산!$C$40),0)))</f>
        <v/>
      </c>
      <c r="CI44" s="72">
        <f>IF($A44="","",IF(AP44="",0,IF(AP44=IF($B44="언어와 매체",자동계산!$D$41,자동계산!$B$41),IF($B44="언어와 매체",자동계산!$E$41,자동계산!$C$41),0)))</f>
        <v/>
      </c>
      <c r="CJ44" s="72">
        <f>IF($A44="","",IF(AQ44="",0,IF(AQ44=IF($B44="언어와 매체",자동계산!$D$42,자동계산!$B$42),IF($B44="언어와 매체",자동계산!$E$42,자동계산!$C$42),0)))</f>
        <v/>
      </c>
      <c r="CK44" s="72">
        <f>IF($A44="","",IF(AR44="",0,IF(AR44=IF($B44="언어와 매체",자동계산!$D$43,자동계산!$B$43),IF($B44="언어와 매체",자동계산!$E$43,자동계산!$C$43),0)))</f>
        <v/>
      </c>
      <c r="CL44" s="72">
        <f>IF($A44="","",IF(AS44="",0,IF(AS44=IF($B44="언어와 매체",자동계산!$D$44,자동계산!$B$44),IF($B44="언어와 매체",자동계산!$E$44,자동계산!$C$44),0)))</f>
        <v/>
      </c>
      <c r="CM44" s="72">
        <f>IF($A44="","",IF(AT44="",0,IF(AT44=IF($B44="언어와 매체",자동계산!$D$45,자동계산!$B$45),IF($B44="언어와 매체",자동계산!$E$45,자동계산!$C$45),0)))</f>
        <v/>
      </c>
      <c r="CN44" s="72">
        <f>IF($A44="","",IF(AU44="",0,IF(AU44=IF($B44="언어와 매체",자동계산!$D$46,자동계산!$B$46),IF($B44="언어와 매체",자동계산!$E$46,자동계산!$C$46),0)))</f>
        <v/>
      </c>
      <c r="CO44" s="72">
        <f>IF($A44="","",IF(AV44="",0,IF(AV44=IF($B44="언어와 매체",자동계산!$D$47,자동계산!$B$47),IF($B44="언어와 매체",자동계산!$E$47,자동계산!$C$47),0)))</f>
        <v/>
      </c>
      <c r="CP44" s="72">
        <f>IF($A44="","",IF(AW44="",0,IF(AW44=IF($B44="언어와 매체",자동계산!$D$48,자동계산!$B$48),IF($B44="언어와 매체",자동계산!$E$48,자동계산!$C$48),0)))</f>
        <v/>
      </c>
    </row>
    <row r="45">
      <c r="A45" s="70">
        <f>IF(답안입력!A45="","",답안입력!A45)</f>
        <v/>
      </c>
      <c r="B45" s="70">
        <f>IF($A45="","",답안입력!C45)</f>
        <v/>
      </c>
      <c r="C45" s="71">
        <f>IF($A45="","",SUM(AX45:CP45))</f>
        <v/>
      </c>
      <c r="D45" s="70">
        <f>IF($A45="","",IF($C45&gt;=IF($B45="언어와 매체",회차설정!$B$9,회차설정!$B$8),"1등급",IF($C45&gt;=IF($B45="언어와 매체",회차설정!$C$9,회차설정!$C$8),"2등급",IF($C45&gt;=IF($B45="언어와 매체",회차설정!$D$9,회차설정!$D$8),"3등급",IF($C45&gt;=IF($B45="언어와 매체",회차설정!$E$9,회차설정!$E$8),"4등급","등급 외")))))</f>
        <v/>
      </c>
      <c r="E45" s="72">
        <f>IF($A45="","",IF(LEN(답안입력!$D45)&gt;=1,VALUE(MID(답안입력!$D45,1,1)),IF(답안입력!E45="","",답안입력!E45)))</f>
        <v/>
      </c>
      <c r="F45" s="72">
        <f>IF($A45="","",IF(LEN(답안입력!$D45)&gt;=2,VALUE(MID(답안입력!$D45,2,1)),IF(답안입력!F45="","",답안입력!F45)))</f>
        <v/>
      </c>
      <c r="G45" s="72">
        <f>IF($A45="","",IF(LEN(답안입력!$D45)&gt;=3,VALUE(MID(답안입력!$D45,3,1)),IF(답안입력!G45="","",답안입력!G45)))</f>
        <v/>
      </c>
      <c r="H45" s="72">
        <f>IF($A45="","",IF(LEN(답안입력!$D45)&gt;=4,VALUE(MID(답안입력!$D45,4,1)),IF(답안입력!H45="","",답안입력!H45)))</f>
        <v/>
      </c>
      <c r="I45" s="72">
        <f>IF($A45="","",IF(LEN(답안입력!$D45)&gt;=5,VALUE(MID(답안입력!$D45,5,1)),IF(답안입력!I45="","",답안입력!I45)))</f>
        <v/>
      </c>
      <c r="J45" s="72">
        <f>IF($A45="","",IF(LEN(답안입력!$D45)&gt;=6,VALUE(MID(답안입력!$D45,6,1)),IF(답안입력!J45="","",답안입력!J45)))</f>
        <v/>
      </c>
      <c r="K45" s="72">
        <f>IF($A45="","",IF(LEN(답안입력!$D45)&gt;=7,VALUE(MID(답안입력!$D45,7,1)),IF(답안입력!K45="","",답안입력!K45)))</f>
        <v/>
      </c>
      <c r="L45" s="72">
        <f>IF($A45="","",IF(LEN(답안입력!$D45)&gt;=8,VALUE(MID(답안입력!$D45,8,1)),IF(답안입력!L45="","",답안입력!L45)))</f>
        <v/>
      </c>
      <c r="M45" s="72">
        <f>IF($A45="","",IF(LEN(답안입력!$D45)&gt;=9,VALUE(MID(답안입력!$D45,9,1)),IF(답안입력!M45="","",답안입력!M45)))</f>
        <v/>
      </c>
      <c r="N45" s="72">
        <f>IF($A45="","",IF(LEN(답안입력!$D45)&gt;=10,VALUE(MID(답안입력!$D45,10,1)),IF(답안입력!N45="","",답안입력!N45)))</f>
        <v/>
      </c>
      <c r="O45" s="72">
        <f>IF($A45="","",IF(LEN(답안입력!$D45)&gt;=11,VALUE(MID(답안입력!$D45,11,1)),IF(답안입력!O45="","",답안입력!O45)))</f>
        <v/>
      </c>
      <c r="P45" s="72">
        <f>IF($A45="","",IF(LEN(답안입력!$D45)&gt;=12,VALUE(MID(답안입력!$D45,12,1)),IF(답안입력!P45="","",답안입력!P45)))</f>
        <v/>
      </c>
      <c r="Q45" s="72">
        <f>IF($A45="","",IF(LEN(답안입력!$D45)&gt;=13,VALUE(MID(답안입력!$D45,13,1)),IF(답안입력!Q45="","",답안입력!Q45)))</f>
        <v/>
      </c>
      <c r="R45" s="72">
        <f>IF($A45="","",IF(LEN(답안입력!$D45)&gt;=14,VALUE(MID(답안입력!$D45,14,1)),IF(답안입력!R45="","",답안입력!R45)))</f>
        <v/>
      </c>
      <c r="S45" s="72">
        <f>IF($A45="","",IF(LEN(답안입력!$D45)&gt;=15,VALUE(MID(답안입력!$D45,15,1)),IF(답안입력!S45="","",답안입력!S45)))</f>
        <v/>
      </c>
      <c r="T45" s="72">
        <f>IF($A45="","",IF(LEN(답안입력!$D45)&gt;=16,VALUE(MID(답안입력!$D45,16,1)),IF(답안입력!T45="","",답안입력!T45)))</f>
        <v/>
      </c>
      <c r="U45" s="72">
        <f>IF($A45="","",IF(LEN(답안입력!$D45)&gt;=17,VALUE(MID(답안입력!$D45,17,1)),IF(답안입력!U45="","",답안입력!U45)))</f>
        <v/>
      </c>
      <c r="V45" s="72">
        <f>IF($A45="","",IF(LEN(답안입력!$D45)&gt;=18,VALUE(MID(답안입력!$D45,18,1)),IF(답안입력!V45="","",답안입력!V45)))</f>
        <v/>
      </c>
      <c r="W45" s="72">
        <f>IF($A45="","",IF(LEN(답안입력!$D45)&gt;=19,VALUE(MID(답안입력!$D45,19,1)),IF(답안입력!W45="","",답안입력!W45)))</f>
        <v/>
      </c>
      <c r="X45" s="72">
        <f>IF($A45="","",IF(LEN(답안입력!$D45)&gt;=20,VALUE(MID(답안입력!$D45,20,1)),IF(답안입력!X45="","",답안입력!X45)))</f>
        <v/>
      </c>
      <c r="Y45" s="72">
        <f>IF($A45="","",IF(LEN(답안입력!$D45)&gt;=21,VALUE(MID(답안입력!$D45,21,1)),IF(답안입력!Y45="","",답안입력!Y45)))</f>
        <v/>
      </c>
      <c r="Z45" s="72">
        <f>IF($A45="","",IF(LEN(답안입력!$D45)&gt;=22,VALUE(MID(답안입력!$D45,22,1)),IF(답안입력!Z45="","",답안입력!Z45)))</f>
        <v/>
      </c>
      <c r="AA45" s="72">
        <f>IF($A45="","",IF(LEN(답안입력!$D45)&gt;=23,VALUE(MID(답안입력!$D45,23,1)),IF(답안입력!AA45="","",답안입력!AA45)))</f>
        <v/>
      </c>
      <c r="AB45" s="72">
        <f>IF($A45="","",IF(LEN(답안입력!$D45)&gt;=24,VALUE(MID(답안입력!$D45,24,1)),IF(답안입력!AB45="","",답안입력!AB45)))</f>
        <v/>
      </c>
      <c r="AC45" s="72">
        <f>IF($A45="","",IF(LEN(답안입력!$D45)&gt;=25,VALUE(MID(답안입력!$D45,25,1)),IF(답안입력!AC45="","",답안입력!AC45)))</f>
        <v/>
      </c>
      <c r="AD45" s="72">
        <f>IF($A45="","",IF(LEN(답안입력!$D45)&gt;=26,VALUE(MID(답안입력!$D45,26,1)),IF(답안입력!AD45="","",답안입력!AD45)))</f>
        <v/>
      </c>
      <c r="AE45" s="72">
        <f>IF($A45="","",IF(LEN(답안입력!$D45)&gt;=27,VALUE(MID(답안입력!$D45,27,1)),IF(답안입력!AE45="","",답안입력!AE45)))</f>
        <v/>
      </c>
      <c r="AF45" s="72">
        <f>IF($A45="","",IF(LEN(답안입력!$D45)&gt;=28,VALUE(MID(답안입력!$D45,28,1)),IF(답안입력!AF45="","",답안입력!AF45)))</f>
        <v/>
      </c>
      <c r="AG45" s="72">
        <f>IF($A45="","",IF(LEN(답안입력!$D45)&gt;=29,VALUE(MID(답안입력!$D45,29,1)),IF(답안입력!AG45="","",답안입력!AG45)))</f>
        <v/>
      </c>
      <c r="AH45" s="72">
        <f>IF($A45="","",IF(LEN(답안입력!$D45)&gt;=30,VALUE(MID(답안입력!$D45,30,1)),IF(답안입력!AH45="","",답안입력!AH45)))</f>
        <v/>
      </c>
      <c r="AI45" s="72">
        <f>IF($A45="","",IF(LEN(답안입력!$D45)&gt;=31,VALUE(MID(답안입력!$D45,31,1)),IF(답안입력!AI45="","",답안입력!AI45)))</f>
        <v/>
      </c>
      <c r="AJ45" s="72">
        <f>IF($A45="","",IF(LEN(답안입력!$D45)&gt;=32,VALUE(MID(답안입력!$D45,32,1)),IF(답안입력!AJ45="","",답안입력!AJ45)))</f>
        <v/>
      </c>
      <c r="AK45" s="72">
        <f>IF($A45="","",IF(LEN(답안입력!$D45)&gt;=33,VALUE(MID(답안입력!$D45,33,1)),IF(답안입력!AK45="","",답안입력!AK45)))</f>
        <v/>
      </c>
      <c r="AL45" s="72">
        <f>IF($A45="","",IF(LEN(답안입력!$D45)&gt;=34,VALUE(MID(답안입력!$D45,34,1)),IF(답안입력!AL45="","",답안입력!AL45)))</f>
        <v/>
      </c>
      <c r="AM45" s="72">
        <f>IF($A45="","",IF(LEN(답안입력!$D45)&gt;=35,VALUE(MID(답안입력!$D45,35,1)),IF(답안입력!AM45="","",답안입력!AM45)))</f>
        <v/>
      </c>
      <c r="AN45" s="72">
        <f>IF($A45="","",IF(LEN(답안입력!$D45)&gt;=36,VALUE(MID(답안입력!$D45,36,1)),IF(답안입력!AN45="","",답안입력!AN45)))</f>
        <v/>
      </c>
      <c r="AO45" s="72">
        <f>IF($A45="","",IF(LEN(답안입력!$D45)&gt;=37,VALUE(MID(답안입력!$D45,37,1)),IF(답안입력!AO45="","",답안입력!AO45)))</f>
        <v/>
      </c>
      <c r="AP45" s="72">
        <f>IF($A45="","",IF(LEN(답안입력!$D45)&gt;=38,VALUE(MID(답안입력!$D45,38,1)),IF(답안입력!AP45="","",답안입력!AP45)))</f>
        <v/>
      </c>
      <c r="AQ45" s="72">
        <f>IF($A45="","",IF(LEN(답안입력!$D45)&gt;=39,VALUE(MID(답안입력!$D45,39,1)),IF(답안입력!AQ45="","",답안입력!AQ45)))</f>
        <v/>
      </c>
      <c r="AR45" s="72">
        <f>IF($A45="","",IF(LEN(답안입력!$D45)&gt;=40,VALUE(MID(답안입력!$D45,40,1)),IF(답안입력!AR45="","",답안입력!AR45)))</f>
        <v/>
      </c>
      <c r="AS45" s="72">
        <f>IF($A45="","",IF(LEN(답안입력!$D45)&gt;=41,VALUE(MID(답안입력!$D45,41,1)),IF(답안입력!AS45="","",답안입력!AS45)))</f>
        <v/>
      </c>
      <c r="AT45" s="72">
        <f>IF($A45="","",IF(LEN(답안입력!$D45)&gt;=42,VALUE(MID(답안입력!$D45,42,1)),IF(답안입력!AT45="","",답안입력!AT45)))</f>
        <v/>
      </c>
      <c r="AU45" s="72">
        <f>IF($A45="","",IF(LEN(답안입력!$D45)&gt;=43,VALUE(MID(답안입력!$D45,43,1)),IF(답안입력!AU45="","",답안입력!AU45)))</f>
        <v/>
      </c>
      <c r="AV45" s="72">
        <f>IF($A45="","",IF(LEN(답안입력!$D45)&gt;=44,VALUE(MID(답안입력!$D45,44,1)),IF(답안입력!AV45="","",답안입력!AV45)))</f>
        <v/>
      </c>
      <c r="AW45" s="72">
        <f>IF($A45="","",IF(LEN(답안입력!$D45)&gt;=45,VALUE(MID(답안입력!$D45,45,1)),IF(답안입력!AW45="","",답안입력!AW45)))</f>
        <v/>
      </c>
      <c r="AX45" s="72">
        <f>IF($A45="","",IF(E45="",0,IF(E45=IF($B45="언어와 매체",자동계산!$D$4,자동계산!$B$4),IF($B45="언어와 매체",자동계산!$E$4,자동계산!$C$4),0)))</f>
        <v/>
      </c>
      <c r="AY45" s="72">
        <f>IF($A45="","",IF(F45="",0,IF(F45=IF($B45="언어와 매체",자동계산!$D$5,자동계산!$B$5),IF($B45="언어와 매체",자동계산!$E$5,자동계산!$C$5),0)))</f>
        <v/>
      </c>
      <c r="AZ45" s="72">
        <f>IF($A45="","",IF(G45="",0,IF(G45=IF($B45="언어와 매체",자동계산!$D$6,자동계산!$B$6),IF($B45="언어와 매체",자동계산!$E$6,자동계산!$C$6),0)))</f>
        <v/>
      </c>
      <c r="BA45" s="72">
        <f>IF($A45="","",IF(H45="",0,IF(H45=IF($B45="언어와 매체",자동계산!$D$7,자동계산!$B$7),IF($B45="언어와 매체",자동계산!$E$7,자동계산!$C$7),0)))</f>
        <v/>
      </c>
      <c r="BB45" s="72">
        <f>IF($A45="","",IF(I45="",0,IF(I45=IF($B45="언어와 매체",자동계산!$D$8,자동계산!$B$8),IF($B45="언어와 매체",자동계산!$E$8,자동계산!$C$8),0)))</f>
        <v/>
      </c>
      <c r="BC45" s="72">
        <f>IF($A45="","",IF(J45="",0,IF(J45=IF($B45="언어와 매체",자동계산!$D$9,자동계산!$B$9),IF($B45="언어와 매체",자동계산!$E$9,자동계산!$C$9),0)))</f>
        <v/>
      </c>
      <c r="BD45" s="72">
        <f>IF($A45="","",IF(K45="",0,IF(K45=IF($B45="언어와 매체",자동계산!$D$10,자동계산!$B$10),IF($B45="언어와 매체",자동계산!$E$10,자동계산!$C$10),0)))</f>
        <v/>
      </c>
      <c r="BE45" s="72">
        <f>IF($A45="","",IF(L45="",0,IF(L45=IF($B45="언어와 매체",자동계산!$D$11,자동계산!$B$11),IF($B45="언어와 매체",자동계산!$E$11,자동계산!$C$11),0)))</f>
        <v/>
      </c>
      <c r="BF45" s="72">
        <f>IF($A45="","",IF(M45="",0,IF(M45=IF($B45="언어와 매체",자동계산!$D$12,자동계산!$B$12),IF($B45="언어와 매체",자동계산!$E$12,자동계산!$C$12),0)))</f>
        <v/>
      </c>
      <c r="BG45" s="72">
        <f>IF($A45="","",IF(N45="",0,IF(N45=IF($B45="언어와 매체",자동계산!$D$13,자동계산!$B$13),IF($B45="언어와 매체",자동계산!$E$13,자동계산!$C$13),0)))</f>
        <v/>
      </c>
      <c r="BH45" s="72">
        <f>IF($A45="","",IF(O45="",0,IF(O45=IF($B45="언어와 매체",자동계산!$D$14,자동계산!$B$14),IF($B45="언어와 매체",자동계산!$E$14,자동계산!$C$14),0)))</f>
        <v/>
      </c>
      <c r="BI45" s="72">
        <f>IF($A45="","",IF(P45="",0,IF(P45=IF($B45="언어와 매체",자동계산!$D$15,자동계산!$B$15),IF($B45="언어와 매체",자동계산!$E$15,자동계산!$C$15),0)))</f>
        <v/>
      </c>
      <c r="BJ45" s="72">
        <f>IF($A45="","",IF(Q45="",0,IF(Q45=IF($B45="언어와 매체",자동계산!$D$16,자동계산!$B$16),IF($B45="언어와 매체",자동계산!$E$16,자동계산!$C$16),0)))</f>
        <v/>
      </c>
      <c r="BK45" s="72">
        <f>IF($A45="","",IF(R45="",0,IF(R45=IF($B45="언어와 매체",자동계산!$D$17,자동계산!$B$17),IF($B45="언어와 매체",자동계산!$E$17,자동계산!$C$17),0)))</f>
        <v/>
      </c>
      <c r="BL45" s="72">
        <f>IF($A45="","",IF(S45="",0,IF(S45=IF($B45="언어와 매체",자동계산!$D$18,자동계산!$B$18),IF($B45="언어와 매체",자동계산!$E$18,자동계산!$C$18),0)))</f>
        <v/>
      </c>
      <c r="BM45" s="72">
        <f>IF($A45="","",IF(T45="",0,IF(T45=IF($B45="언어와 매체",자동계산!$D$19,자동계산!$B$19),IF($B45="언어와 매체",자동계산!$E$19,자동계산!$C$19),0)))</f>
        <v/>
      </c>
      <c r="BN45" s="72">
        <f>IF($A45="","",IF(U45="",0,IF(U45=IF($B45="언어와 매체",자동계산!$D$20,자동계산!$B$20),IF($B45="언어와 매체",자동계산!$E$20,자동계산!$C$20),0)))</f>
        <v/>
      </c>
      <c r="BO45" s="72">
        <f>IF($A45="","",IF(V45="",0,IF(V45=IF($B45="언어와 매체",자동계산!$D$21,자동계산!$B$21),IF($B45="언어와 매체",자동계산!$E$21,자동계산!$C$21),0)))</f>
        <v/>
      </c>
      <c r="BP45" s="72">
        <f>IF($A45="","",IF(W45="",0,IF(W45=IF($B45="언어와 매체",자동계산!$D$22,자동계산!$B$22),IF($B45="언어와 매체",자동계산!$E$22,자동계산!$C$22),0)))</f>
        <v/>
      </c>
      <c r="BQ45" s="72">
        <f>IF($A45="","",IF(X45="",0,IF(X45=IF($B45="언어와 매체",자동계산!$D$23,자동계산!$B$23),IF($B45="언어와 매체",자동계산!$E$23,자동계산!$C$23),0)))</f>
        <v/>
      </c>
      <c r="BR45" s="72">
        <f>IF($A45="","",IF(Y45="",0,IF(Y45=IF($B45="언어와 매체",자동계산!$D$24,자동계산!$B$24),IF($B45="언어와 매체",자동계산!$E$24,자동계산!$C$24),0)))</f>
        <v/>
      </c>
      <c r="BS45" s="72">
        <f>IF($A45="","",IF(Z45="",0,IF(Z45=IF($B45="언어와 매체",자동계산!$D$25,자동계산!$B$25),IF($B45="언어와 매체",자동계산!$E$25,자동계산!$C$25),0)))</f>
        <v/>
      </c>
      <c r="BT45" s="72">
        <f>IF($A45="","",IF(AA45="",0,IF(AA45=IF($B45="언어와 매체",자동계산!$D$26,자동계산!$B$26),IF($B45="언어와 매체",자동계산!$E$26,자동계산!$C$26),0)))</f>
        <v/>
      </c>
      <c r="BU45" s="72">
        <f>IF($A45="","",IF(AB45="",0,IF(AB45=IF($B45="언어와 매체",자동계산!$D$27,자동계산!$B$27),IF($B45="언어와 매체",자동계산!$E$27,자동계산!$C$27),0)))</f>
        <v/>
      </c>
      <c r="BV45" s="72">
        <f>IF($A45="","",IF(AC45="",0,IF(AC45=IF($B45="언어와 매체",자동계산!$D$28,자동계산!$B$28),IF($B45="언어와 매체",자동계산!$E$28,자동계산!$C$28),0)))</f>
        <v/>
      </c>
      <c r="BW45" s="72">
        <f>IF($A45="","",IF(AD45="",0,IF(AD45=IF($B45="언어와 매체",자동계산!$D$29,자동계산!$B$29),IF($B45="언어와 매체",자동계산!$E$29,자동계산!$C$29),0)))</f>
        <v/>
      </c>
      <c r="BX45" s="72">
        <f>IF($A45="","",IF(AE45="",0,IF(AE45=IF($B45="언어와 매체",자동계산!$D$30,자동계산!$B$30),IF($B45="언어와 매체",자동계산!$E$30,자동계산!$C$30),0)))</f>
        <v/>
      </c>
      <c r="BY45" s="72">
        <f>IF($A45="","",IF(AF45="",0,IF(AF45=IF($B45="언어와 매체",자동계산!$D$31,자동계산!$B$31),IF($B45="언어와 매체",자동계산!$E$31,자동계산!$C$31),0)))</f>
        <v/>
      </c>
      <c r="BZ45" s="72">
        <f>IF($A45="","",IF(AG45="",0,IF(AG45=IF($B45="언어와 매체",자동계산!$D$32,자동계산!$B$32),IF($B45="언어와 매체",자동계산!$E$32,자동계산!$C$32),0)))</f>
        <v/>
      </c>
      <c r="CA45" s="72">
        <f>IF($A45="","",IF(AH45="",0,IF(AH45=IF($B45="언어와 매체",자동계산!$D$33,자동계산!$B$33),IF($B45="언어와 매체",자동계산!$E$33,자동계산!$C$33),0)))</f>
        <v/>
      </c>
      <c r="CB45" s="72">
        <f>IF($A45="","",IF(AI45="",0,IF(AI45=IF($B45="언어와 매체",자동계산!$D$34,자동계산!$B$34),IF($B45="언어와 매체",자동계산!$E$34,자동계산!$C$34),0)))</f>
        <v/>
      </c>
      <c r="CC45" s="72">
        <f>IF($A45="","",IF(AJ45="",0,IF(AJ45=IF($B45="언어와 매체",자동계산!$D$35,자동계산!$B$35),IF($B45="언어와 매체",자동계산!$E$35,자동계산!$C$35),0)))</f>
        <v/>
      </c>
      <c r="CD45" s="72">
        <f>IF($A45="","",IF(AK45="",0,IF(AK45=IF($B45="언어와 매체",자동계산!$D$36,자동계산!$B$36),IF($B45="언어와 매체",자동계산!$E$36,자동계산!$C$36),0)))</f>
        <v/>
      </c>
      <c r="CE45" s="72">
        <f>IF($A45="","",IF(AL45="",0,IF(AL45=IF($B45="언어와 매체",자동계산!$D$37,자동계산!$B$37),IF($B45="언어와 매체",자동계산!$E$37,자동계산!$C$37),0)))</f>
        <v/>
      </c>
      <c r="CF45" s="72">
        <f>IF($A45="","",IF(AM45="",0,IF(AM45=IF($B45="언어와 매체",자동계산!$D$38,자동계산!$B$38),IF($B45="언어와 매체",자동계산!$E$38,자동계산!$C$38),0)))</f>
        <v/>
      </c>
      <c r="CG45" s="72">
        <f>IF($A45="","",IF(AN45="",0,IF(AN45=IF($B45="언어와 매체",자동계산!$D$39,자동계산!$B$39),IF($B45="언어와 매체",자동계산!$E$39,자동계산!$C$39),0)))</f>
        <v/>
      </c>
      <c r="CH45" s="72">
        <f>IF($A45="","",IF(AO45="",0,IF(AO45=IF($B45="언어와 매체",자동계산!$D$40,자동계산!$B$40),IF($B45="언어와 매체",자동계산!$E$40,자동계산!$C$40),0)))</f>
        <v/>
      </c>
      <c r="CI45" s="72">
        <f>IF($A45="","",IF(AP45="",0,IF(AP45=IF($B45="언어와 매체",자동계산!$D$41,자동계산!$B$41),IF($B45="언어와 매체",자동계산!$E$41,자동계산!$C$41),0)))</f>
        <v/>
      </c>
      <c r="CJ45" s="72">
        <f>IF($A45="","",IF(AQ45="",0,IF(AQ45=IF($B45="언어와 매체",자동계산!$D$42,자동계산!$B$42),IF($B45="언어와 매체",자동계산!$E$42,자동계산!$C$42),0)))</f>
        <v/>
      </c>
      <c r="CK45" s="72">
        <f>IF($A45="","",IF(AR45="",0,IF(AR45=IF($B45="언어와 매체",자동계산!$D$43,자동계산!$B$43),IF($B45="언어와 매체",자동계산!$E$43,자동계산!$C$43),0)))</f>
        <v/>
      </c>
      <c r="CL45" s="72">
        <f>IF($A45="","",IF(AS45="",0,IF(AS45=IF($B45="언어와 매체",자동계산!$D$44,자동계산!$B$44),IF($B45="언어와 매체",자동계산!$E$44,자동계산!$C$44),0)))</f>
        <v/>
      </c>
      <c r="CM45" s="72">
        <f>IF($A45="","",IF(AT45="",0,IF(AT45=IF($B45="언어와 매체",자동계산!$D$45,자동계산!$B$45),IF($B45="언어와 매체",자동계산!$E$45,자동계산!$C$45),0)))</f>
        <v/>
      </c>
      <c r="CN45" s="72">
        <f>IF($A45="","",IF(AU45="",0,IF(AU45=IF($B45="언어와 매체",자동계산!$D$46,자동계산!$B$46),IF($B45="언어와 매체",자동계산!$E$46,자동계산!$C$46),0)))</f>
        <v/>
      </c>
      <c r="CO45" s="72">
        <f>IF($A45="","",IF(AV45="",0,IF(AV45=IF($B45="언어와 매체",자동계산!$D$47,자동계산!$B$47),IF($B45="언어와 매체",자동계산!$E$47,자동계산!$C$47),0)))</f>
        <v/>
      </c>
      <c r="CP45" s="72">
        <f>IF($A45="","",IF(AW45="",0,IF(AW45=IF($B45="언어와 매체",자동계산!$D$48,자동계산!$B$48),IF($B45="언어와 매체",자동계산!$E$48,자동계산!$C$48),0)))</f>
        <v/>
      </c>
    </row>
    <row r="46">
      <c r="A46" s="70">
        <f>IF(답안입력!A46="","",답안입력!A46)</f>
        <v/>
      </c>
      <c r="B46" s="70">
        <f>IF($A46="","",답안입력!C46)</f>
        <v/>
      </c>
      <c r="C46" s="71">
        <f>IF($A46="","",SUM(AX46:CP46))</f>
        <v/>
      </c>
      <c r="D46" s="70">
        <f>IF($A46="","",IF($C46&gt;=IF($B46="언어와 매체",회차설정!$B$9,회차설정!$B$8),"1등급",IF($C46&gt;=IF($B46="언어와 매체",회차설정!$C$9,회차설정!$C$8),"2등급",IF($C46&gt;=IF($B46="언어와 매체",회차설정!$D$9,회차설정!$D$8),"3등급",IF($C46&gt;=IF($B46="언어와 매체",회차설정!$E$9,회차설정!$E$8),"4등급","등급 외")))))</f>
        <v/>
      </c>
      <c r="E46" s="72">
        <f>IF($A46="","",IF(LEN(답안입력!$D46)&gt;=1,VALUE(MID(답안입력!$D46,1,1)),IF(답안입력!E46="","",답안입력!E46)))</f>
        <v/>
      </c>
      <c r="F46" s="72">
        <f>IF($A46="","",IF(LEN(답안입력!$D46)&gt;=2,VALUE(MID(답안입력!$D46,2,1)),IF(답안입력!F46="","",답안입력!F46)))</f>
        <v/>
      </c>
      <c r="G46" s="72">
        <f>IF($A46="","",IF(LEN(답안입력!$D46)&gt;=3,VALUE(MID(답안입력!$D46,3,1)),IF(답안입력!G46="","",답안입력!G46)))</f>
        <v/>
      </c>
      <c r="H46" s="72">
        <f>IF($A46="","",IF(LEN(답안입력!$D46)&gt;=4,VALUE(MID(답안입력!$D46,4,1)),IF(답안입력!H46="","",답안입력!H46)))</f>
        <v/>
      </c>
      <c r="I46" s="72">
        <f>IF($A46="","",IF(LEN(답안입력!$D46)&gt;=5,VALUE(MID(답안입력!$D46,5,1)),IF(답안입력!I46="","",답안입력!I46)))</f>
        <v/>
      </c>
      <c r="J46" s="72">
        <f>IF($A46="","",IF(LEN(답안입력!$D46)&gt;=6,VALUE(MID(답안입력!$D46,6,1)),IF(답안입력!J46="","",답안입력!J46)))</f>
        <v/>
      </c>
      <c r="K46" s="72">
        <f>IF($A46="","",IF(LEN(답안입력!$D46)&gt;=7,VALUE(MID(답안입력!$D46,7,1)),IF(답안입력!K46="","",답안입력!K46)))</f>
        <v/>
      </c>
      <c r="L46" s="72">
        <f>IF($A46="","",IF(LEN(답안입력!$D46)&gt;=8,VALUE(MID(답안입력!$D46,8,1)),IF(답안입력!L46="","",답안입력!L46)))</f>
        <v/>
      </c>
      <c r="M46" s="72">
        <f>IF($A46="","",IF(LEN(답안입력!$D46)&gt;=9,VALUE(MID(답안입력!$D46,9,1)),IF(답안입력!M46="","",답안입력!M46)))</f>
        <v/>
      </c>
      <c r="N46" s="72">
        <f>IF($A46="","",IF(LEN(답안입력!$D46)&gt;=10,VALUE(MID(답안입력!$D46,10,1)),IF(답안입력!N46="","",답안입력!N46)))</f>
        <v/>
      </c>
      <c r="O46" s="72">
        <f>IF($A46="","",IF(LEN(답안입력!$D46)&gt;=11,VALUE(MID(답안입력!$D46,11,1)),IF(답안입력!O46="","",답안입력!O46)))</f>
        <v/>
      </c>
      <c r="P46" s="72">
        <f>IF($A46="","",IF(LEN(답안입력!$D46)&gt;=12,VALUE(MID(답안입력!$D46,12,1)),IF(답안입력!P46="","",답안입력!P46)))</f>
        <v/>
      </c>
      <c r="Q46" s="72">
        <f>IF($A46="","",IF(LEN(답안입력!$D46)&gt;=13,VALUE(MID(답안입력!$D46,13,1)),IF(답안입력!Q46="","",답안입력!Q46)))</f>
        <v/>
      </c>
      <c r="R46" s="72">
        <f>IF($A46="","",IF(LEN(답안입력!$D46)&gt;=14,VALUE(MID(답안입력!$D46,14,1)),IF(답안입력!R46="","",답안입력!R46)))</f>
        <v/>
      </c>
      <c r="S46" s="72">
        <f>IF($A46="","",IF(LEN(답안입력!$D46)&gt;=15,VALUE(MID(답안입력!$D46,15,1)),IF(답안입력!S46="","",답안입력!S46)))</f>
        <v/>
      </c>
      <c r="T46" s="72">
        <f>IF($A46="","",IF(LEN(답안입력!$D46)&gt;=16,VALUE(MID(답안입력!$D46,16,1)),IF(답안입력!T46="","",답안입력!T46)))</f>
        <v/>
      </c>
      <c r="U46" s="72">
        <f>IF($A46="","",IF(LEN(답안입력!$D46)&gt;=17,VALUE(MID(답안입력!$D46,17,1)),IF(답안입력!U46="","",답안입력!U46)))</f>
        <v/>
      </c>
      <c r="V46" s="72">
        <f>IF($A46="","",IF(LEN(답안입력!$D46)&gt;=18,VALUE(MID(답안입력!$D46,18,1)),IF(답안입력!V46="","",답안입력!V46)))</f>
        <v/>
      </c>
      <c r="W46" s="72">
        <f>IF($A46="","",IF(LEN(답안입력!$D46)&gt;=19,VALUE(MID(답안입력!$D46,19,1)),IF(답안입력!W46="","",답안입력!W46)))</f>
        <v/>
      </c>
      <c r="X46" s="72">
        <f>IF($A46="","",IF(LEN(답안입력!$D46)&gt;=20,VALUE(MID(답안입력!$D46,20,1)),IF(답안입력!X46="","",답안입력!X46)))</f>
        <v/>
      </c>
      <c r="Y46" s="72">
        <f>IF($A46="","",IF(LEN(답안입력!$D46)&gt;=21,VALUE(MID(답안입력!$D46,21,1)),IF(답안입력!Y46="","",답안입력!Y46)))</f>
        <v/>
      </c>
      <c r="Z46" s="72">
        <f>IF($A46="","",IF(LEN(답안입력!$D46)&gt;=22,VALUE(MID(답안입력!$D46,22,1)),IF(답안입력!Z46="","",답안입력!Z46)))</f>
        <v/>
      </c>
      <c r="AA46" s="72">
        <f>IF($A46="","",IF(LEN(답안입력!$D46)&gt;=23,VALUE(MID(답안입력!$D46,23,1)),IF(답안입력!AA46="","",답안입력!AA46)))</f>
        <v/>
      </c>
      <c r="AB46" s="72">
        <f>IF($A46="","",IF(LEN(답안입력!$D46)&gt;=24,VALUE(MID(답안입력!$D46,24,1)),IF(답안입력!AB46="","",답안입력!AB46)))</f>
        <v/>
      </c>
      <c r="AC46" s="72">
        <f>IF($A46="","",IF(LEN(답안입력!$D46)&gt;=25,VALUE(MID(답안입력!$D46,25,1)),IF(답안입력!AC46="","",답안입력!AC46)))</f>
        <v/>
      </c>
      <c r="AD46" s="72">
        <f>IF($A46="","",IF(LEN(답안입력!$D46)&gt;=26,VALUE(MID(답안입력!$D46,26,1)),IF(답안입력!AD46="","",답안입력!AD46)))</f>
        <v/>
      </c>
      <c r="AE46" s="72">
        <f>IF($A46="","",IF(LEN(답안입력!$D46)&gt;=27,VALUE(MID(답안입력!$D46,27,1)),IF(답안입력!AE46="","",답안입력!AE46)))</f>
        <v/>
      </c>
      <c r="AF46" s="72">
        <f>IF($A46="","",IF(LEN(답안입력!$D46)&gt;=28,VALUE(MID(답안입력!$D46,28,1)),IF(답안입력!AF46="","",답안입력!AF46)))</f>
        <v/>
      </c>
      <c r="AG46" s="72">
        <f>IF($A46="","",IF(LEN(답안입력!$D46)&gt;=29,VALUE(MID(답안입력!$D46,29,1)),IF(답안입력!AG46="","",답안입력!AG46)))</f>
        <v/>
      </c>
      <c r="AH46" s="72">
        <f>IF($A46="","",IF(LEN(답안입력!$D46)&gt;=30,VALUE(MID(답안입력!$D46,30,1)),IF(답안입력!AH46="","",답안입력!AH46)))</f>
        <v/>
      </c>
      <c r="AI46" s="72">
        <f>IF($A46="","",IF(LEN(답안입력!$D46)&gt;=31,VALUE(MID(답안입력!$D46,31,1)),IF(답안입력!AI46="","",답안입력!AI46)))</f>
        <v/>
      </c>
      <c r="AJ46" s="72">
        <f>IF($A46="","",IF(LEN(답안입력!$D46)&gt;=32,VALUE(MID(답안입력!$D46,32,1)),IF(답안입력!AJ46="","",답안입력!AJ46)))</f>
        <v/>
      </c>
      <c r="AK46" s="72">
        <f>IF($A46="","",IF(LEN(답안입력!$D46)&gt;=33,VALUE(MID(답안입력!$D46,33,1)),IF(답안입력!AK46="","",답안입력!AK46)))</f>
        <v/>
      </c>
      <c r="AL46" s="72">
        <f>IF($A46="","",IF(LEN(답안입력!$D46)&gt;=34,VALUE(MID(답안입력!$D46,34,1)),IF(답안입력!AL46="","",답안입력!AL46)))</f>
        <v/>
      </c>
      <c r="AM46" s="72">
        <f>IF($A46="","",IF(LEN(답안입력!$D46)&gt;=35,VALUE(MID(답안입력!$D46,35,1)),IF(답안입력!AM46="","",답안입력!AM46)))</f>
        <v/>
      </c>
      <c r="AN46" s="72">
        <f>IF($A46="","",IF(LEN(답안입력!$D46)&gt;=36,VALUE(MID(답안입력!$D46,36,1)),IF(답안입력!AN46="","",답안입력!AN46)))</f>
        <v/>
      </c>
      <c r="AO46" s="72">
        <f>IF($A46="","",IF(LEN(답안입력!$D46)&gt;=37,VALUE(MID(답안입력!$D46,37,1)),IF(답안입력!AO46="","",답안입력!AO46)))</f>
        <v/>
      </c>
      <c r="AP46" s="72">
        <f>IF($A46="","",IF(LEN(답안입력!$D46)&gt;=38,VALUE(MID(답안입력!$D46,38,1)),IF(답안입력!AP46="","",답안입력!AP46)))</f>
        <v/>
      </c>
      <c r="AQ46" s="72">
        <f>IF($A46="","",IF(LEN(답안입력!$D46)&gt;=39,VALUE(MID(답안입력!$D46,39,1)),IF(답안입력!AQ46="","",답안입력!AQ46)))</f>
        <v/>
      </c>
      <c r="AR46" s="72">
        <f>IF($A46="","",IF(LEN(답안입력!$D46)&gt;=40,VALUE(MID(답안입력!$D46,40,1)),IF(답안입력!AR46="","",답안입력!AR46)))</f>
        <v/>
      </c>
      <c r="AS46" s="72">
        <f>IF($A46="","",IF(LEN(답안입력!$D46)&gt;=41,VALUE(MID(답안입력!$D46,41,1)),IF(답안입력!AS46="","",답안입력!AS46)))</f>
        <v/>
      </c>
      <c r="AT46" s="72">
        <f>IF($A46="","",IF(LEN(답안입력!$D46)&gt;=42,VALUE(MID(답안입력!$D46,42,1)),IF(답안입력!AT46="","",답안입력!AT46)))</f>
        <v/>
      </c>
      <c r="AU46" s="72">
        <f>IF($A46="","",IF(LEN(답안입력!$D46)&gt;=43,VALUE(MID(답안입력!$D46,43,1)),IF(답안입력!AU46="","",답안입력!AU46)))</f>
        <v/>
      </c>
      <c r="AV46" s="72">
        <f>IF($A46="","",IF(LEN(답안입력!$D46)&gt;=44,VALUE(MID(답안입력!$D46,44,1)),IF(답안입력!AV46="","",답안입력!AV46)))</f>
        <v/>
      </c>
      <c r="AW46" s="72">
        <f>IF($A46="","",IF(LEN(답안입력!$D46)&gt;=45,VALUE(MID(답안입력!$D46,45,1)),IF(답안입력!AW46="","",답안입력!AW46)))</f>
        <v/>
      </c>
      <c r="AX46" s="72">
        <f>IF($A46="","",IF(E46="",0,IF(E46=IF($B46="언어와 매체",자동계산!$D$4,자동계산!$B$4),IF($B46="언어와 매체",자동계산!$E$4,자동계산!$C$4),0)))</f>
        <v/>
      </c>
      <c r="AY46" s="72">
        <f>IF($A46="","",IF(F46="",0,IF(F46=IF($B46="언어와 매체",자동계산!$D$5,자동계산!$B$5),IF($B46="언어와 매체",자동계산!$E$5,자동계산!$C$5),0)))</f>
        <v/>
      </c>
      <c r="AZ46" s="72">
        <f>IF($A46="","",IF(G46="",0,IF(G46=IF($B46="언어와 매체",자동계산!$D$6,자동계산!$B$6),IF($B46="언어와 매체",자동계산!$E$6,자동계산!$C$6),0)))</f>
        <v/>
      </c>
      <c r="BA46" s="72">
        <f>IF($A46="","",IF(H46="",0,IF(H46=IF($B46="언어와 매체",자동계산!$D$7,자동계산!$B$7),IF($B46="언어와 매체",자동계산!$E$7,자동계산!$C$7),0)))</f>
        <v/>
      </c>
      <c r="BB46" s="72">
        <f>IF($A46="","",IF(I46="",0,IF(I46=IF($B46="언어와 매체",자동계산!$D$8,자동계산!$B$8),IF($B46="언어와 매체",자동계산!$E$8,자동계산!$C$8),0)))</f>
        <v/>
      </c>
      <c r="BC46" s="72">
        <f>IF($A46="","",IF(J46="",0,IF(J46=IF($B46="언어와 매체",자동계산!$D$9,자동계산!$B$9),IF($B46="언어와 매체",자동계산!$E$9,자동계산!$C$9),0)))</f>
        <v/>
      </c>
      <c r="BD46" s="72">
        <f>IF($A46="","",IF(K46="",0,IF(K46=IF($B46="언어와 매체",자동계산!$D$10,자동계산!$B$10),IF($B46="언어와 매체",자동계산!$E$10,자동계산!$C$10),0)))</f>
        <v/>
      </c>
      <c r="BE46" s="72">
        <f>IF($A46="","",IF(L46="",0,IF(L46=IF($B46="언어와 매체",자동계산!$D$11,자동계산!$B$11),IF($B46="언어와 매체",자동계산!$E$11,자동계산!$C$11),0)))</f>
        <v/>
      </c>
      <c r="BF46" s="72">
        <f>IF($A46="","",IF(M46="",0,IF(M46=IF($B46="언어와 매체",자동계산!$D$12,자동계산!$B$12),IF($B46="언어와 매체",자동계산!$E$12,자동계산!$C$12),0)))</f>
        <v/>
      </c>
      <c r="BG46" s="72">
        <f>IF($A46="","",IF(N46="",0,IF(N46=IF($B46="언어와 매체",자동계산!$D$13,자동계산!$B$13),IF($B46="언어와 매체",자동계산!$E$13,자동계산!$C$13),0)))</f>
        <v/>
      </c>
      <c r="BH46" s="72">
        <f>IF($A46="","",IF(O46="",0,IF(O46=IF($B46="언어와 매체",자동계산!$D$14,자동계산!$B$14),IF($B46="언어와 매체",자동계산!$E$14,자동계산!$C$14),0)))</f>
        <v/>
      </c>
      <c r="BI46" s="72">
        <f>IF($A46="","",IF(P46="",0,IF(P46=IF($B46="언어와 매체",자동계산!$D$15,자동계산!$B$15),IF($B46="언어와 매체",자동계산!$E$15,자동계산!$C$15),0)))</f>
        <v/>
      </c>
      <c r="BJ46" s="72">
        <f>IF($A46="","",IF(Q46="",0,IF(Q46=IF($B46="언어와 매체",자동계산!$D$16,자동계산!$B$16),IF($B46="언어와 매체",자동계산!$E$16,자동계산!$C$16),0)))</f>
        <v/>
      </c>
      <c r="BK46" s="72">
        <f>IF($A46="","",IF(R46="",0,IF(R46=IF($B46="언어와 매체",자동계산!$D$17,자동계산!$B$17),IF($B46="언어와 매체",자동계산!$E$17,자동계산!$C$17),0)))</f>
        <v/>
      </c>
      <c r="BL46" s="72">
        <f>IF($A46="","",IF(S46="",0,IF(S46=IF($B46="언어와 매체",자동계산!$D$18,자동계산!$B$18),IF($B46="언어와 매체",자동계산!$E$18,자동계산!$C$18),0)))</f>
        <v/>
      </c>
      <c r="BM46" s="72">
        <f>IF($A46="","",IF(T46="",0,IF(T46=IF($B46="언어와 매체",자동계산!$D$19,자동계산!$B$19),IF($B46="언어와 매체",자동계산!$E$19,자동계산!$C$19),0)))</f>
        <v/>
      </c>
      <c r="BN46" s="72">
        <f>IF($A46="","",IF(U46="",0,IF(U46=IF($B46="언어와 매체",자동계산!$D$20,자동계산!$B$20),IF($B46="언어와 매체",자동계산!$E$20,자동계산!$C$20),0)))</f>
        <v/>
      </c>
      <c r="BO46" s="72">
        <f>IF($A46="","",IF(V46="",0,IF(V46=IF($B46="언어와 매체",자동계산!$D$21,자동계산!$B$21),IF($B46="언어와 매체",자동계산!$E$21,자동계산!$C$21),0)))</f>
        <v/>
      </c>
      <c r="BP46" s="72">
        <f>IF($A46="","",IF(W46="",0,IF(W46=IF($B46="언어와 매체",자동계산!$D$22,자동계산!$B$22),IF($B46="언어와 매체",자동계산!$E$22,자동계산!$C$22),0)))</f>
        <v/>
      </c>
      <c r="BQ46" s="72">
        <f>IF($A46="","",IF(X46="",0,IF(X46=IF($B46="언어와 매체",자동계산!$D$23,자동계산!$B$23),IF($B46="언어와 매체",자동계산!$E$23,자동계산!$C$23),0)))</f>
        <v/>
      </c>
      <c r="BR46" s="72">
        <f>IF($A46="","",IF(Y46="",0,IF(Y46=IF($B46="언어와 매체",자동계산!$D$24,자동계산!$B$24),IF($B46="언어와 매체",자동계산!$E$24,자동계산!$C$24),0)))</f>
        <v/>
      </c>
      <c r="BS46" s="72">
        <f>IF($A46="","",IF(Z46="",0,IF(Z46=IF($B46="언어와 매체",자동계산!$D$25,자동계산!$B$25),IF($B46="언어와 매체",자동계산!$E$25,자동계산!$C$25),0)))</f>
        <v/>
      </c>
      <c r="BT46" s="72">
        <f>IF($A46="","",IF(AA46="",0,IF(AA46=IF($B46="언어와 매체",자동계산!$D$26,자동계산!$B$26),IF($B46="언어와 매체",자동계산!$E$26,자동계산!$C$26),0)))</f>
        <v/>
      </c>
      <c r="BU46" s="72">
        <f>IF($A46="","",IF(AB46="",0,IF(AB46=IF($B46="언어와 매체",자동계산!$D$27,자동계산!$B$27),IF($B46="언어와 매체",자동계산!$E$27,자동계산!$C$27),0)))</f>
        <v/>
      </c>
      <c r="BV46" s="72">
        <f>IF($A46="","",IF(AC46="",0,IF(AC46=IF($B46="언어와 매체",자동계산!$D$28,자동계산!$B$28),IF($B46="언어와 매체",자동계산!$E$28,자동계산!$C$28),0)))</f>
        <v/>
      </c>
      <c r="BW46" s="72">
        <f>IF($A46="","",IF(AD46="",0,IF(AD46=IF($B46="언어와 매체",자동계산!$D$29,자동계산!$B$29),IF($B46="언어와 매체",자동계산!$E$29,자동계산!$C$29),0)))</f>
        <v/>
      </c>
      <c r="BX46" s="72">
        <f>IF($A46="","",IF(AE46="",0,IF(AE46=IF($B46="언어와 매체",자동계산!$D$30,자동계산!$B$30),IF($B46="언어와 매체",자동계산!$E$30,자동계산!$C$30),0)))</f>
        <v/>
      </c>
      <c r="BY46" s="72">
        <f>IF($A46="","",IF(AF46="",0,IF(AF46=IF($B46="언어와 매체",자동계산!$D$31,자동계산!$B$31),IF($B46="언어와 매체",자동계산!$E$31,자동계산!$C$31),0)))</f>
        <v/>
      </c>
      <c r="BZ46" s="72">
        <f>IF($A46="","",IF(AG46="",0,IF(AG46=IF($B46="언어와 매체",자동계산!$D$32,자동계산!$B$32),IF($B46="언어와 매체",자동계산!$E$32,자동계산!$C$32),0)))</f>
        <v/>
      </c>
      <c r="CA46" s="72">
        <f>IF($A46="","",IF(AH46="",0,IF(AH46=IF($B46="언어와 매체",자동계산!$D$33,자동계산!$B$33),IF($B46="언어와 매체",자동계산!$E$33,자동계산!$C$33),0)))</f>
        <v/>
      </c>
      <c r="CB46" s="72">
        <f>IF($A46="","",IF(AI46="",0,IF(AI46=IF($B46="언어와 매체",자동계산!$D$34,자동계산!$B$34),IF($B46="언어와 매체",자동계산!$E$34,자동계산!$C$34),0)))</f>
        <v/>
      </c>
      <c r="CC46" s="72">
        <f>IF($A46="","",IF(AJ46="",0,IF(AJ46=IF($B46="언어와 매체",자동계산!$D$35,자동계산!$B$35),IF($B46="언어와 매체",자동계산!$E$35,자동계산!$C$35),0)))</f>
        <v/>
      </c>
      <c r="CD46" s="72">
        <f>IF($A46="","",IF(AK46="",0,IF(AK46=IF($B46="언어와 매체",자동계산!$D$36,자동계산!$B$36),IF($B46="언어와 매체",자동계산!$E$36,자동계산!$C$36),0)))</f>
        <v/>
      </c>
      <c r="CE46" s="72">
        <f>IF($A46="","",IF(AL46="",0,IF(AL46=IF($B46="언어와 매체",자동계산!$D$37,자동계산!$B$37),IF($B46="언어와 매체",자동계산!$E$37,자동계산!$C$37),0)))</f>
        <v/>
      </c>
      <c r="CF46" s="72">
        <f>IF($A46="","",IF(AM46="",0,IF(AM46=IF($B46="언어와 매체",자동계산!$D$38,자동계산!$B$38),IF($B46="언어와 매체",자동계산!$E$38,자동계산!$C$38),0)))</f>
        <v/>
      </c>
      <c r="CG46" s="72">
        <f>IF($A46="","",IF(AN46="",0,IF(AN46=IF($B46="언어와 매체",자동계산!$D$39,자동계산!$B$39),IF($B46="언어와 매체",자동계산!$E$39,자동계산!$C$39),0)))</f>
        <v/>
      </c>
      <c r="CH46" s="72">
        <f>IF($A46="","",IF(AO46="",0,IF(AO46=IF($B46="언어와 매체",자동계산!$D$40,자동계산!$B$40),IF($B46="언어와 매체",자동계산!$E$40,자동계산!$C$40),0)))</f>
        <v/>
      </c>
      <c r="CI46" s="72">
        <f>IF($A46="","",IF(AP46="",0,IF(AP46=IF($B46="언어와 매체",자동계산!$D$41,자동계산!$B$41),IF($B46="언어와 매체",자동계산!$E$41,자동계산!$C$41),0)))</f>
        <v/>
      </c>
      <c r="CJ46" s="72">
        <f>IF($A46="","",IF(AQ46="",0,IF(AQ46=IF($B46="언어와 매체",자동계산!$D$42,자동계산!$B$42),IF($B46="언어와 매체",자동계산!$E$42,자동계산!$C$42),0)))</f>
        <v/>
      </c>
      <c r="CK46" s="72">
        <f>IF($A46="","",IF(AR46="",0,IF(AR46=IF($B46="언어와 매체",자동계산!$D$43,자동계산!$B$43),IF($B46="언어와 매체",자동계산!$E$43,자동계산!$C$43),0)))</f>
        <v/>
      </c>
      <c r="CL46" s="72">
        <f>IF($A46="","",IF(AS46="",0,IF(AS46=IF($B46="언어와 매체",자동계산!$D$44,자동계산!$B$44),IF($B46="언어와 매체",자동계산!$E$44,자동계산!$C$44),0)))</f>
        <v/>
      </c>
      <c r="CM46" s="72">
        <f>IF($A46="","",IF(AT46="",0,IF(AT46=IF($B46="언어와 매체",자동계산!$D$45,자동계산!$B$45),IF($B46="언어와 매체",자동계산!$E$45,자동계산!$C$45),0)))</f>
        <v/>
      </c>
      <c r="CN46" s="72">
        <f>IF($A46="","",IF(AU46="",0,IF(AU46=IF($B46="언어와 매체",자동계산!$D$46,자동계산!$B$46),IF($B46="언어와 매체",자동계산!$E$46,자동계산!$C$46),0)))</f>
        <v/>
      </c>
      <c r="CO46" s="72">
        <f>IF($A46="","",IF(AV46="",0,IF(AV46=IF($B46="언어와 매체",자동계산!$D$47,자동계산!$B$47),IF($B46="언어와 매체",자동계산!$E$47,자동계산!$C$47),0)))</f>
        <v/>
      </c>
      <c r="CP46" s="72">
        <f>IF($A46="","",IF(AW46="",0,IF(AW46=IF($B46="언어와 매체",자동계산!$D$48,자동계산!$B$48),IF($B46="언어와 매체",자동계산!$E$48,자동계산!$C$48),0)))</f>
        <v/>
      </c>
    </row>
    <row r="47">
      <c r="A47" s="70">
        <f>IF(답안입력!A47="","",답안입력!A47)</f>
        <v/>
      </c>
      <c r="B47" s="70">
        <f>IF($A47="","",답안입력!C47)</f>
        <v/>
      </c>
      <c r="C47" s="71">
        <f>IF($A47="","",SUM(AX47:CP47))</f>
        <v/>
      </c>
      <c r="D47" s="70">
        <f>IF($A47="","",IF($C47&gt;=IF($B47="언어와 매체",회차설정!$B$9,회차설정!$B$8),"1등급",IF($C47&gt;=IF($B47="언어와 매체",회차설정!$C$9,회차설정!$C$8),"2등급",IF($C47&gt;=IF($B47="언어와 매체",회차설정!$D$9,회차설정!$D$8),"3등급",IF($C47&gt;=IF($B47="언어와 매체",회차설정!$E$9,회차설정!$E$8),"4등급","등급 외")))))</f>
        <v/>
      </c>
      <c r="E47" s="72">
        <f>IF($A47="","",IF(LEN(답안입력!$D47)&gt;=1,VALUE(MID(답안입력!$D47,1,1)),IF(답안입력!E47="","",답안입력!E47)))</f>
        <v/>
      </c>
      <c r="F47" s="72">
        <f>IF($A47="","",IF(LEN(답안입력!$D47)&gt;=2,VALUE(MID(답안입력!$D47,2,1)),IF(답안입력!F47="","",답안입력!F47)))</f>
        <v/>
      </c>
      <c r="G47" s="72">
        <f>IF($A47="","",IF(LEN(답안입력!$D47)&gt;=3,VALUE(MID(답안입력!$D47,3,1)),IF(답안입력!G47="","",답안입력!G47)))</f>
        <v/>
      </c>
      <c r="H47" s="72">
        <f>IF($A47="","",IF(LEN(답안입력!$D47)&gt;=4,VALUE(MID(답안입력!$D47,4,1)),IF(답안입력!H47="","",답안입력!H47)))</f>
        <v/>
      </c>
      <c r="I47" s="72">
        <f>IF($A47="","",IF(LEN(답안입력!$D47)&gt;=5,VALUE(MID(답안입력!$D47,5,1)),IF(답안입력!I47="","",답안입력!I47)))</f>
        <v/>
      </c>
      <c r="J47" s="72">
        <f>IF($A47="","",IF(LEN(답안입력!$D47)&gt;=6,VALUE(MID(답안입력!$D47,6,1)),IF(답안입력!J47="","",답안입력!J47)))</f>
        <v/>
      </c>
      <c r="K47" s="72">
        <f>IF($A47="","",IF(LEN(답안입력!$D47)&gt;=7,VALUE(MID(답안입력!$D47,7,1)),IF(답안입력!K47="","",답안입력!K47)))</f>
        <v/>
      </c>
      <c r="L47" s="72">
        <f>IF($A47="","",IF(LEN(답안입력!$D47)&gt;=8,VALUE(MID(답안입력!$D47,8,1)),IF(답안입력!L47="","",답안입력!L47)))</f>
        <v/>
      </c>
      <c r="M47" s="72">
        <f>IF($A47="","",IF(LEN(답안입력!$D47)&gt;=9,VALUE(MID(답안입력!$D47,9,1)),IF(답안입력!M47="","",답안입력!M47)))</f>
        <v/>
      </c>
      <c r="N47" s="72">
        <f>IF($A47="","",IF(LEN(답안입력!$D47)&gt;=10,VALUE(MID(답안입력!$D47,10,1)),IF(답안입력!N47="","",답안입력!N47)))</f>
        <v/>
      </c>
      <c r="O47" s="72">
        <f>IF($A47="","",IF(LEN(답안입력!$D47)&gt;=11,VALUE(MID(답안입력!$D47,11,1)),IF(답안입력!O47="","",답안입력!O47)))</f>
        <v/>
      </c>
      <c r="P47" s="72">
        <f>IF($A47="","",IF(LEN(답안입력!$D47)&gt;=12,VALUE(MID(답안입력!$D47,12,1)),IF(답안입력!P47="","",답안입력!P47)))</f>
        <v/>
      </c>
      <c r="Q47" s="72">
        <f>IF($A47="","",IF(LEN(답안입력!$D47)&gt;=13,VALUE(MID(답안입력!$D47,13,1)),IF(답안입력!Q47="","",답안입력!Q47)))</f>
        <v/>
      </c>
      <c r="R47" s="72">
        <f>IF($A47="","",IF(LEN(답안입력!$D47)&gt;=14,VALUE(MID(답안입력!$D47,14,1)),IF(답안입력!R47="","",답안입력!R47)))</f>
        <v/>
      </c>
      <c r="S47" s="72">
        <f>IF($A47="","",IF(LEN(답안입력!$D47)&gt;=15,VALUE(MID(답안입력!$D47,15,1)),IF(답안입력!S47="","",답안입력!S47)))</f>
        <v/>
      </c>
      <c r="T47" s="72">
        <f>IF($A47="","",IF(LEN(답안입력!$D47)&gt;=16,VALUE(MID(답안입력!$D47,16,1)),IF(답안입력!T47="","",답안입력!T47)))</f>
        <v/>
      </c>
      <c r="U47" s="72">
        <f>IF($A47="","",IF(LEN(답안입력!$D47)&gt;=17,VALUE(MID(답안입력!$D47,17,1)),IF(답안입력!U47="","",답안입력!U47)))</f>
        <v/>
      </c>
      <c r="V47" s="72">
        <f>IF($A47="","",IF(LEN(답안입력!$D47)&gt;=18,VALUE(MID(답안입력!$D47,18,1)),IF(답안입력!V47="","",답안입력!V47)))</f>
        <v/>
      </c>
      <c r="W47" s="72">
        <f>IF($A47="","",IF(LEN(답안입력!$D47)&gt;=19,VALUE(MID(답안입력!$D47,19,1)),IF(답안입력!W47="","",답안입력!W47)))</f>
        <v/>
      </c>
      <c r="X47" s="72">
        <f>IF($A47="","",IF(LEN(답안입력!$D47)&gt;=20,VALUE(MID(답안입력!$D47,20,1)),IF(답안입력!X47="","",답안입력!X47)))</f>
        <v/>
      </c>
      <c r="Y47" s="72">
        <f>IF($A47="","",IF(LEN(답안입력!$D47)&gt;=21,VALUE(MID(답안입력!$D47,21,1)),IF(답안입력!Y47="","",답안입력!Y47)))</f>
        <v/>
      </c>
      <c r="Z47" s="72">
        <f>IF($A47="","",IF(LEN(답안입력!$D47)&gt;=22,VALUE(MID(답안입력!$D47,22,1)),IF(답안입력!Z47="","",답안입력!Z47)))</f>
        <v/>
      </c>
      <c r="AA47" s="72">
        <f>IF($A47="","",IF(LEN(답안입력!$D47)&gt;=23,VALUE(MID(답안입력!$D47,23,1)),IF(답안입력!AA47="","",답안입력!AA47)))</f>
        <v/>
      </c>
      <c r="AB47" s="72">
        <f>IF($A47="","",IF(LEN(답안입력!$D47)&gt;=24,VALUE(MID(답안입력!$D47,24,1)),IF(답안입력!AB47="","",답안입력!AB47)))</f>
        <v/>
      </c>
      <c r="AC47" s="72">
        <f>IF($A47="","",IF(LEN(답안입력!$D47)&gt;=25,VALUE(MID(답안입력!$D47,25,1)),IF(답안입력!AC47="","",답안입력!AC47)))</f>
        <v/>
      </c>
      <c r="AD47" s="72">
        <f>IF($A47="","",IF(LEN(답안입력!$D47)&gt;=26,VALUE(MID(답안입력!$D47,26,1)),IF(답안입력!AD47="","",답안입력!AD47)))</f>
        <v/>
      </c>
      <c r="AE47" s="72">
        <f>IF($A47="","",IF(LEN(답안입력!$D47)&gt;=27,VALUE(MID(답안입력!$D47,27,1)),IF(답안입력!AE47="","",답안입력!AE47)))</f>
        <v/>
      </c>
      <c r="AF47" s="72">
        <f>IF($A47="","",IF(LEN(답안입력!$D47)&gt;=28,VALUE(MID(답안입력!$D47,28,1)),IF(답안입력!AF47="","",답안입력!AF47)))</f>
        <v/>
      </c>
      <c r="AG47" s="72">
        <f>IF($A47="","",IF(LEN(답안입력!$D47)&gt;=29,VALUE(MID(답안입력!$D47,29,1)),IF(답안입력!AG47="","",답안입력!AG47)))</f>
        <v/>
      </c>
      <c r="AH47" s="72">
        <f>IF($A47="","",IF(LEN(답안입력!$D47)&gt;=30,VALUE(MID(답안입력!$D47,30,1)),IF(답안입력!AH47="","",답안입력!AH47)))</f>
        <v/>
      </c>
      <c r="AI47" s="72">
        <f>IF($A47="","",IF(LEN(답안입력!$D47)&gt;=31,VALUE(MID(답안입력!$D47,31,1)),IF(답안입력!AI47="","",답안입력!AI47)))</f>
        <v/>
      </c>
      <c r="AJ47" s="72">
        <f>IF($A47="","",IF(LEN(답안입력!$D47)&gt;=32,VALUE(MID(답안입력!$D47,32,1)),IF(답안입력!AJ47="","",답안입력!AJ47)))</f>
        <v/>
      </c>
      <c r="AK47" s="72">
        <f>IF($A47="","",IF(LEN(답안입력!$D47)&gt;=33,VALUE(MID(답안입력!$D47,33,1)),IF(답안입력!AK47="","",답안입력!AK47)))</f>
        <v/>
      </c>
      <c r="AL47" s="72">
        <f>IF($A47="","",IF(LEN(답안입력!$D47)&gt;=34,VALUE(MID(답안입력!$D47,34,1)),IF(답안입력!AL47="","",답안입력!AL47)))</f>
        <v/>
      </c>
      <c r="AM47" s="72">
        <f>IF($A47="","",IF(LEN(답안입력!$D47)&gt;=35,VALUE(MID(답안입력!$D47,35,1)),IF(답안입력!AM47="","",답안입력!AM47)))</f>
        <v/>
      </c>
      <c r="AN47" s="72">
        <f>IF($A47="","",IF(LEN(답안입력!$D47)&gt;=36,VALUE(MID(답안입력!$D47,36,1)),IF(답안입력!AN47="","",답안입력!AN47)))</f>
        <v/>
      </c>
      <c r="AO47" s="72">
        <f>IF($A47="","",IF(LEN(답안입력!$D47)&gt;=37,VALUE(MID(답안입력!$D47,37,1)),IF(답안입력!AO47="","",답안입력!AO47)))</f>
        <v/>
      </c>
      <c r="AP47" s="72">
        <f>IF($A47="","",IF(LEN(답안입력!$D47)&gt;=38,VALUE(MID(답안입력!$D47,38,1)),IF(답안입력!AP47="","",답안입력!AP47)))</f>
        <v/>
      </c>
      <c r="AQ47" s="72">
        <f>IF($A47="","",IF(LEN(답안입력!$D47)&gt;=39,VALUE(MID(답안입력!$D47,39,1)),IF(답안입력!AQ47="","",답안입력!AQ47)))</f>
        <v/>
      </c>
      <c r="AR47" s="72">
        <f>IF($A47="","",IF(LEN(답안입력!$D47)&gt;=40,VALUE(MID(답안입력!$D47,40,1)),IF(답안입력!AR47="","",답안입력!AR47)))</f>
        <v/>
      </c>
      <c r="AS47" s="72">
        <f>IF($A47="","",IF(LEN(답안입력!$D47)&gt;=41,VALUE(MID(답안입력!$D47,41,1)),IF(답안입력!AS47="","",답안입력!AS47)))</f>
        <v/>
      </c>
      <c r="AT47" s="72">
        <f>IF($A47="","",IF(LEN(답안입력!$D47)&gt;=42,VALUE(MID(답안입력!$D47,42,1)),IF(답안입력!AT47="","",답안입력!AT47)))</f>
        <v/>
      </c>
      <c r="AU47" s="72">
        <f>IF($A47="","",IF(LEN(답안입력!$D47)&gt;=43,VALUE(MID(답안입력!$D47,43,1)),IF(답안입력!AU47="","",답안입력!AU47)))</f>
        <v/>
      </c>
      <c r="AV47" s="72">
        <f>IF($A47="","",IF(LEN(답안입력!$D47)&gt;=44,VALUE(MID(답안입력!$D47,44,1)),IF(답안입력!AV47="","",답안입력!AV47)))</f>
        <v/>
      </c>
      <c r="AW47" s="72">
        <f>IF($A47="","",IF(LEN(답안입력!$D47)&gt;=45,VALUE(MID(답안입력!$D47,45,1)),IF(답안입력!AW47="","",답안입력!AW47)))</f>
        <v/>
      </c>
      <c r="AX47" s="72">
        <f>IF($A47="","",IF(E47="",0,IF(E47=IF($B47="언어와 매체",자동계산!$D$4,자동계산!$B$4),IF($B47="언어와 매체",자동계산!$E$4,자동계산!$C$4),0)))</f>
        <v/>
      </c>
      <c r="AY47" s="72">
        <f>IF($A47="","",IF(F47="",0,IF(F47=IF($B47="언어와 매체",자동계산!$D$5,자동계산!$B$5),IF($B47="언어와 매체",자동계산!$E$5,자동계산!$C$5),0)))</f>
        <v/>
      </c>
      <c r="AZ47" s="72">
        <f>IF($A47="","",IF(G47="",0,IF(G47=IF($B47="언어와 매체",자동계산!$D$6,자동계산!$B$6),IF($B47="언어와 매체",자동계산!$E$6,자동계산!$C$6),0)))</f>
        <v/>
      </c>
      <c r="BA47" s="72">
        <f>IF($A47="","",IF(H47="",0,IF(H47=IF($B47="언어와 매체",자동계산!$D$7,자동계산!$B$7),IF($B47="언어와 매체",자동계산!$E$7,자동계산!$C$7),0)))</f>
        <v/>
      </c>
      <c r="BB47" s="72">
        <f>IF($A47="","",IF(I47="",0,IF(I47=IF($B47="언어와 매체",자동계산!$D$8,자동계산!$B$8),IF($B47="언어와 매체",자동계산!$E$8,자동계산!$C$8),0)))</f>
        <v/>
      </c>
      <c r="BC47" s="72">
        <f>IF($A47="","",IF(J47="",0,IF(J47=IF($B47="언어와 매체",자동계산!$D$9,자동계산!$B$9),IF($B47="언어와 매체",자동계산!$E$9,자동계산!$C$9),0)))</f>
        <v/>
      </c>
      <c r="BD47" s="72">
        <f>IF($A47="","",IF(K47="",0,IF(K47=IF($B47="언어와 매체",자동계산!$D$10,자동계산!$B$10),IF($B47="언어와 매체",자동계산!$E$10,자동계산!$C$10),0)))</f>
        <v/>
      </c>
      <c r="BE47" s="72">
        <f>IF($A47="","",IF(L47="",0,IF(L47=IF($B47="언어와 매체",자동계산!$D$11,자동계산!$B$11),IF($B47="언어와 매체",자동계산!$E$11,자동계산!$C$11),0)))</f>
        <v/>
      </c>
      <c r="BF47" s="72">
        <f>IF($A47="","",IF(M47="",0,IF(M47=IF($B47="언어와 매체",자동계산!$D$12,자동계산!$B$12),IF($B47="언어와 매체",자동계산!$E$12,자동계산!$C$12),0)))</f>
        <v/>
      </c>
      <c r="BG47" s="72">
        <f>IF($A47="","",IF(N47="",0,IF(N47=IF($B47="언어와 매체",자동계산!$D$13,자동계산!$B$13),IF($B47="언어와 매체",자동계산!$E$13,자동계산!$C$13),0)))</f>
        <v/>
      </c>
      <c r="BH47" s="72">
        <f>IF($A47="","",IF(O47="",0,IF(O47=IF($B47="언어와 매체",자동계산!$D$14,자동계산!$B$14),IF($B47="언어와 매체",자동계산!$E$14,자동계산!$C$14),0)))</f>
        <v/>
      </c>
      <c r="BI47" s="72">
        <f>IF($A47="","",IF(P47="",0,IF(P47=IF($B47="언어와 매체",자동계산!$D$15,자동계산!$B$15),IF($B47="언어와 매체",자동계산!$E$15,자동계산!$C$15),0)))</f>
        <v/>
      </c>
      <c r="BJ47" s="72">
        <f>IF($A47="","",IF(Q47="",0,IF(Q47=IF($B47="언어와 매체",자동계산!$D$16,자동계산!$B$16),IF($B47="언어와 매체",자동계산!$E$16,자동계산!$C$16),0)))</f>
        <v/>
      </c>
      <c r="BK47" s="72">
        <f>IF($A47="","",IF(R47="",0,IF(R47=IF($B47="언어와 매체",자동계산!$D$17,자동계산!$B$17),IF($B47="언어와 매체",자동계산!$E$17,자동계산!$C$17),0)))</f>
        <v/>
      </c>
      <c r="BL47" s="72">
        <f>IF($A47="","",IF(S47="",0,IF(S47=IF($B47="언어와 매체",자동계산!$D$18,자동계산!$B$18),IF($B47="언어와 매체",자동계산!$E$18,자동계산!$C$18),0)))</f>
        <v/>
      </c>
      <c r="BM47" s="72">
        <f>IF($A47="","",IF(T47="",0,IF(T47=IF($B47="언어와 매체",자동계산!$D$19,자동계산!$B$19),IF($B47="언어와 매체",자동계산!$E$19,자동계산!$C$19),0)))</f>
        <v/>
      </c>
      <c r="BN47" s="72">
        <f>IF($A47="","",IF(U47="",0,IF(U47=IF($B47="언어와 매체",자동계산!$D$20,자동계산!$B$20),IF($B47="언어와 매체",자동계산!$E$20,자동계산!$C$20),0)))</f>
        <v/>
      </c>
      <c r="BO47" s="72">
        <f>IF($A47="","",IF(V47="",0,IF(V47=IF($B47="언어와 매체",자동계산!$D$21,자동계산!$B$21),IF($B47="언어와 매체",자동계산!$E$21,자동계산!$C$21),0)))</f>
        <v/>
      </c>
      <c r="BP47" s="72">
        <f>IF($A47="","",IF(W47="",0,IF(W47=IF($B47="언어와 매체",자동계산!$D$22,자동계산!$B$22),IF($B47="언어와 매체",자동계산!$E$22,자동계산!$C$22),0)))</f>
        <v/>
      </c>
      <c r="BQ47" s="72">
        <f>IF($A47="","",IF(X47="",0,IF(X47=IF($B47="언어와 매체",자동계산!$D$23,자동계산!$B$23),IF($B47="언어와 매체",자동계산!$E$23,자동계산!$C$23),0)))</f>
        <v/>
      </c>
      <c r="BR47" s="72">
        <f>IF($A47="","",IF(Y47="",0,IF(Y47=IF($B47="언어와 매체",자동계산!$D$24,자동계산!$B$24),IF($B47="언어와 매체",자동계산!$E$24,자동계산!$C$24),0)))</f>
        <v/>
      </c>
      <c r="BS47" s="72">
        <f>IF($A47="","",IF(Z47="",0,IF(Z47=IF($B47="언어와 매체",자동계산!$D$25,자동계산!$B$25),IF($B47="언어와 매체",자동계산!$E$25,자동계산!$C$25),0)))</f>
        <v/>
      </c>
      <c r="BT47" s="72">
        <f>IF($A47="","",IF(AA47="",0,IF(AA47=IF($B47="언어와 매체",자동계산!$D$26,자동계산!$B$26),IF($B47="언어와 매체",자동계산!$E$26,자동계산!$C$26),0)))</f>
        <v/>
      </c>
      <c r="BU47" s="72">
        <f>IF($A47="","",IF(AB47="",0,IF(AB47=IF($B47="언어와 매체",자동계산!$D$27,자동계산!$B$27),IF($B47="언어와 매체",자동계산!$E$27,자동계산!$C$27),0)))</f>
        <v/>
      </c>
      <c r="BV47" s="72">
        <f>IF($A47="","",IF(AC47="",0,IF(AC47=IF($B47="언어와 매체",자동계산!$D$28,자동계산!$B$28),IF($B47="언어와 매체",자동계산!$E$28,자동계산!$C$28),0)))</f>
        <v/>
      </c>
      <c r="BW47" s="72">
        <f>IF($A47="","",IF(AD47="",0,IF(AD47=IF($B47="언어와 매체",자동계산!$D$29,자동계산!$B$29),IF($B47="언어와 매체",자동계산!$E$29,자동계산!$C$29),0)))</f>
        <v/>
      </c>
      <c r="BX47" s="72">
        <f>IF($A47="","",IF(AE47="",0,IF(AE47=IF($B47="언어와 매체",자동계산!$D$30,자동계산!$B$30),IF($B47="언어와 매체",자동계산!$E$30,자동계산!$C$30),0)))</f>
        <v/>
      </c>
      <c r="BY47" s="72">
        <f>IF($A47="","",IF(AF47="",0,IF(AF47=IF($B47="언어와 매체",자동계산!$D$31,자동계산!$B$31),IF($B47="언어와 매체",자동계산!$E$31,자동계산!$C$31),0)))</f>
        <v/>
      </c>
      <c r="BZ47" s="72">
        <f>IF($A47="","",IF(AG47="",0,IF(AG47=IF($B47="언어와 매체",자동계산!$D$32,자동계산!$B$32),IF($B47="언어와 매체",자동계산!$E$32,자동계산!$C$32),0)))</f>
        <v/>
      </c>
      <c r="CA47" s="72">
        <f>IF($A47="","",IF(AH47="",0,IF(AH47=IF($B47="언어와 매체",자동계산!$D$33,자동계산!$B$33),IF($B47="언어와 매체",자동계산!$E$33,자동계산!$C$33),0)))</f>
        <v/>
      </c>
      <c r="CB47" s="72">
        <f>IF($A47="","",IF(AI47="",0,IF(AI47=IF($B47="언어와 매체",자동계산!$D$34,자동계산!$B$34),IF($B47="언어와 매체",자동계산!$E$34,자동계산!$C$34),0)))</f>
        <v/>
      </c>
      <c r="CC47" s="72">
        <f>IF($A47="","",IF(AJ47="",0,IF(AJ47=IF($B47="언어와 매체",자동계산!$D$35,자동계산!$B$35),IF($B47="언어와 매체",자동계산!$E$35,자동계산!$C$35),0)))</f>
        <v/>
      </c>
      <c r="CD47" s="72">
        <f>IF($A47="","",IF(AK47="",0,IF(AK47=IF($B47="언어와 매체",자동계산!$D$36,자동계산!$B$36),IF($B47="언어와 매체",자동계산!$E$36,자동계산!$C$36),0)))</f>
        <v/>
      </c>
      <c r="CE47" s="72">
        <f>IF($A47="","",IF(AL47="",0,IF(AL47=IF($B47="언어와 매체",자동계산!$D$37,자동계산!$B$37),IF($B47="언어와 매체",자동계산!$E$37,자동계산!$C$37),0)))</f>
        <v/>
      </c>
      <c r="CF47" s="72">
        <f>IF($A47="","",IF(AM47="",0,IF(AM47=IF($B47="언어와 매체",자동계산!$D$38,자동계산!$B$38),IF($B47="언어와 매체",자동계산!$E$38,자동계산!$C$38),0)))</f>
        <v/>
      </c>
      <c r="CG47" s="72">
        <f>IF($A47="","",IF(AN47="",0,IF(AN47=IF($B47="언어와 매체",자동계산!$D$39,자동계산!$B$39),IF($B47="언어와 매체",자동계산!$E$39,자동계산!$C$39),0)))</f>
        <v/>
      </c>
      <c r="CH47" s="72">
        <f>IF($A47="","",IF(AO47="",0,IF(AO47=IF($B47="언어와 매체",자동계산!$D$40,자동계산!$B$40),IF($B47="언어와 매체",자동계산!$E$40,자동계산!$C$40),0)))</f>
        <v/>
      </c>
      <c r="CI47" s="72">
        <f>IF($A47="","",IF(AP47="",0,IF(AP47=IF($B47="언어와 매체",자동계산!$D$41,자동계산!$B$41),IF($B47="언어와 매체",자동계산!$E$41,자동계산!$C$41),0)))</f>
        <v/>
      </c>
      <c r="CJ47" s="72">
        <f>IF($A47="","",IF(AQ47="",0,IF(AQ47=IF($B47="언어와 매체",자동계산!$D$42,자동계산!$B$42),IF($B47="언어와 매체",자동계산!$E$42,자동계산!$C$42),0)))</f>
        <v/>
      </c>
      <c r="CK47" s="72">
        <f>IF($A47="","",IF(AR47="",0,IF(AR47=IF($B47="언어와 매체",자동계산!$D$43,자동계산!$B$43),IF($B47="언어와 매체",자동계산!$E$43,자동계산!$C$43),0)))</f>
        <v/>
      </c>
      <c r="CL47" s="72">
        <f>IF($A47="","",IF(AS47="",0,IF(AS47=IF($B47="언어와 매체",자동계산!$D$44,자동계산!$B$44),IF($B47="언어와 매체",자동계산!$E$44,자동계산!$C$44),0)))</f>
        <v/>
      </c>
      <c r="CM47" s="72">
        <f>IF($A47="","",IF(AT47="",0,IF(AT47=IF($B47="언어와 매체",자동계산!$D$45,자동계산!$B$45),IF($B47="언어와 매체",자동계산!$E$45,자동계산!$C$45),0)))</f>
        <v/>
      </c>
      <c r="CN47" s="72">
        <f>IF($A47="","",IF(AU47="",0,IF(AU47=IF($B47="언어와 매체",자동계산!$D$46,자동계산!$B$46),IF($B47="언어와 매체",자동계산!$E$46,자동계산!$C$46),0)))</f>
        <v/>
      </c>
      <c r="CO47" s="72">
        <f>IF($A47="","",IF(AV47="",0,IF(AV47=IF($B47="언어와 매체",자동계산!$D$47,자동계산!$B$47),IF($B47="언어와 매체",자동계산!$E$47,자동계산!$C$47),0)))</f>
        <v/>
      </c>
      <c r="CP47" s="72">
        <f>IF($A47="","",IF(AW47="",0,IF(AW47=IF($B47="언어와 매체",자동계산!$D$48,자동계산!$B$48),IF($B47="언어와 매체",자동계산!$E$48,자동계산!$C$48),0)))</f>
        <v/>
      </c>
    </row>
    <row r="48">
      <c r="A48" s="70">
        <f>IF(답안입력!A48="","",답안입력!A48)</f>
        <v/>
      </c>
      <c r="B48" s="70">
        <f>IF($A48="","",답안입력!C48)</f>
        <v/>
      </c>
      <c r="C48" s="71">
        <f>IF($A48="","",SUM(AX48:CP48))</f>
        <v/>
      </c>
      <c r="D48" s="70">
        <f>IF($A48="","",IF($C48&gt;=IF($B48="언어와 매체",회차설정!$B$9,회차설정!$B$8),"1등급",IF($C48&gt;=IF($B48="언어와 매체",회차설정!$C$9,회차설정!$C$8),"2등급",IF($C48&gt;=IF($B48="언어와 매체",회차설정!$D$9,회차설정!$D$8),"3등급",IF($C48&gt;=IF($B48="언어와 매체",회차설정!$E$9,회차설정!$E$8),"4등급","등급 외")))))</f>
        <v/>
      </c>
      <c r="E48" s="72">
        <f>IF($A48="","",IF(LEN(답안입력!$D48)&gt;=1,VALUE(MID(답안입력!$D48,1,1)),IF(답안입력!E48="","",답안입력!E48)))</f>
        <v/>
      </c>
      <c r="F48" s="72">
        <f>IF($A48="","",IF(LEN(답안입력!$D48)&gt;=2,VALUE(MID(답안입력!$D48,2,1)),IF(답안입력!F48="","",답안입력!F48)))</f>
        <v/>
      </c>
      <c r="G48" s="72">
        <f>IF($A48="","",IF(LEN(답안입력!$D48)&gt;=3,VALUE(MID(답안입력!$D48,3,1)),IF(답안입력!G48="","",답안입력!G48)))</f>
        <v/>
      </c>
      <c r="H48" s="72">
        <f>IF($A48="","",IF(LEN(답안입력!$D48)&gt;=4,VALUE(MID(답안입력!$D48,4,1)),IF(답안입력!H48="","",답안입력!H48)))</f>
        <v/>
      </c>
      <c r="I48" s="72">
        <f>IF($A48="","",IF(LEN(답안입력!$D48)&gt;=5,VALUE(MID(답안입력!$D48,5,1)),IF(답안입력!I48="","",답안입력!I48)))</f>
        <v/>
      </c>
      <c r="J48" s="72">
        <f>IF($A48="","",IF(LEN(답안입력!$D48)&gt;=6,VALUE(MID(답안입력!$D48,6,1)),IF(답안입력!J48="","",답안입력!J48)))</f>
        <v/>
      </c>
      <c r="K48" s="72">
        <f>IF($A48="","",IF(LEN(답안입력!$D48)&gt;=7,VALUE(MID(답안입력!$D48,7,1)),IF(답안입력!K48="","",답안입력!K48)))</f>
        <v/>
      </c>
      <c r="L48" s="72">
        <f>IF($A48="","",IF(LEN(답안입력!$D48)&gt;=8,VALUE(MID(답안입력!$D48,8,1)),IF(답안입력!L48="","",답안입력!L48)))</f>
        <v/>
      </c>
      <c r="M48" s="72">
        <f>IF($A48="","",IF(LEN(답안입력!$D48)&gt;=9,VALUE(MID(답안입력!$D48,9,1)),IF(답안입력!M48="","",답안입력!M48)))</f>
        <v/>
      </c>
      <c r="N48" s="72">
        <f>IF($A48="","",IF(LEN(답안입력!$D48)&gt;=10,VALUE(MID(답안입력!$D48,10,1)),IF(답안입력!N48="","",답안입력!N48)))</f>
        <v/>
      </c>
      <c r="O48" s="72">
        <f>IF($A48="","",IF(LEN(답안입력!$D48)&gt;=11,VALUE(MID(답안입력!$D48,11,1)),IF(답안입력!O48="","",답안입력!O48)))</f>
        <v/>
      </c>
      <c r="P48" s="72">
        <f>IF($A48="","",IF(LEN(답안입력!$D48)&gt;=12,VALUE(MID(답안입력!$D48,12,1)),IF(답안입력!P48="","",답안입력!P48)))</f>
        <v/>
      </c>
      <c r="Q48" s="72">
        <f>IF($A48="","",IF(LEN(답안입력!$D48)&gt;=13,VALUE(MID(답안입력!$D48,13,1)),IF(답안입력!Q48="","",답안입력!Q48)))</f>
        <v/>
      </c>
      <c r="R48" s="72">
        <f>IF($A48="","",IF(LEN(답안입력!$D48)&gt;=14,VALUE(MID(답안입력!$D48,14,1)),IF(답안입력!R48="","",답안입력!R48)))</f>
        <v/>
      </c>
      <c r="S48" s="72">
        <f>IF($A48="","",IF(LEN(답안입력!$D48)&gt;=15,VALUE(MID(답안입력!$D48,15,1)),IF(답안입력!S48="","",답안입력!S48)))</f>
        <v/>
      </c>
      <c r="T48" s="72">
        <f>IF($A48="","",IF(LEN(답안입력!$D48)&gt;=16,VALUE(MID(답안입력!$D48,16,1)),IF(답안입력!T48="","",답안입력!T48)))</f>
        <v/>
      </c>
      <c r="U48" s="72">
        <f>IF($A48="","",IF(LEN(답안입력!$D48)&gt;=17,VALUE(MID(답안입력!$D48,17,1)),IF(답안입력!U48="","",답안입력!U48)))</f>
        <v/>
      </c>
      <c r="V48" s="72">
        <f>IF($A48="","",IF(LEN(답안입력!$D48)&gt;=18,VALUE(MID(답안입력!$D48,18,1)),IF(답안입력!V48="","",답안입력!V48)))</f>
        <v/>
      </c>
      <c r="W48" s="72">
        <f>IF($A48="","",IF(LEN(답안입력!$D48)&gt;=19,VALUE(MID(답안입력!$D48,19,1)),IF(답안입력!W48="","",답안입력!W48)))</f>
        <v/>
      </c>
      <c r="X48" s="72">
        <f>IF($A48="","",IF(LEN(답안입력!$D48)&gt;=20,VALUE(MID(답안입력!$D48,20,1)),IF(답안입력!X48="","",답안입력!X48)))</f>
        <v/>
      </c>
      <c r="Y48" s="72">
        <f>IF($A48="","",IF(LEN(답안입력!$D48)&gt;=21,VALUE(MID(답안입력!$D48,21,1)),IF(답안입력!Y48="","",답안입력!Y48)))</f>
        <v/>
      </c>
      <c r="Z48" s="72">
        <f>IF($A48="","",IF(LEN(답안입력!$D48)&gt;=22,VALUE(MID(답안입력!$D48,22,1)),IF(답안입력!Z48="","",답안입력!Z48)))</f>
        <v/>
      </c>
      <c r="AA48" s="72">
        <f>IF($A48="","",IF(LEN(답안입력!$D48)&gt;=23,VALUE(MID(답안입력!$D48,23,1)),IF(답안입력!AA48="","",답안입력!AA48)))</f>
        <v/>
      </c>
      <c r="AB48" s="72">
        <f>IF($A48="","",IF(LEN(답안입력!$D48)&gt;=24,VALUE(MID(답안입력!$D48,24,1)),IF(답안입력!AB48="","",답안입력!AB48)))</f>
        <v/>
      </c>
      <c r="AC48" s="72">
        <f>IF($A48="","",IF(LEN(답안입력!$D48)&gt;=25,VALUE(MID(답안입력!$D48,25,1)),IF(답안입력!AC48="","",답안입력!AC48)))</f>
        <v/>
      </c>
      <c r="AD48" s="72">
        <f>IF($A48="","",IF(LEN(답안입력!$D48)&gt;=26,VALUE(MID(답안입력!$D48,26,1)),IF(답안입력!AD48="","",답안입력!AD48)))</f>
        <v/>
      </c>
      <c r="AE48" s="72">
        <f>IF($A48="","",IF(LEN(답안입력!$D48)&gt;=27,VALUE(MID(답안입력!$D48,27,1)),IF(답안입력!AE48="","",답안입력!AE48)))</f>
        <v/>
      </c>
      <c r="AF48" s="72">
        <f>IF($A48="","",IF(LEN(답안입력!$D48)&gt;=28,VALUE(MID(답안입력!$D48,28,1)),IF(답안입력!AF48="","",답안입력!AF48)))</f>
        <v/>
      </c>
      <c r="AG48" s="72">
        <f>IF($A48="","",IF(LEN(답안입력!$D48)&gt;=29,VALUE(MID(답안입력!$D48,29,1)),IF(답안입력!AG48="","",답안입력!AG48)))</f>
        <v/>
      </c>
      <c r="AH48" s="72">
        <f>IF($A48="","",IF(LEN(답안입력!$D48)&gt;=30,VALUE(MID(답안입력!$D48,30,1)),IF(답안입력!AH48="","",답안입력!AH48)))</f>
        <v/>
      </c>
      <c r="AI48" s="72">
        <f>IF($A48="","",IF(LEN(답안입력!$D48)&gt;=31,VALUE(MID(답안입력!$D48,31,1)),IF(답안입력!AI48="","",답안입력!AI48)))</f>
        <v/>
      </c>
      <c r="AJ48" s="72">
        <f>IF($A48="","",IF(LEN(답안입력!$D48)&gt;=32,VALUE(MID(답안입력!$D48,32,1)),IF(답안입력!AJ48="","",답안입력!AJ48)))</f>
        <v/>
      </c>
      <c r="AK48" s="72">
        <f>IF($A48="","",IF(LEN(답안입력!$D48)&gt;=33,VALUE(MID(답안입력!$D48,33,1)),IF(답안입력!AK48="","",답안입력!AK48)))</f>
        <v/>
      </c>
      <c r="AL48" s="72">
        <f>IF($A48="","",IF(LEN(답안입력!$D48)&gt;=34,VALUE(MID(답안입력!$D48,34,1)),IF(답안입력!AL48="","",답안입력!AL48)))</f>
        <v/>
      </c>
      <c r="AM48" s="72">
        <f>IF($A48="","",IF(LEN(답안입력!$D48)&gt;=35,VALUE(MID(답안입력!$D48,35,1)),IF(답안입력!AM48="","",답안입력!AM48)))</f>
        <v/>
      </c>
      <c r="AN48" s="72">
        <f>IF($A48="","",IF(LEN(답안입력!$D48)&gt;=36,VALUE(MID(답안입력!$D48,36,1)),IF(답안입력!AN48="","",답안입력!AN48)))</f>
        <v/>
      </c>
      <c r="AO48" s="72">
        <f>IF($A48="","",IF(LEN(답안입력!$D48)&gt;=37,VALUE(MID(답안입력!$D48,37,1)),IF(답안입력!AO48="","",답안입력!AO48)))</f>
        <v/>
      </c>
      <c r="AP48" s="72">
        <f>IF($A48="","",IF(LEN(답안입력!$D48)&gt;=38,VALUE(MID(답안입력!$D48,38,1)),IF(답안입력!AP48="","",답안입력!AP48)))</f>
        <v/>
      </c>
      <c r="AQ48" s="72">
        <f>IF($A48="","",IF(LEN(답안입력!$D48)&gt;=39,VALUE(MID(답안입력!$D48,39,1)),IF(답안입력!AQ48="","",답안입력!AQ48)))</f>
        <v/>
      </c>
      <c r="AR48" s="72">
        <f>IF($A48="","",IF(LEN(답안입력!$D48)&gt;=40,VALUE(MID(답안입력!$D48,40,1)),IF(답안입력!AR48="","",답안입력!AR48)))</f>
        <v/>
      </c>
      <c r="AS48" s="72">
        <f>IF($A48="","",IF(LEN(답안입력!$D48)&gt;=41,VALUE(MID(답안입력!$D48,41,1)),IF(답안입력!AS48="","",답안입력!AS48)))</f>
        <v/>
      </c>
      <c r="AT48" s="72">
        <f>IF($A48="","",IF(LEN(답안입력!$D48)&gt;=42,VALUE(MID(답안입력!$D48,42,1)),IF(답안입력!AT48="","",답안입력!AT48)))</f>
        <v/>
      </c>
      <c r="AU48" s="72">
        <f>IF($A48="","",IF(LEN(답안입력!$D48)&gt;=43,VALUE(MID(답안입력!$D48,43,1)),IF(답안입력!AU48="","",답안입력!AU48)))</f>
        <v/>
      </c>
      <c r="AV48" s="72">
        <f>IF($A48="","",IF(LEN(답안입력!$D48)&gt;=44,VALUE(MID(답안입력!$D48,44,1)),IF(답안입력!AV48="","",답안입력!AV48)))</f>
        <v/>
      </c>
      <c r="AW48" s="72">
        <f>IF($A48="","",IF(LEN(답안입력!$D48)&gt;=45,VALUE(MID(답안입력!$D48,45,1)),IF(답안입력!AW48="","",답안입력!AW48)))</f>
        <v/>
      </c>
      <c r="AX48" s="72">
        <f>IF($A48="","",IF(E48="",0,IF(E48=IF($B48="언어와 매체",자동계산!$D$4,자동계산!$B$4),IF($B48="언어와 매체",자동계산!$E$4,자동계산!$C$4),0)))</f>
        <v/>
      </c>
      <c r="AY48" s="72">
        <f>IF($A48="","",IF(F48="",0,IF(F48=IF($B48="언어와 매체",자동계산!$D$5,자동계산!$B$5),IF($B48="언어와 매체",자동계산!$E$5,자동계산!$C$5),0)))</f>
        <v/>
      </c>
      <c r="AZ48" s="72">
        <f>IF($A48="","",IF(G48="",0,IF(G48=IF($B48="언어와 매체",자동계산!$D$6,자동계산!$B$6),IF($B48="언어와 매체",자동계산!$E$6,자동계산!$C$6),0)))</f>
        <v/>
      </c>
      <c r="BA48" s="72">
        <f>IF($A48="","",IF(H48="",0,IF(H48=IF($B48="언어와 매체",자동계산!$D$7,자동계산!$B$7),IF($B48="언어와 매체",자동계산!$E$7,자동계산!$C$7),0)))</f>
        <v/>
      </c>
      <c r="BB48" s="72">
        <f>IF($A48="","",IF(I48="",0,IF(I48=IF($B48="언어와 매체",자동계산!$D$8,자동계산!$B$8),IF($B48="언어와 매체",자동계산!$E$8,자동계산!$C$8),0)))</f>
        <v/>
      </c>
      <c r="BC48" s="72">
        <f>IF($A48="","",IF(J48="",0,IF(J48=IF($B48="언어와 매체",자동계산!$D$9,자동계산!$B$9),IF($B48="언어와 매체",자동계산!$E$9,자동계산!$C$9),0)))</f>
        <v/>
      </c>
      <c r="BD48" s="72">
        <f>IF($A48="","",IF(K48="",0,IF(K48=IF($B48="언어와 매체",자동계산!$D$10,자동계산!$B$10),IF($B48="언어와 매체",자동계산!$E$10,자동계산!$C$10),0)))</f>
        <v/>
      </c>
      <c r="BE48" s="72">
        <f>IF($A48="","",IF(L48="",0,IF(L48=IF($B48="언어와 매체",자동계산!$D$11,자동계산!$B$11),IF($B48="언어와 매체",자동계산!$E$11,자동계산!$C$11),0)))</f>
        <v/>
      </c>
      <c r="BF48" s="72">
        <f>IF($A48="","",IF(M48="",0,IF(M48=IF($B48="언어와 매체",자동계산!$D$12,자동계산!$B$12),IF($B48="언어와 매체",자동계산!$E$12,자동계산!$C$12),0)))</f>
        <v/>
      </c>
      <c r="BG48" s="72">
        <f>IF($A48="","",IF(N48="",0,IF(N48=IF($B48="언어와 매체",자동계산!$D$13,자동계산!$B$13),IF($B48="언어와 매체",자동계산!$E$13,자동계산!$C$13),0)))</f>
        <v/>
      </c>
      <c r="BH48" s="72">
        <f>IF($A48="","",IF(O48="",0,IF(O48=IF($B48="언어와 매체",자동계산!$D$14,자동계산!$B$14),IF($B48="언어와 매체",자동계산!$E$14,자동계산!$C$14),0)))</f>
        <v/>
      </c>
      <c r="BI48" s="72">
        <f>IF($A48="","",IF(P48="",0,IF(P48=IF($B48="언어와 매체",자동계산!$D$15,자동계산!$B$15),IF($B48="언어와 매체",자동계산!$E$15,자동계산!$C$15),0)))</f>
        <v/>
      </c>
      <c r="BJ48" s="72">
        <f>IF($A48="","",IF(Q48="",0,IF(Q48=IF($B48="언어와 매체",자동계산!$D$16,자동계산!$B$16),IF($B48="언어와 매체",자동계산!$E$16,자동계산!$C$16),0)))</f>
        <v/>
      </c>
      <c r="BK48" s="72">
        <f>IF($A48="","",IF(R48="",0,IF(R48=IF($B48="언어와 매체",자동계산!$D$17,자동계산!$B$17),IF($B48="언어와 매체",자동계산!$E$17,자동계산!$C$17),0)))</f>
        <v/>
      </c>
      <c r="BL48" s="72">
        <f>IF($A48="","",IF(S48="",0,IF(S48=IF($B48="언어와 매체",자동계산!$D$18,자동계산!$B$18),IF($B48="언어와 매체",자동계산!$E$18,자동계산!$C$18),0)))</f>
        <v/>
      </c>
      <c r="BM48" s="72">
        <f>IF($A48="","",IF(T48="",0,IF(T48=IF($B48="언어와 매체",자동계산!$D$19,자동계산!$B$19),IF($B48="언어와 매체",자동계산!$E$19,자동계산!$C$19),0)))</f>
        <v/>
      </c>
      <c r="BN48" s="72">
        <f>IF($A48="","",IF(U48="",0,IF(U48=IF($B48="언어와 매체",자동계산!$D$20,자동계산!$B$20),IF($B48="언어와 매체",자동계산!$E$20,자동계산!$C$20),0)))</f>
        <v/>
      </c>
      <c r="BO48" s="72">
        <f>IF($A48="","",IF(V48="",0,IF(V48=IF($B48="언어와 매체",자동계산!$D$21,자동계산!$B$21),IF($B48="언어와 매체",자동계산!$E$21,자동계산!$C$21),0)))</f>
        <v/>
      </c>
      <c r="BP48" s="72">
        <f>IF($A48="","",IF(W48="",0,IF(W48=IF($B48="언어와 매체",자동계산!$D$22,자동계산!$B$22),IF($B48="언어와 매체",자동계산!$E$22,자동계산!$C$22),0)))</f>
        <v/>
      </c>
      <c r="BQ48" s="72">
        <f>IF($A48="","",IF(X48="",0,IF(X48=IF($B48="언어와 매체",자동계산!$D$23,자동계산!$B$23),IF($B48="언어와 매체",자동계산!$E$23,자동계산!$C$23),0)))</f>
        <v/>
      </c>
      <c r="BR48" s="72">
        <f>IF($A48="","",IF(Y48="",0,IF(Y48=IF($B48="언어와 매체",자동계산!$D$24,자동계산!$B$24),IF($B48="언어와 매체",자동계산!$E$24,자동계산!$C$24),0)))</f>
        <v/>
      </c>
      <c r="BS48" s="72">
        <f>IF($A48="","",IF(Z48="",0,IF(Z48=IF($B48="언어와 매체",자동계산!$D$25,자동계산!$B$25),IF($B48="언어와 매체",자동계산!$E$25,자동계산!$C$25),0)))</f>
        <v/>
      </c>
      <c r="BT48" s="72">
        <f>IF($A48="","",IF(AA48="",0,IF(AA48=IF($B48="언어와 매체",자동계산!$D$26,자동계산!$B$26),IF($B48="언어와 매체",자동계산!$E$26,자동계산!$C$26),0)))</f>
        <v/>
      </c>
      <c r="BU48" s="72">
        <f>IF($A48="","",IF(AB48="",0,IF(AB48=IF($B48="언어와 매체",자동계산!$D$27,자동계산!$B$27),IF($B48="언어와 매체",자동계산!$E$27,자동계산!$C$27),0)))</f>
        <v/>
      </c>
      <c r="BV48" s="72">
        <f>IF($A48="","",IF(AC48="",0,IF(AC48=IF($B48="언어와 매체",자동계산!$D$28,자동계산!$B$28),IF($B48="언어와 매체",자동계산!$E$28,자동계산!$C$28),0)))</f>
        <v/>
      </c>
      <c r="BW48" s="72">
        <f>IF($A48="","",IF(AD48="",0,IF(AD48=IF($B48="언어와 매체",자동계산!$D$29,자동계산!$B$29),IF($B48="언어와 매체",자동계산!$E$29,자동계산!$C$29),0)))</f>
        <v/>
      </c>
      <c r="BX48" s="72">
        <f>IF($A48="","",IF(AE48="",0,IF(AE48=IF($B48="언어와 매체",자동계산!$D$30,자동계산!$B$30),IF($B48="언어와 매체",자동계산!$E$30,자동계산!$C$30),0)))</f>
        <v/>
      </c>
      <c r="BY48" s="72">
        <f>IF($A48="","",IF(AF48="",0,IF(AF48=IF($B48="언어와 매체",자동계산!$D$31,자동계산!$B$31),IF($B48="언어와 매체",자동계산!$E$31,자동계산!$C$31),0)))</f>
        <v/>
      </c>
      <c r="BZ48" s="72">
        <f>IF($A48="","",IF(AG48="",0,IF(AG48=IF($B48="언어와 매체",자동계산!$D$32,자동계산!$B$32),IF($B48="언어와 매체",자동계산!$E$32,자동계산!$C$32),0)))</f>
        <v/>
      </c>
      <c r="CA48" s="72">
        <f>IF($A48="","",IF(AH48="",0,IF(AH48=IF($B48="언어와 매체",자동계산!$D$33,자동계산!$B$33),IF($B48="언어와 매체",자동계산!$E$33,자동계산!$C$33),0)))</f>
        <v/>
      </c>
      <c r="CB48" s="72">
        <f>IF($A48="","",IF(AI48="",0,IF(AI48=IF($B48="언어와 매체",자동계산!$D$34,자동계산!$B$34),IF($B48="언어와 매체",자동계산!$E$34,자동계산!$C$34),0)))</f>
        <v/>
      </c>
      <c r="CC48" s="72">
        <f>IF($A48="","",IF(AJ48="",0,IF(AJ48=IF($B48="언어와 매체",자동계산!$D$35,자동계산!$B$35),IF($B48="언어와 매체",자동계산!$E$35,자동계산!$C$35),0)))</f>
        <v/>
      </c>
      <c r="CD48" s="72">
        <f>IF($A48="","",IF(AK48="",0,IF(AK48=IF($B48="언어와 매체",자동계산!$D$36,자동계산!$B$36),IF($B48="언어와 매체",자동계산!$E$36,자동계산!$C$36),0)))</f>
        <v/>
      </c>
      <c r="CE48" s="72">
        <f>IF($A48="","",IF(AL48="",0,IF(AL48=IF($B48="언어와 매체",자동계산!$D$37,자동계산!$B$37),IF($B48="언어와 매체",자동계산!$E$37,자동계산!$C$37),0)))</f>
        <v/>
      </c>
      <c r="CF48" s="72">
        <f>IF($A48="","",IF(AM48="",0,IF(AM48=IF($B48="언어와 매체",자동계산!$D$38,자동계산!$B$38),IF($B48="언어와 매체",자동계산!$E$38,자동계산!$C$38),0)))</f>
        <v/>
      </c>
      <c r="CG48" s="72">
        <f>IF($A48="","",IF(AN48="",0,IF(AN48=IF($B48="언어와 매체",자동계산!$D$39,자동계산!$B$39),IF($B48="언어와 매체",자동계산!$E$39,자동계산!$C$39),0)))</f>
        <v/>
      </c>
      <c r="CH48" s="72">
        <f>IF($A48="","",IF(AO48="",0,IF(AO48=IF($B48="언어와 매체",자동계산!$D$40,자동계산!$B$40),IF($B48="언어와 매체",자동계산!$E$40,자동계산!$C$40),0)))</f>
        <v/>
      </c>
      <c r="CI48" s="72">
        <f>IF($A48="","",IF(AP48="",0,IF(AP48=IF($B48="언어와 매체",자동계산!$D$41,자동계산!$B$41),IF($B48="언어와 매체",자동계산!$E$41,자동계산!$C$41),0)))</f>
        <v/>
      </c>
      <c r="CJ48" s="72">
        <f>IF($A48="","",IF(AQ48="",0,IF(AQ48=IF($B48="언어와 매체",자동계산!$D$42,자동계산!$B$42),IF($B48="언어와 매체",자동계산!$E$42,자동계산!$C$42),0)))</f>
        <v/>
      </c>
      <c r="CK48" s="72">
        <f>IF($A48="","",IF(AR48="",0,IF(AR48=IF($B48="언어와 매체",자동계산!$D$43,자동계산!$B$43),IF($B48="언어와 매체",자동계산!$E$43,자동계산!$C$43),0)))</f>
        <v/>
      </c>
      <c r="CL48" s="72">
        <f>IF($A48="","",IF(AS48="",0,IF(AS48=IF($B48="언어와 매체",자동계산!$D$44,자동계산!$B$44),IF($B48="언어와 매체",자동계산!$E$44,자동계산!$C$44),0)))</f>
        <v/>
      </c>
      <c r="CM48" s="72">
        <f>IF($A48="","",IF(AT48="",0,IF(AT48=IF($B48="언어와 매체",자동계산!$D$45,자동계산!$B$45),IF($B48="언어와 매체",자동계산!$E$45,자동계산!$C$45),0)))</f>
        <v/>
      </c>
      <c r="CN48" s="72">
        <f>IF($A48="","",IF(AU48="",0,IF(AU48=IF($B48="언어와 매체",자동계산!$D$46,자동계산!$B$46),IF($B48="언어와 매체",자동계산!$E$46,자동계산!$C$46),0)))</f>
        <v/>
      </c>
      <c r="CO48" s="72">
        <f>IF($A48="","",IF(AV48="",0,IF(AV48=IF($B48="언어와 매체",자동계산!$D$47,자동계산!$B$47),IF($B48="언어와 매체",자동계산!$E$47,자동계산!$C$47),0)))</f>
        <v/>
      </c>
      <c r="CP48" s="72">
        <f>IF($A48="","",IF(AW48="",0,IF(AW48=IF($B48="언어와 매체",자동계산!$D$48,자동계산!$B$48),IF($B48="언어와 매체",자동계산!$E$48,자동계산!$C$48),0)))</f>
        <v/>
      </c>
    </row>
    <row r="49">
      <c r="A49" s="70">
        <f>IF(답안입력!A49="","",답안입력!A49)</f>
        <v/>
      </c>
      <c r="B49" s="70">
        <f>IF($A49="","",답안입력!C49)</f>
        <v/>
      </c>
      <c r="C49" s="71">
        <f>IF($A49="","",SUM(AX49:CP49))</f>
        <v/>
      </c>
      <c r="D49" s="70">
        <f>IF($A49="","",IF($C49&gt;=IF($B49="언어와 매체",회차설정!$B$9,회차설정!$B$8),"1등급",IF($C49&gt;=IF($B49="언어와 매체",회차설정!$C$9,회차설정!$C$8),"2등급",IF($C49&gt;=IF($B49="언어와 매체",회차설정!$D$9,회차설정!$D$8),"3등급",IF($C49&gt;=IF($B49="언어와 매체",회차설정!$E$9,회차설정!$E$8),"4등급","등급 외")))))</f>
        <v/>
      </c>
      <c r="E49" s="72">
        <f>IF($A49="","",IF(LEN(답안입력!$D49)&gt;=1,VALUE(MID(답안입력!$D49,1,1)),IF(답안입력!E49="","",답안입력!E49)))</f>
        <v/>
      </c>
      <c r="F49" s="72">
        <f>IF($A49="","",IF(LEN(답안입력!$D49)&gt;=2,VALUE(MID(답안입력!$D49,2,1)),IF(답안입력!F49="","",답안입력!F49)))</f>
        <v/>
      </c>
      <c r="G49" s="72">
        <f>IF($A49="","",IF(LEN(답안입력!$D49)&gt;=3,VALUE(MID(답안입력!$D49,3,1)),IF(답안입력!G49="","",답안입력!G49)))</f>
        <v/>
      </c>
      <c r="H49" s="72">
        <f>IF($A49="","",IF(LEN(답안입력!$D49)&gt;=4,VALUE(MID(답안입력!$D49,4,1)),IF(답안입력!H49="","",답안입력!H49)))</f>
        <v/>
      </c>
      <c r="I49" s="72">
        <f>IF($A49="","",IF(LEN(답안입력!$D49)&gt;=5,VALUE(MID(답안입력!$D49,5,1)),IF(답안입력!I49="","",답안입력!I49)))</f>
        <v/>
      </c>
      <c r="J49" s="72">
        <f>IF($A49="","",IF(LEN(답안입력!$D49)&gt;=6,VALUE(MID(답안입력!$D49,6,1)),IF(답안입력!J49="","",답안입력!J49)))</f>
        <v/>
      </c>
      <c r="K49" s="72">
        <f>IF($A49="","",IF(LEN(답안입력!$D49)&gt;=7,VALUE(MID(답안입력!$D49,7,1)),IF(답안입력!K49="","",답안입력!K49)))</f>
        <v/>
      </c>
      <c r="L49" s="72">
        <f>IF($A49="","",IF(LEN(답안입력!$D49)&gt;=8,VALUE(MID(답안입력!$D49,8,1)),IF(답안입력!L49="","",답안입력!L49)))</f>
        <v/>
      </c>
      <c r="M49" s="72">
        <f>IF($A49="","",IF(LEN(답안입력!$D49)&gt;=9,VALUE(MID(답안입력!$D49,9,1)),IF(답안입력!M49="","",답안입력!M49)))</f>
        <v/>
      </c>
      <c r="N49" s="72">
        <f>IF($A49="","",IF(LEN(답안입력!$D49)&gt;=10,VALUE(MID(답안입력!$D49,10,1)),IF(답안입력!N49="","",답안입력!N49)))</f>
        <v/>
      </c>
      <c r="O49" s="72">
        <f>IF($A49="","",IF(LEN(답안입력!$D49)&gt;=11,VALUE(MID(답안입력!$D49,11,1)),IF(답안입력!O49="","",답안입력!O49)))</f>
        <v/>
      </c>
      <c r="P49" s="72">
        <f>IF($A49="","",IF(LEN(답안입력!$D49)&gt;=12,VALUE(MID(답안입력!$D49,12,1)),IF(답안입력!P49="","",답안입력!P49)))</f>
        <v/>
      </c>
      <c r="Q49" s="72">
        <f>IF($A49="","",IF(LEN(답안입력!$D49)&gt;=13,VALUE(MID(답안입력!$D49,13,1)),IF(답안입력!Q49="","",답안입력!Q49)))</f>
        <v/>
      </c>
      <c r="R49" s="72">
        <f>IF($A49="","",IF(LEN(답안입력!$D49)&gt;=14,VALUE(MID(답안입력!$D49,14,1)),IF(답안입력!R49="","",답안입력!R49)))</f>
        <v/>
      </c>
      <c r="S49" s="72">
        <f>IF($A49="","",IF(LEN(답안입력!$D49)&gt;=15,VALUE(MID(답안입력!$D49,15,1)),IF(답안입력!S49="","",답안입력!S49)))</f>
        <v/>
      </c>
      <c r="T49" s="72">
        <f>IF($A49="","",IF(LEN(답안입력!$D49)&gt;=16,VALUE(MID(답안입력!$D49,16,1)),IF(답안입력!T49="","",답안입력!T49)))</f>
        <v/>
      </c>
      <c r="U49" s="72">
        <f>IF($A49="","",IF(LEN(답안입력!$D49)&gt;=17,VALUE(MID(답안입력!$D49,17,1)),IF(답안입력!U49="","",답안입력!U49)))</f>
        <v/>
      </c>
      <c r="V49" s="72">
        <f>IF($A49="","",IF(LEN(답안입력!$D49)&gt;=18,VALUE(MID(답안입력!$D49,18,1)),IF(답안입력!V49="","",답안입력!V49)))</f>
        <v/>
      </c>
      <c r="W49" s="72">
        <f>IF($A49="","",IF(LEN(답안입력!$D49)&gt;=19,VALUE(MID(답안입력!$D49,19,1)),IF(답안입력!W49="","",답안입력!W49)))</f>
        <v/>
      </c>
      <c r="X49" s="72">
        <f>IF($A49="","",IF(LEN(답안입력!$D49)&gt;=20,VALUE(MID(답안입력!$D49,20,1)),IF(답안입력!X49="","",답안입력!X49)))</f>
        <v/>
      </c>
      <c r="Y49" s="72">
        <f>IF($A49="","",IF(LEN(답안입력!$D49)&gt;=21,VALUE(MID(답안입력!$D49,21,1)),IF(답안입력!Y49="","",답안입력!Y49)))</f>
        <v/>
      </c>
      <c r="Z49" s="72">
        <f>IF($A49="","",IF(LEN(답안입력!$D49)&gt;=22,VALUE(MID(답안입력!$D49,22,1)),IF(답안입력!Z49="","",답안입력!Z49)))</f>
        <v/>
      </c>
      <c r="AA49" s="72">
        <f>IF($A49="","",IF(LEN(답안입력!$D49)&gt;=23,VALUE(MID(답안입력!$D49,23,1)),IF(답안입력!AA49="","",답안입력!AA49)))</f>
        <v/>
      </c>
      <c r="AB49" s="72">
        <f>IF($A49="","",IF(LEN(답안입력!$D49)&gt;=24,VALUE(MID(답안입력!$D49,24,1)),IF(답안입력!AB49="","",답안입력!AB49)))</f>
        <v/>
      </c>
      <c r="AC49" s="72">
        <f>IF($A49="","",IF(LEN(답안입력!$D49)&gt;=25,VALUE(MID(답안입력!$D49,25,1)),IF(답안입력!AC49="","",답안입력!AC49)))</f>
        <v/>
      </c>
      <c r="AD49" s="72">
        <f>IF($A49="","",IF(LEN(답안입력!$D49)&gt;=26,VALUE(MID(답안입력!$D49,26,1)),IF(답안입력!AD49="","",답안입력!AD49)))</f>
        <v/>
      </c>
      <c r="AE49" s="72">
        <f>IF($A49="","",IF(LEN(답안입력!$D49)&gt;=27,VALUE(MID(답안입력!$D49,27,1)),IF(답안입력!AE49="","",답안입력!AE49)))</f>
        <v/>
      </c>
      <c r="AF49" s="72">
        <f>IF($A49="","",IF(LEN(답안입력!$D49)&gt;=28,VALUE(MID(답안입력!$D49,28,1)),IF(답안입력!AF49="","",답안입력!AF49)))</f>
        <v/>
      </c>
      <c r="AG49" s="72">
        <f>IF($A49="","",IF(LEN(답안입력!$D49)&gt;=29,VALUE(MID(답안입력!$D49,29,1)),IF(답안입력!AG49="","",답안입력!AG49)))</f>
        <v/>
      </c>
      <c r="AH49" s="72">
        <f>IF($A49="","",IF(LEN(답안입력!$D49)&gt;=30,VALUE(MID(답안입력!$D49,30,1)),IF(답안입력!AH49="","",답안입력!AH49)))</f>
        <v/>
      </c>
      <c r="AI49" s="72">
        <f>IF($A49="","",IF(LEN(답안입력!$D49)&gt;=31,VALUE(MID(답안입력!$D49,31,1)),IF(답안입력!AI49="","",답안입력!AI49)))</f>
        <v/>
      </c>
      <c r="AJ49" s="72">
        <f>IF($A49="","",IF(LEN(답안입력!$D49)&gt;=32,VALUE(MID(답안입력!$D49,32,1)),IF(답안입력!AJ49="","",답안입력!AJ49)))</f>
        <v/>
      </c>
      <c r="AK49" s="72">
        <f>IF($A49="","",IF(LEN(답안입력!$D49)&gt;=33,VALUE(MID(답안입력!$D49,33,1)),IF(답안입력!AK49="","",답안입력!AK49)))</f>
        <v/>
      </c>
      <c r="AL49" s="72">
        <f>IF($A49="","",IF(LEN(답안입력!$D49)&gt;=34,VALUE(MID(답안입력!$D49,34,1)),IF(답안입력!AL49="","",답안입력!AL49)))</f>
        <v/>
      </c>
      <c r="AM49" s="72">
        <f>IF($A49="","",IF(LEN(답안입력!$D49)&gt;=35,VALUE(MID(답안입력!$D49,35,1)),IF(답안입력!AM49="","",답안입력!AM49)))</f>
        <v/>
      </c>
      <c r="AN49" s="72">
        <f>IF($A49="","",IF(LEN(답안입력!$D49)&gt;=36,VALUE(MID(답안입력!$D49,36,1)),IF(답안입력!AN49="","",답안입력!AN49)))</f>
        <v/>
      </c>
      <c r="AO49" s="72">
        <f>IF($A49="","",IF(LEN(답안입력!$D49)&gt;=37,VALUE(MID(답안입력!$D49,37,1)),IF(답안입력!AO49="","",답안입력!AO49)))</f>
        <v/>
      </c>
      <c r="AP49" s="72">
        <f>IF($A49="","",IF(LEN(답안입력!$D49)&gt;=38,VALUE(MID(답안입력!$D49,38,1)),IF(답안입력!AP49="","",답안입력!AP49)))</f>
        <v/>
      </c>
      <c r="AQ49" s="72">
        <f>IF($A49="","",IF(LEN(답안입력!$D49)&gt;=39,VALUE(MID(답안입력!$D49,39,1)),IF(답안입력!AQ49="","",답안입력!AQ49)))</f>
        <v/>
      </c>
      <c r="AR49" s="72">
        <f>IF($A49="","",IF(LEN(답안입력!$D49)&gt;=40,VALUE(MID(답안입력!$D49,40,1)),IF(답안입력!AR49="","",답안입력!AR49)))</f>
        <v/>
      </c>
      <c r="AS49" s="72">
        <f>IF($A49="","",IF(LEN(답안입력!$D49)&gt;=41,VALUE(MID(답안입력!$D49,41,1)),IF(답안입력!AS49="","",답안입력!AS49)))</f>
        <v/>
      </c>
      <c r="AT49" s="72">
        <f>IF($A49="","",IF(LEN(답안입력!$D49)&gt;=42,VALUE(MID(답안입력!$D49,42,1)),IF(답안입력!AT49="","",답안입력!AT49)))</f>
        <v/>
      </c>
      <c r="AU49" s="72">
        <f>IF($A49="","",IF(LEN(답안입력!$D49)&gt;=43,VALUE(MID(답안입력!$D49,43,1)),IF(답안입력!AU49="","",답안입력!AU49)))</f>
        <v/>
      </c>
      <c r="AV49" s="72">
        <f>IF($A49="","",IF(LEN(답안입력!$D49)&gt;=44,VALUE(MID(답안입력!$D49,44,1)),IF(답안입력!AV49="","",답안입력!AV49)))</f>
        <v/>
      </c>
      <c r="AW49" s="72">
        <f>IF($A49="","",IF(LEN(답안입력!$D49)&gt;=45,VALUE(MID(답안입력!$D49,45,1)),IF(답안입력!AW49="","",답안입력!AW49)))</f>
        <v/>
      </c>
      <c r="AX49" s="72">
        <f>IF($A49="","",IF(E49="",0,IF(E49=IF($B49="언어와 매체",자동계산!$D$4,자동계산!$B$4),IF($B49="언어와 매체",자동계산!$E$4,자동계산!$C$4),0)))</f>
        <v/>
      </c>
      <c r="AY49" s="72">
        <f>IF($A49="","",IF(F49="",0,IF(F49=IF($B49="언어와 매체",자동계산!$D$5,자동계산!$B$5),IF($B49="언어와 매체",자동계산!$E$5,자동계산!$C$5),0)))</f>
        <v/>
      </c>
      <c r="AZ49" s="72">
        <f>IF($A49="","",IF(G49="",0,IF(G49=IF($B49="언어와 매체",자동계산!$D$6,자동계산!$B$6),IF($B49="언어와 매체",자동계산!$E$6,자동계산!$C$6),0)))</f>
        <v/>
      </c>
      <c r="BA49" s="72">
        <f>IF($A49="","",IF(H49="",0,IF(H49=IF($B49="언어와 매체",자동계산!$D$7,자동계산!$B$7),IF($B49="언어와 매체",자동계산!$E$7,자동계산!$C$7),0)))</f>
        <v/>
      </c>
      <c r="BB49" s="72">
        <f>IF($A49="","",IF(I49="",0,IF(I49=IF($B49="언어와 매체",자동계산!$D$8,자동계산!$B$8),IF($B49="언어와 매체",자동계산!$E$8,자동계산!$C$8),0)))</f>
        <v/>
      </c>
      <c r="BC49" s="72">
        <f>IF($A49="","",IF(J49="",0,IF(J49=IF($B49="언어와 매체",자동계산!$D$9,자동계산!$B$9),IF($B49="언어와 매체",자동계산!$E$9,자동계산!$C$9),0)))</f>
        <v/>
      </c>
      <c r="BD49" s="72">
        <f>IF($A49="","",IF(K49="",0,IF(K49=IF($B49="언어와 매체",자동계산!$D$10,자동계산!$B$10),IF($B49="언어와 매체",자동계산!$E$10,자동계산!$C$10),0)))</f>
        <v/>
      </c>
      <c r="BE49" s="72">
        <f>IF($A49="","",IF(L49="",0,IF(L49=IF($B49="언어와 매체",자동계산!$D$11,자동계산!$B$11),IF($B49="언어와 매체",자동계산!$E$11,자동계산!$C$11),0)))</f>
        <v/>
      </c>
      <c r="BF49" s="72">
        <f>IF($A49="","",IF(M49="",0,IF(M49=IF($B49="언어와 매체",자동계산!$D$12,자동계산!$B$12),IF($B49="언어와 매체",자동계산!$E$12,자동계산!$C$12),0)))</f>
        <v/>
      </c>
      <c r="BG49" s="72">
        <f>IF($A49="","",IF(N49="",0,IF(N49=IF($B49="언어와 매체",자동계산!$D$13,자동계산!$B$13),IF($B49="언어와 매체",자동계산!$E$13,자동계산!$C$13),0)))</f>
        <v/>
      </c>
      <c r="BH49" s="72">
        <f>IF($A49="","",IF(O49="",0,IF(O49=IF($B49="언어와 매체",자동계산!$D$14,자동계산!$B$14),IF($B49="언어와 매체",자동계산!$E$14,자동계산!$C$14),0)))</f>
        <v/>
      </c>
      <c r="BI49" s="72">
        <f>IF($A49="","",IF(P49="",0,IF(P49=IF($B49="언어와 매체",자동계산!$D$15,자동계산!$B$15),IF($B49="언어와 매체",자동계산!$E$15,자동계산!$C$15),0)))</f>
        <v/>
      </c>
      <c r="BJ49" s="72">
        <f>IF($A49="","",IF(Q49="",0,IF(Q49=IF($B49="언어와 매체",자동계산!$D$16,자동계산!$B$16),IF($B49="언어와 매체",자동계산!$E$16,자동계산!$C$16),0)))</f>
        <v/>
      </c>
      <c r="BK49" s="72">
        <f>IF($A49="","",IF(R49="",0,IF(R49=IF($B49="언어와 매체",자동계산!$D$17,자동계산!$B$17),IF($B49="언어와 매체",자동계산!$E$17,자동계산!$C$17),0)))</f>
        <v/>
      </c>
      <c r="BL49" s="72">
        <f>IF($A49="","",IF(S49="",0,IF(S49=IF($B49="언어와 매체",자동계산!$D$18,자동계산!$B$18),IF($B49="언어와 매체",자동계산!$E$18,자동계산!$C$18),0)))</f>
        <v/>
      </c>
      <c r="BM49" s="72">
        <f>IF($A49="","",IF(T49="",0,IF(T49=IF($B49="언어와 매체",자동계산!$D$19,자동계산!$B$19),IF($B49="언어와 매체",자동계산!$E$19,자동계산!$C$19),0)))</f>
        <v/>
      </c>
      <c r="BN49" s="72">
        <f>IF($A49="","",IF(U49="",0,IF(U49=IF($B49="언어와 매체",자동계산!$D$20,자동계산!$B$20),IF($B49="언어와 매체",자동계산!$E$20,자동계산!$C$20),0)))</f>
        <v/>
      </c>
      <c r="BO49" s="72">
        <f>IF($A49="","",IF(V49="",0,IF(V49=IF($B49="언어와 매체",자동계산!$D$21,자동계산!$B$21),IF($B49="언어와 매체",자동계산!$E$21,자동계산!$C$21),0)))</f>
        <v/>
      </c>
      <c r="BP49" s="72">
        <f>IF($A49="","",IF(W49="",0,IF(W49=IF($B49="언어와 매체",자동계산!$D$22,자동계산!$B$22),IF($B49="언어와 매체",자동계산!$E$22,자동계산!$C$22),0)))</f>
        <v/>
      </c>
      <c r="BQ49" s="72">
        <f>IF($A49="","",IF(X49="",0,IF(X49=IF($B49="언어와 매체",자동계산!$D$23,자동계산!$B$23),IF($B49="언어와 매체",자동계산!$E$23,자동계산!$C$23),0)))</f>
        <v/>
      </c>
      <c r="BR49" s="72">
        <f>IF($A49="","",IF(Y49="",0,IF(Y49=IF($B49="언어와 매체",자동계산!$D$24,자동계산!$B$24),IF($B49="언어와 매체",자동계산!$E$24,자동계산!$C$24),0)))</f>
        <v/>
      </c>
      <c r="BS49" s="72">
        <f>IF($A49="","",IF(Z49="",0,IF(Z49=IF($B49="언어와 매체",자동계산!$D$25,자동계산!$B$25),IF($B49="언어와 매체",자동계산!$E$25,자동계산!$C$25),0)))</f>
        <v/>
      </c>
      <c r="BT49" s="72">
        <f>IF($A49="","",IF(AA49="",0,IF(AA49=IF($B49="언어와 매체",자동계산!$D$26,자동계산!$B$26),IF($B49="언어와 매체",자동계산!$E$26,자동계산!$C$26),0)))</f>
        <v/>
      </c>
      <c r="BU49" s="72">
        <f>IF($A49="","",IF(AB49="",0,IF(AB49=IF($B49="언어와 매체",자동계산!$D$27,자동계산!$B$27),IF($B49="언어와 매체",자동계산!$E$27,자동계산!$C$27),0)))</f>
        <v/>
      </c>
      <c r="BV49" s="72">
        <f>IF($A49="","",IF(AC49="",0,IF(AC49=IF($B49="언어와 매체",자동계산!$D$28,자동계산!$B$28),IF($B49="언어와 매체",자동계산!$E$28,자동계산!$C$28),0)))</f>
        <v/>
      </c>
      <c r="BW49" s="72">
        <f>IF($A49="","",IF(AD49="",0,IF(AD49=IF($B49="언어와 매체",자동계산!$D$29,자동계산!$B$29),IF($B49="언어와 매체",자동계산!$E$29,자동계산!$C$29),0)))</f>
        <v/>
      </c>
      <c r="BX49" s="72">
        <f>IF($A49="","",IF(AE49="",0,IF(AE49=IF($B49="언어와 매체",자동계산!$D$30,자동계산!$B$30),IF($B49="언어와 매체",자동계산!$E$30,자동계산!$C$30),0)))</f>
        <v/>
      </c>
      <c r="BY49" s="72">
        <f>IF($A49="","",IF(AF49="",0,IF(AF49=IF($B49="언어와 매체",자동계산!$D$31,자동계산!$B$31),IF($B49="언어와 매체",자동계산!$E$31,자동계산!$C$31),0)))</f>
        <v/>
      </c>
      <c r="BZ49" s="72">
        <f>IF($A49="","",IF(AG49="",0,IF(AG49=IF($B49="언어와 매체",자동계산!$D$32,자동계산!$B$32),IF($B49="언어와 매체",자동계산!$E$32,자동계산!$C$32),0)))</f>
        <v/>
      </c>
      <c r="CA49" s="72">
        <f>IF($A49="","",IF(AH49="",0,IF(AH49=IF($B49="언어와 매체",자동계산!$D$33,자동계산!$B$33),IF($B49="언어와 매체",자동계산!$E$33,자동계산!$C$33),0)))</f>
        <v/>
      </c>
      <c r="CB49" s="72">
        <f>IF($A49="","",IF(AI49="",0,IF(AI49=IF($B49="언어와 매체",자동계산!$D$34,자동계산!$B$34),IF($B49="언어와 매체",자동계산!$E$34,자동계산!$C$34),0)))</f>
        <v/>
      </c>
      <c r="CC49" s="72">
        <f>IF($A49="","",IF(AJ49="",0,IF(AJ49=IF($B49="언어와 매체",자동계산!$D$35,자동계산!$B$35),IF($B49="언어와 매체",자동계산!$E$35,자동계산!$C$35),0)))</f>
        <v/>
      </c>
      <c r="CD49" s="72">
        <f>IF($A49="","",IF(AK49="",0,IF(AK49=IF($B49="언어와 매체",자동계산!$D$36,자동계산!$B$36),IF($B49="언어와 매체",자동계산!$E$36,자동계산!$C$36),0)))</f>
        <v/>
      </c>
      <c r="CE49" s="72">
        <f>IF($A49="","",IF(AL49="",0,IF(AL49=IF($B49="언어와 매체",자동계산!$D$37,자동계산!$B$37),IF($B49="언어와 매체",자동계산!$E$37,자동계산!$C$37),0)))</f>
        <v/>
      </c>
      <c r="CF49" s="72">
        <f>IF($A49="","",IF(AM49="",0,IF(AM49=IF($B49="언어와 매체",자동계산!$D$38,자동계산!$B$38),IF($B49="언어와 매체",자동계산!$E$38,자동계산!$C$38),0)))</f>
        <v/>
      </c>
      <c r="CG49" s="72">
        <f>IF($A49="","",IF(AN49="",0,IF(AN49=IF($B49="언어와 매체",자동계산!$D$39,자동계산!$B$39),IF($B49="언어와 매체",자동계산!$E$39,자동계산!$C$39),0)))</f>
        <v/>
      </c>
      <c r="CH49" s="72">
        <f>IF($A49="","",IF(AO49="",0,IF(AO49=IF($B49="언어와 매체",자동계산!$D$40,자동계산!$B$40),IF($B49="언어와 매체",자동계산!$E$40,자동계산!$C$40),0)))</f>
        <v/>
      </c>
      <c r="CI49" s="72">
        <f>IF($A49="","",IF(AP49="",0,IF(AP49=IF($B49="언어와 매체",자동계산!$D$41,자동계산!$B$41),IF($B49="언어와 매체",자동계산!$E$41,자동계산!$C$41),0)))</f>
        <v/>
      </c>
      <c r="CJ49" s="72">
        <f>IF($A49="","",IF(AQ49="",0,IF(AQ49=IF($B49="언어와 매체",자동계산!$D$42,자동계산!$B$42),IF($B49="언어와 매체",자동계산!$E$42,자동계산!$C$42),0)))</f>
        <v/>
      </c>
      <c r="CK49" s="72">
        <f>IF($A49="","",IF(AR49="",0,IF(AR49=IF($B49="언어와 매체",자동계산!$D$43,자동계산!$B$43),IF($B49="언어와 매체",자동계산!$E$43,자동계산!$C$43),0)))</f>
        <v/>
      </c>
      <c r="CL49" s="72">
        <f>IF($A49="","",IF(AS49="",0,IF(AS49=IF($B49="언어와 매체",자동계산!$D$44,자동계산!$B$44),IF($B49="언어와 매체",자동계산!$E$44,자동계산!$C$44),0)))</f>
        <v/>
      </c>
      <c r="CM49" s="72">
        <f>IF($A49="","",IF(AT49="",0,IF(AT49=IF($B49="언어와 매체",자동계산!$D$45,자동계산!$B$45),IF($B49="언어와 매체",자동계산!$E$45,자동계산!$C$45),0)))</f>
        <v/>
      </c>
      <c r="CN49" s="72">
        <f>IF($A49="","",IF(AU49="",0,IF(AU49=IF($B49="언어와 매체",자동계산!$D$46,자동계산!$B$46),IF($B49="언어와 매체",자동계산!$E$46,자동계산!$C$46),0)))</f>
        <v/>
      </c>
      <c r="CO49" s="72">
        <f>IF($A49="","",IF(AV49="",0,IF(AV49=IF($B49="언어와 매체",자동계산!$D$47,자동계산!$B$47),IF($B49="언어와 매체",자동계산!$E$47,자동계산!$C$47),0)))</f>
        <v/>
      </c>
      <c r="CP49" s="72">
        <f>IF($A49="","",IF(AW49="",0,IF(AW49=IF($B49="언어와 매체",자동계산!$D$48,자동계산!$B$48),IF($B49="언어와 매체",자동계산!$E$48,자동계산!$C$48),0)))</f>
        <v/>
      </c>
    </row>
    <row r="50">
      <c r="A50" s="70">
        <f>IF(답안입력!A50="","",답안입력!A50)</f>
        <v/>
      </c>
      <c r="B50" s="70">
        <f>IF($A50="","",답안입력!C50)</f>
        <v/>
      </c>
      <c r="C50" s="71">
        <f>IF($A50="","",SUM(AX50:CP50))</f>
        <v/>
      </c>
      <c r="D50" s="70">
        <f>IF($A50="","",IF($C50&gt;=IF($B50="언어와 매체",회차설정!$B$9,회차설정!$B$8),"1등급",IF($C50&gt;=IF($B50="언어와 매체",회차설정!$C$9,회차설정!$C$8),"2등급",IF($C50&gt;=IF($B50="언어와 매체",회차설정!$D$9,회차설정!$D$8),"3등급",IF($C50&gt;=IF($B50="언어와 매체",회차설정!$E$9,회차설정!$E$8),"4등급","등급 외")))))</f>
        <v/>
      </c>
      <c r="E50" s="72">
        <f>IF($A50="","",IF(LEN(답안입력!$D50)&gt;=1,VALUE(MID(답안입력!$D50,1,1)),IF(답안입력!E50="","",답안입력!E50)))</f>
        <v/>
      </c>
      <c r="F50" s="72">
        <f>IF($A50="","",IF(LEN(답안입력!$D50)&gt;=2,VALUE(MID(답안입력!$D50,2,1)),IF(답안입력!F50="","",답안입력!F50)))</f>
        <v/>
      </c>
      <c r="G50" s="72">
        <f>IF($A50="","",IF(LEN(답안입력!$D50)&gt;=3,VALUE(MID(답안입력!$D50,3,1)),IF(답안입력!G50="","",답안입력!G50)))</f>
        <v/>
      </c>
      <c r="H50" s="72">
        <f>IF($A50="","",IF(LEN(답안입력!$D50)&gt;=4,VALUE(MID(답안입력!$D50,4,1)),IF(답안입력!H50="","",답안입력!H50)))</f>
        <v/>
      </c>
      <c r="I50" s="72">
        <f>IF($A50="","",IF(LEN(답안입력!$D50)&gt;=5,VALUE(MID(답안입력!$D50,5,1)),IF(답안입력!I50="","",답안입력!I50)))</f>
        <v/>
      </c>
      <c r="J50" s="72">
        <f>IF($A50="","",IF(LEN(답안입력!$D50)&gt;=6,VALUE(MID(답안입력!$D50,6,1)),IF(답안입력!J50="","",답안입력!J50)))</f>
        <v/>
      </c>
      <c r="K50" s="72">
        <f>IF($A50="","",IF(LEN(답안입력!$D50)&gt;=7,VALUE(MID(답안입력!$D50,7,1)),IF(답안입력!K50="","",답안입력!K50)))</f>
        <v/>
      </c>
      <c r="L50" s="72">
        <f>IF($A50="","",IF(LEN(답안입력!$D50)&gt;=8,VALUE(MID(답안입력!$D50,8,1)),IF(답안입력!L50="","",답안입력!L50)))</f>
        <v/>
      </c>
      <c r="M50" s="72">
        <f>IF($A50="","",IF(LEN(답안입력!$D50)&gt;=9,VALUE(MID(답안입력!$D50,9,1)),IF(답안입력!M50="","",답안입력!M50)))</f>
        <v/>
      </c>
      <c r="N50" s="72">
        <f>IF($A50="","",IF(LEN(답안입력!$D50)&gt;=10,VALUE(MID(답안입력!$D50,10,1)),IF(답안입력!N50="","",답안입력!N50)))</f>
        <v/>
      </c>
      <c r="O50" s="72">
        <f>IF($A50="","",IF(LEN(답안입력!$D50)&gt;=11,VALUE(MID(답안입력!$D50,11,1)),IF(답안입력!O50="","",답안입력!O50)))</f>
        <v/>
      </c>
      <c r="P50" s="72">
        <f>IF($A50="","",IF(LEN(답안입력!$D50)&gt;=12,VALUE(MID(답안입력!$D50,12,1)),IF(답안입력!P50="","",답안입력!P50)))</f>
        <v/>
      </c>
      <c r="Q50" s="72">
        <f>IF($A50="","",IF(LEN(답안입력!$D50)&gt;=13,VALUE(MID(답안입력!$D50,13,1)),IF(답안입력!Q50="","",답안입력!Q50)))</f>
        <v/>
      </c>
      <c r="R50" s="72">
        <f>IF($A50="","",IF(LEN(답안입력!$D50)&gt;=14,VALUE(MID(답안입력!$D50,14,1)),IF(답안입력!R50="","",답안입력!R50)))</f>
        <v/>
      </c>
      <c r="S50" s="72">
        <f>IF($A50="","",IF(LEN(답안입력!$D50)&gt;=15,VALUE(MID(답안입력!$D50,15,1)),IF(답안입력!S50="","",답안입력!S50)))</f>
        <v/>
      </c>
      <c r="T50" s="72">
        <f>IF($A50="","",IF(LEN(답안입력!$D50)&gt;=16,VALUE(MID(답안입력!$D50,16,1)),IF(답안입력!T50="","",답안입력!T50)))</f>
        <v/>
      </c>
      <c r="U50" s="72">
        <f>IF($A50="","",IF(LEN(답안입력!$D50)&gt;=17,VALUE(MID(답안입력!$D50,17,1)),IF(답안입력!U50="","",답안입력!U50)))</f>
        <v/>
      </c>
      <c r="V50" s="72">
        <f>IF($A50="","",IF(LEN(답안입력!$D50)&gt;=18,VALUE(MID(답안입력!$D50,18,1)),IF(답안입력!V50="","",답안입력!V50)))</f>
        <v/>
      </c>
      <c r="W50" s="72">
        <f>IF($A50="","",IF(LEN(답안입력!$D50)&gt;=19,VALUE(MID(답안입력!$D50,19,1)),IF(답안입력!W50="","",답안입력!W50)))</f>
        <v/>
      </c>
      <c r="X50" s="72">
        <f>IF($A50="","",IF(LEN(답안입력!$D50)&gt;=20,VALUE(MID(답안입력!$D50,20,1)),IF(답안입력!X50="","",답안입력!X50)))</f>
        <v/>
      </c>
      <c r="Y50" s="72">
        <f>IF($A50="","",IF(LEN(답안입력!$D50)&gt;=21,VALUE(MID(답안입력!$D50,21,1)),IF(답안입력!Y50="","",답안입력!Y50)))</f>
        <v/>
      </c>
      <c r="Z50" s="72">
        <f>IF($A50="","",IF(LEN(답안입력!$D50)&gt;=22,VALUE(MID(답안입력!$D50,22,1)),IF(답안입력!Z50="","",답안입력!Z50)))</f>
        <v/>
      </c>
      <c r="AA50" s="72">
        <f>IF($A50="","",IF(LEN(답안입력!$D50)&gt;=23,VALUE(MID(답안입력!$D50,23,1)),IF(답안입력!AA50="","",답안입력!AA50)))</f>
        <v/>
      </c>
      <c r="AB50" s="72">
        <f>IF($A50="","",IF(LEN(답안입력!$D50)&gt;=24,VALUE(MID(답안입력!$D50,24,1)),IF(답안입력!AB50="","",답안입력!AB50)))</f>
        <v/>
      </c>
      <c r="AC50" s="72">
        <f>IF($A50="","",IF(LEN(답안입력!$D50)&gt;=25,VALUE(MID(답안입력!$D50,25,1)),IF(답안입력!AC50="","",답안입력!AC50)))</f>
        <v/>
      </c>
      <c r="AD50" s="72">
        <f>IF($A50="","",IF(LEN(답안입력!$D50)&gt;=26,VALUE(MID(답안입력!$D50,26,1)),IF(답안입력!AD50="","",답안입력!AD50)))</f>
        <v/>
      </c>
      <c r="AE50" s="72">
        <f>IF($A50="","",IF(LEN(답안입력!$D50)&gt;=27,VALUE(MID(답안입력!$D50,27,1)),IF(답안입력!AE50="","",답안입력!AE50)))</f>
        <v/>
      </c>
      <c r="AF50" s="72">
        <f>IF($A50="","",IF(LEN(답안입력!$D50)&gt;=28,VALUE(MID(답안입력!$D50,28,1)),IF(답안입력!AF50="","",답안입력!AF50)))</f>
        <v/>
      </c>
      <c r="AG50" s="72">
        <f>IF($A50="","",IF(LEN(답안입력!$D50)&gt;=29,VALUE(MID(답안입력!$D50,29,1)),IF(답안입력!AG50="","",답안입력!AG50)))</f>
        <v/>
      </c>
      <c r="AH50" s="72">
        <f>IF($A50="","",IF(LEN(답안입력!$D50)&gt;=30,VALUE(MID(답안입력!$D50,30,1)),IF(답안입력!AH50="","",답안입력!AH50)))</f>
        <v/>
      </c>
      <c r="AI50" s="72">
        <f>IF($A50="","",IF(LEN(답안입력!$D50)&gt;=31,VALUE(MID(답안입력!$D50,31,1)),IF(답안입력!AI50="","",답안입력!AI50)))</f>
        <v/>
      </c>
      <c r="AJ50" s="72">
        <f>IF($A50="","",IF(LEN(답안입력!$D50)&gt;=32,VALUE(MID(답안입력!$D50,32,1)),IF(답안입력!AJ50="","",답안입력!AJ50)))</f>
        <v/>
      </c>
      <c r="AK50" s="72">
        <f>IF($A50="","",IF(LEN(답안입력!$D50)&gt;=33,VALUE(MID(답안입력!$D50,33,1)),IF(답안입력!AK50="","",답안입력!AK50)))</f>
        <v/>
      </c>
      <c r="AL50" s="72">
        <f>IF($A50="","",IF(LEN(답안입력!$D50)&gt;=34,VALUE(MID(답안입력!$D50,34,1)),IF(답안입력!AL50="","",답안입력!AL50)))</f>
        <v/>
      </c>
      <c r="AM50" s="72">
        <f>IF($A50="","",IF(LEN(답안입력!$D50)&gt;=35,VALUE(MID(답안입력!$D50,35,1)),IF(답안입력!AM50="","",답안입력!AM50)))</f>
        <v/>
      </c>
      <c r="AN50" s="72">
        <f>IF($A50="","",IF(LEN(답안입력!$D50)&gt;=36,VALUE(MID(답안입력!$D50,36,1)),IF(답안입력!AN50="","",답안입력!AN50)))</f>
        <v/>
      </c>
      <c r="AO50" s="72">
        <f>IF($A50="","",IF(LEN(답안입력!$D50)&gt;=37,VALUE(MID(답안입력!$D50,37,1)),IF(답안입력!AO50="","",답안입력!AO50)))</f>
        <v/>
      </c>
      <c r="AP50" s="72">
        <f>IF($A50="","",IF(LEN(답안입력!$D50)&gt;=38,VALUE(MID(답안입력!$D50,38,1)),IF(답안입력!AP50="","",답안입력!AP50)))</f>
        <v/>
      </c>
      <c r="AQ50" s="72">
        <f>IF($A50="","",IF(LEN(답안입력!$D50)&gt;=39,VALUE(MID(답안입력!$D50,39,1)),IF(답안입력!AQ50="","",답안입력!AQ50)))</f>
        <v/>
      </c>
      <c r="AR50" s="72">
        <f>IF($A50="","",IF(LEN(답안입력!$D50)&gt;=40,VALUE(MID(답안입력!$D50,40,1)),IF(답안입력!AR50="","",답안입력!AR50)))</f>
        <v/>
      </c>
      <c r="AS50" s="72">
        <f>IF($A50="","",IF(LEN(답안입력!$D50)&gt;=41,VALUE(MID(답안입력!$D50,41,1)),IF(답안입력!AS50="","",답안입력!AS50)))</f>
        <v/>
      </c>
      <c r="AT50" s="72">
        <f>IF($A50="","",IF(LEN(답안입력!$D50)&gt;=42,VALUE(MID(답안입력!$D50,42,1)),IF(답안입력!AT50="","",답안입력!AT50)))</f>
        <v/>
      </c>
      <c r="AU50" s="72">
        <f>IF($A50="","",IF(LEN(답안입력!$D50)&gt;=43,VALUE(MID(답안입력!$D50,43,1)),IF(답안입력!AU50="","",답안입력!AU50)))</f>
        <v/>
      </c>
      <c r="AV50" s="72">
        <f>IF($A50="","",IF(LEN(답안입력!$D50)&gt;=44,VALUE(MID(답안입력!$D50,44,1)),IF(답안입력!AV50="","",답안입력!AV50)))</f>
        <v/>
      </c>
      <c r="AW50" s="72">
        <f>IF($A50="","",IF(LEN(답안입력!$D50)&gt;=45,VALUE(MID(답안입력!$D50,45,1)),IF(답안입력!AW50="","",답안입력!AW50)))</f>
        <v/>
      </c>
      <c r="AX50" s="72">
        <f>IF($A50="","",IF(E50="",0,IF(E50=IF($B50="언어와 매체",자동계산!$D$4,자동계산!$B$4),IF($B50="언어와 매체",자동계산!$E$4,자동계산!$C$4),0)))</f>
        <v/>
      </c>
      <c r="AY50" s="72">
        <f>IF($A50="","",IF(F50="",0,IF(F50=IF($B50="언어와 매체",자동계산!$D$5,자동계산!$B$5),IF($B50="언어와 매체",자동계산!$E$5,자동계산!$C$5),0)))</f>
        <v/>
      </c>
      <c r="AZ50" s="72">
        <f>IF($A50="","",IF(G50="",0,IF(G50=IF($B50="언어와 매체",자동계산!$D$6,자동계산!$B$6),IF($B50="언어와 매체",자동계산!$E$6,자동계산!$C$6),0)))</f>
        <v/>
      </c>
      <c r="BA50" s="72">
        <f>IF($A50="","",IF(H50="",0,IF(H50=IF($B50="언어와 매체",자동계산!$D$7,자동계산!$B$7),IF($B50="언어와 매체",자동계산!$E$7,자동계산!$C$7),0)))</f>
        <v/>
      </c>
      <c r="BB50" s="72">
        <f>IF($A50="","",IF(I50="",0,IF(I50=IF($B50="언어와 매체",자동계산!$D$8,자동계산!$B$8),IF($B50="언어와 매체",자동계산!$E$8,자동계산!$C$8),0)))</f>
        <v/>
      </c>
      <c r="BC50" s="72">
        <f>IF($A50="","",IF(J50="",0,IF(J50=IF($B50="언어와 매체",자동계산!$D$9,자동계산!$B$9),IF($B50="언어와 매체",자동계산!$E$9,자동계산!$C$9),0)))</f>
        <v/>
      </c>
      <c r="BD50" s="72">
        <f>IF($A50="","",IF(K50="",0,IF(K50=IF($B50="언어와 매체",자동계산!$D$10,자동계산!$B$10),IF($B50="언어와 매체",자동계산!$E$10,자동계산!$C$10),0)))</f>
        <v/>
      </c>
      <c r="BE50" s="72">
        <f>IF($A50="","",IF(L50="",0,IF(L50=IF($B50="언어와 매체",자동계산!$D$11,자동계산!$B$11),IF($B50="언어와 매체",자동계산!$E$11,자동계산!$C$11),0)))</f>
        <v/>
      </c>
      <c r="BF50" s="72">
        <f>IF($A50="","",IF(M50="",0,IF(M50=IF($B50="언어와 매체",자동계산!$D$12,자동계산!$B$12),IF($B50="언어와 매체",자동계산!$E$12,자동계산!$C$12),0)))</f>
        <v/>
      </c>
      <c r="BG50" s="72">
        <f>IF($A50="","",IF(N50="",0,IF(N50=IF($B50="언어와 매체",자동계산!$D$13,자동계산!$B$13),IF($B50="언어와 매체",자동계산!$E$13,자동계산!$C$13),0)))</f>
        <v/>
      </c>
      <c r="BH50" s="72">
        <f>IF($A50="","",IF(O50="",0,IF(O50=IF($B50="언어와 매체",자동계산!$D$14,자동계산!$B$14),IF($B50="언어와 매체",자동계산!$E$14,자동계산!$C$14),0)))</f>
        <v/>
      </c>
      <c r="BI50" s="72">
        <f>IF($A50="","",IF(P50="",0,IF(P50=IF($B50="언어와 매체",자동계산!$D$15,자동계산!$B$15),IF($B50="언어와 매체",자동계산!$E$15,자동계산!$C$15),0)))</f>
        <v/>
      </c>
      <c r="BJ50" s="72">
        <f>IF($A50="","",IF(Q50="",0,IF(Q50=IF($B50="언어와 매체",자동계산!$D$16,자동계산!$B$16),IF($B50="언어와 매체",자동계산!$E$16,자동계산!$C$16),0)))</f>
        <v/>
      </c>
      <c r="BK50" s="72">
        <f>IF($A50="","",IF(R50="",0,IF(R50=IF($B50="언어와 매체",자동계산!$D$17,자동계산!$B$17),IF($B50="언어와 매체",자동계산!$E$17,자동계산!$C$17),0)))</f>
        <v/>
      </c>
      <c r="BL50" s="72">
        <f>IF($A50="","",IF(S50="",0,IF(S50=IF($B50="언어와 매체",자동계산!$D$18,자동계산!$B$18),IF($B50="언어와 매체",자동계산!$E$18,자동계산!$C$18),0)))</f>
        <v/>
      </c>
      <c r="BM50" s="72">
        <f>IF($A50="","",IF(T50="",0,IF(T50=IF($B50="언어와 매체",자동계산!$D$19,자동계산!$B$19),IF($B50="언어와 매체",자동계산!$E$19,자동계산!$C$19),0)))</f>
        <v/>
      </c>
      <c r="BN50" s="72">
        <f>IF($A50="","",IF(U50="",0,IF(U50=IF($B50="언어와 매체",자동계산!$D$20,자동계산!$B$20),IF($B50="언어와 매체",자동계산!$E$20,자동계산!$C$20),0)))</f>
        <v/>
      </c>
      <c r="BO50" s="72">
        <f>IF($A50="","",IF(V50="",0,IF(V50=IF($B50="언어와 매체",자동계산!$D$21,자동계산!$B$21),IF($B50="언어와 매체",자동계산!$E$21,자동계산!$C$21),0)))</f>
        <v/>
      </c>
      <c r="BP50" s="72">
        <f>IF($A50="","",IF(W50="",0,IF(W50=IF($B50="언어와 매체",자동계산!$D$22,자동계산!$B$22),IF($B50="언어와 매체",자동계산!$E$22,자동계산!$C$22),0)))</f>
        <v/>
      </c>
      <c r="BQ50" s="72">
        <f>IF($A50="","",IF(X50="",0,IF(X50=IF($B50="언어와 매체",자동계산!$D$23,자동계산!$B$23),IF($B50="언어와 매체",자동계산!$E$23,자동계산!$C$23),0)))</f>
        <v/>
      </c>
      <c r="BR50" s="72">
        <f>IF($A50="","",IF(Y50="",0,IF(Y50=IF($B50="언어와 매체",자동계산!$D$24,자동계산!$B$24),IF($B50="언어와 매체",자동계산!$E$24,자동계산!$C$24),0)))</f>
        <v/>
      </c>
      <c r="BS50" s="72">
        <f>IF($A50="","",IF(Z50="",0,IF(Z50=IF($B50="언어와 매체",자동계산!$D$25,자동계산!$B$25),IF($B50="언어와 매체",자동계산!$E$25,자동계산!$C$25),0)))</f>
        <v/>
      </c>
      <c r="BT50" s="72">
        <f>IF($A50="","",IF(AA50="",0,IF(AA50=IF($B50="언어와 매체",자동계산!$D$26,자동계산!$B$26),IF($B50="언어와 매체",자동계산!$E$26,자동계산!$C$26),0)))</f>
        <v/>
      </c>
      <c r="BU50" s="72">
        <f>IF($A50="","",IF(AB50="",0,IF(AB50=IF($B50="언어와 매체",자동계산!$D$27,자동계산!$B$27),IF($B50="언어와 매체",자동계산!$E$27,자동계산!$C$27),0)))</f>
        <v/>
      </c>
      <c r="BV50" s="72">
        <f>IF($A50="","",IF(AC50="",0,IF(AC50=IF($B50="언어와 매체",자동계산!$D$28,자동계산!$B$28),IF($B50="언어와 매체",자동계산!$E$28,자동계산!$C$28),0)))</f>
        <v/>
      </c>
      <c r="BW50" s="72">
        <f>IF($A50="","",IF(AD50="",0,IF(AD50=IF($B50="언어와 매체",자동계산!$D$29,자동계산!$B$29),IF($B50="언어와 매체",자동계산!$E$29,자동계산!$C$29),0)))</f>
        <v/>
      </c>
      <c r="BX50" s="72">
        <f>IF($A50="","",IF(AE50="",0,IF(AE50=IF($B50="언어와 매체",자동계산!$D$30,자동계산!$B$30),IF($B50="언어와 매체",자동계산!$E$30,자동계산!$C$30),0)))</f>
        <v/>
      </c>
      <c r="BY50" s="72">
        <f>IF($A50="","",IF(AF50="",0,IF(AF50=IF($B50="언어와 매체",자동계산!$D$31,자동계산!$B$31),IF($B50="언어와 매체",자동계산!$E$31,자동계산!$C$31),0)))</f>
        <v/>
      </c>
      <c r="BZ50" s="72">
        <f>IF($A50="","",IF(AG50="",0,IF(AG50=IF($B50="언어와 매체",자동계산!$D$32,자동계산!$B$32),IF($B50="언어와 매체",자동계산!$E$32,자동계산!$C$32),0)))</f>
        <v/>
      </c>
      <c r="CA50" s="72">
        <f>IF($A50="","",IF(AH50="",0,IF(AH50=IF($B50="언어와 매체",자동계산!$D$33,자동계산!$B$33),IF($B50="언어와 매체",자동계산!$E$33,자동계산!$C$33),0)))</f>
        <v/>
      </c>
      <c r="CB50" s="72">
        <f>IF($A50="","",IF(AI50="",0,IF(AI50=IF($B50="언어와 매체",자동계산!$D$34,자동계산!$B$34),IF($B50="언어와 매체",자동계산!$E$34,자동계산!$C$34),0)))</f>
        <v/>
      </c>
      <c r="CC50" s="72">
        <f>IF($A50="","",IF(AJ50="",0,IF(AJ50=IF($B50="언어와 매체",자동계산!$D$35,자동계산!$B$35),IF($B50="언어와 매체",자동계산!$E$35,자동계산!$C$35),0)))</f>
        <v/>
      </c>
      <c r="CD50" s="72">
        <f>IF($A50="","",IF(AK50="",0,IF(AK50=IF($B50="언어와 매체",자동계산!$D$36,자동계산!$B$36),IF($B50="언어와 매체",자동계산!$E$36,자동계산!$C$36),0)))</f>
        <v/>
      </c>
      <c r="CE50" s="72">
        <f>IF($A50="","",IF(AL50="",0,IF(AL50=IF($B50="언어와 매체",자동계산!$D$37,자동계산!$B$37),IF($B50="언어와 매체",자동계산!$E$37,자동계산!$C$37),0)))</f>
        <v/>
      </c>
      <c r="CF50" s="72">
        <f>IF($A50="","",IF(AM50="",0,IF(AM50=IF($B50="언어와 매체",자동계산!$D$38,자동계산!$B$38),IF($B50="언어와 매체",자동계산!$E$38,자동계산!$C$38),0)))</f>
        <v/>
      </c>
      <c r="CG50" s="72">
        <f>IF($A50="","",IF(AN50="",0,IF(AN50=IF($B50="언어와 매체",자동계산!$D$39,자동계산!$B$39),IF($B50="언어와 매체",자동계산!$E$39,자동계산!$C$39),0)))</f>
        <v/>
      </c>
      <c r="CH50" s="72">
        <f>IF($A50="","",IF(AO50="",0,IF(AO50=IF($B50="언어와 매체",자동계산!$D$40,자동계산!$B$40),IF($B50="언어와 매체",자동계산!$E$40,자동계산!$C$40),0)))</f>
        <v/>
      </c>
      <c r="CI50" s="72">
        <f>IF($A50="","",IF(AP50="",0,IF(AP50=IF($B50="언어와 매체",자동계산!$D$41,자동계산!$B$41),IF($B50="언어와 매체",자동계산!$E$41,자동계산!$C$41),0)))</f>
        <v/>
      </c>
      <c r="CJ50" s="72">
        <f>IF($A50="","",IF(AQ50="",0,IF(AQ50=IF($B50="언어와 매체",자동계산!$D$42,자동계산!$B$42),IF($B50="언어와 매체",자동계산!$E$42,자동계산!$C$42),0)))</f>
        <v/>
      </c>
      <c r="CK50" s="72">
        <f>IF($A50="","",IF(AR50="",0,IF(AR50=IF($B50="언어와 매체",자동계산!$D$43,자동계산!$B$43),IF($B50="언어와 매체",자동계산!$E$43,자동계산!$C$43),0)))</f>
        <v/>
      </c>
      <c r="CL50" s="72">
        <f>IF($A50="","",IF(AS50="",0,IF(AS50=IF($B50="언어와 매체",자동계산!$D$44,자동계산!$B$44),IF($B50="언어와 매체",자동계산!$E$44,자동계산!$C$44),0)))</f>
        <v/>
      </c>
      <c r="CM50" s="72">
        <f>IF($A50="","",IF(AT50="",0,IF(AT50=IF($B50="언어와 매체",자동계산!$D$45,자동계산!$B$45),IF($B50="언어와 매체",자동계산!$E$45,자동계산!$C$45),0)))</f>
        <v/>
      </c>
      <c r="CN50" s="72">
        <f>IF($A50="","",IF(AU50="",0,IF(AU50=IF($B50="언어와 매체",자동계산!$D$46,자동계산!$B$46),IF($B50="언어와 매체",자동계산!$E$46,자동계산!$C$46),0)))</f>
        <v/>
      </c>
      <c r="CO50" s="72">
        <f>IF($A50="","",IF(AV50="",0,IF(AV50=IF($B50="언어와 매체",자동계산!$D$47,자동계산!$B$47),IF($B50="언어와 매체",자동계산!$E$47,자동계산!$C$47),0)))</f>
        <v/>
      </c>
      <c r="CP50" s="72">
        <f>IF($A50="","",IF(AW50="",0,IF(AW50=IF($B50="언어와 매체",자동계산!$D$48,자동계산!$B$48),IF($B50="언어와 매체",자동계산!$E$48,자동계산!$C$48),0)))</f>
        <v/>
      </c>
    </row>
    <row r="51">
      <c r="A51" s="70">
        <f>IF(답안입력!A51="","",답안입력!A51)</f>
        <v/>
      </c>
      <c r="B51" s="70">
        <f>IF($A51="","",답안입력!C51)</f>
        <v/>
      </c>
      <c r="C51" s="71">
        <f>IF($A51="","",SUM(AX51:CP51))</f>
        <v/>
      </c>
      <c r="D51" s="70">
        <f>IF($A51="","",IF($C51&gt;=IF($B51="언어와 매체",회차설정!$B$9,회차설정!$B$8),"1등급",IF($C51&gt;=IF($B51="언어와 매체",회차설정!$C$9,회차설정!$C$8),"2등급",IF($C51&gt;=IF($B51="언어와 매체",회차설정!$D$9,회차설정!$D$8),"3등급",IF($C51&gt;=IF($B51="언어와 매체",회차설정!$E$9,회차설정!$E$8),"4등급","등급 외")))))</f>
        <v/>
      </c>
      <c r="E51" s="72">
        <f>IF($A51="","",IF(LEN(답안입력!$D51)&gt;=1,VALUE(MID(답안입력!$D51,1,1)),IF(답안입력!E51="","",답안입력!E51)))</f>
        <v/>
      </c>
      <c r="F51" s="72">
        <f>IF($A51="","",IF(LEN(답안입력!$D51)&gt;=2,VALUE(MID(답안입력!$D51,2,1)),IF(답안입력!F51="","",답안입력!F51)))</f>
        <v/>
      </c>
      <c r="G51" s="72">
        <f>IF($A51="","",IF(LEN(답안입력!$D51)&gt;=3,VALUE(MID(답안입력!$D51,3,1)),IF(답안입력!G51="","",답안입력!G51)))</f>
        <v/>
      </c>
      <c r="H51" s="72">
        <f>IF($A51="","",IF(LEN(답안입력!$D51)&gt;=4,VALUE(MID(답안입력!$D51,4,1)),IF(답안입력!H51="","",답안입력!H51)))</f>
        <v/>
      </c>
      <c r="I51" s="72">
        <f>IF($A51="","",IF(LEN(답안입력!$D51)&gt;=5,VALUE(MID(답안입력!$D51,5,1)),IF(답안입력!I51="","",답안입력!I51)))</f>
        <v/>
      </c>
      <c r="J51" s="72">
        <f>IF($A51="","",IF(LEN(답안입력!$D51)&gt;=6,VALUE(MID(답안입력!$D51,6,1)),IF(답안입력!J51="","",답안입력!J51)))</f>
        <v/>
      </c>
      <c r="K51" s="72">
        <f>IF($A51="","",IF(LEN(답안입력!$D51)&gt;=7,VALUE(MID(답안입력!$D51,7,1)),IF(답안입력!K51="","",답안입력!K51)))</f>
        <v/>
      </c>
      <c r="L51" s="72">
        <f>IF($A51="","",IF(LEN(답안입력!$D51)&gt;=8,VALUE(MID(답안입력!$D51,8,1)),IF(답안입력!L51="","",답안입력!L51)))</f>
        <v/>
      </c>
      <c r="M51" s="72">
        <f>IF($A51="","",IF(LEN(답안입력!$D51)&gt;=9,VALUE(MID(답안입력!$D51,9,1)),IF(답안입력!M51="","",답안입력!M51)))</f>
        <v/>
      </c>
      <c r="N51" s="72">
        <f>IF($A51="","",IF(LEN(답안입력!$D51)&gt;=10,VALUE(MID(답안입력!$D51,10,1)),IF(답안입력!N51="","",답안입력!N51)))</f>
        <v/>
      </c>
      <c r="O51" s="72">
        <f>IF($A51="","",IF(LEN(답안입력!$D51)&gt;=11,VALUE(MID(답안입력!$D51,11,1)),IF(답안입력!O51="","",답안입력!O51)))</f>
        <v/>
      </c>
      <c r="P51" s="72">
        <f>IF($A51="","",IF(LEN(답안입력!$D51)&gt;=12,VALUE(MID(답안입력!$D51,12,1)),IF(답안입력!P51="","",답안입력!P51)))</f>
        <v/>
      </c>
      <c r="Q51" s="72">
        <f>IF($A51="","",IF(LEN(답안입력!$D51)&gt;=13,VALUE(MID(답안입력!$D51,13,1)),IF(답안입력!Q51="","",답안입력!Q51)))</f>
        <v/>
      </c>
      <c r="R51" s="72">
        <f>IF($A51="","",IF(LEN(답안입력!$D51)&gt;=14,VALUE(MID(답안입력!$D51,14,1)),IF(답안입력!R51="","",답안입력!R51)))</f>
        <v/>
      </c>
      <c r="S51" s="72">
        <f>IF($A51="","",IF(LEN(답안입력!$D51)&gt;=15,VALUE(MID(답안입력!$D51,15,1)),IF(답안입력!S51="","",답안입력!S51)))</f>
        <v/>
      </c>
      <c r="T51" s="72">
        <f>IF($A51="","",IF(LEN(답안입력!$D51)&gt;=16,VALUE(MID(답안입력!$D51,16,1)),IF(답안입력!T51="","",답안입력!T51)))</f>
        <v/>
      </c>
      <c r="U51" s="72">
        <f>IF($A51="","",IF(LEN(답안입력!$D51)&gt;=17,VALUE(MID(답안입력!$D51,17,1)),IF(답안입력!U51="","",답안입력!U51)))</f>
        <v/>
      </c>
      <c r="V51" s="72">
        <f>IF($A51="","",IF(LEN(답안입력!$D51)&gt;=18,VALUE(MID(답안입력!$D51,18,1)),IF(답안입력!V51="","",답안입력!V51)))</f>
        <v/>
      </c>
      <c r="W51" s="72">
        <f>IF($A51="","",IF(LEN(답안입력!$D51)&gt;=19,VALUE(MID(답안입력!$D51,19,1)),IF(답안입력!W51="","",답안입력!W51)))</f>
        <v/>
      </c>
      <c r="X51" s="72">
        <f>IF($A51="","",IF(LEN(답안입력!$D51)&gt;=20,VALUE(MID(답안입력!$D51,20,1)),IF(답안입력!X51="","",답안입력!X51)))</f>
        <v/>
      </c>
      <c r="Y51" s="72">
        <f>IF($A51="","",IF(LEN(답안입력!$D51)&gt;=21,VALUE(MID(답안입력!$D51,21,1)),IF(답안입력!Y51="","",답안입력!Y51)))</f>
        <v/>
      </c>
      <c r="Z51" s="72">
        <f>IF($A51="","",IF(LEN(답안입력!$D51)&gt;=22,VALUE(MID(답안입력!$D51,22,1)),IF(답안입력!Z51="","",답안입력!Z51)))</f>
        <v/>
      </c>
      <c r="AA51" s="72">
        <f>IF($A51="","",IF(LEN(답안입력!$D51)&gt;=23,VALUE(MID(답안입력!$D51,23,1)),IF(답안입력!AA51="","",답안입력!AA51)))</f>
        <v/>
      </c>
      <c r="AB51" s="72">
        <f>IF($A51="","",IF(LEN(답안입력!$D51)&gt;=24,VALUE(MID(답안입력!$D51,24,1)),IF(답안입력!AB51="","",답안입력!AB51)))</f>
        <v/>
      </c>
      <c r="AC51" s="72">
        <f>IF($A51="","",IF(LEN(답안입력!$D51)&gt;=25,VALUE(MID(답안입력!$D51,25,1)),IF(답안입력!AC51="","",답안입력!AC51)))</f>
        <v/>
      </c>
      <c r="AD51" s="72">
        <f>IF($A51="","",IF(LEN(답안입력!$D51)&gt;=26,VALUE(MID(답안입력!$D51,26,1)),IF(답안입력!AD51="","",답안입력!AD51)))</f>
        <v/>
      </c>
      <c r="AE51" s="72">
        <f>IF($A51="","",IF(LEN(답안입력!$D51)&gt;=27,VALUE(MID(답안입력!$D51,27,1)),IF(답안입력!AE51="","",답안입력!AE51)))</f>
        <v/>
      </c>
      <c r="AF51" s="72">
        <f>IF($A51="","",IF(LEN(답안입력!$D51)&gt;=28,VALUE(MID(답안입력!$D51,28,1)),IF(답안입력!AF51="","",답안입력!AF51)))</f>
        <v/>
      </c>
      <c r="AG51" s="72">
        <f>IF($A51="","",IF(LEN(답안입력!$D51)&gt;=29,VALUE(MID(답안입력!$D51,29,1)),IF(답안입력!AG51="","",답안입력!AG51)))</f>
        <v/>
      </c>
      <c r="AH51" s="72">
        <f>IF($A51="","",IF(LEN(답안입력!$D51)&gt;=30,VALUE(MID(답안입력!$D51,30,1)),IF(답안입력!AH51="","",답안입력!AH51)))</f>
        <v/>
      </c>
      <c r="AI51" s="72">
        <f>IF($A51="","",IF(LEN(답안입력!$D51)&gt;=31,VALUE(MID(답안입력!$D51,31,1)),IF(답안입력!AI51="","",답안입력!AI51)))</f>
        <v/>
      </c>
      <c r="AJ51" s="72">
        <f>IF($A51="","",IF(LEN(답안입력!$D51)&gt;=32,VALUE(MID(답안입력!$D51,32,1)),IF(답안입력!AJ51="","",답안입력!AJ51)))</f>
        <v/>
      </c>
      <c r="AK51" s="72">
        <f>IF($A51="","",IF(LEN(답안입력!$D51)&gt;=33,VALUE(MID(답안입력!$D51,33,1)),IF(답안입력!AK51="","",답안입력!AK51)))</f>
        <v/>
      </c>
      <c r="AL51" s="72">
        <f>IF($A51="","",IF(LEN(답안입력!$D51)&gt;=34,VALUE(MID(답안입력!$D51,34,1)),IF(답안입력!AL51="","",답안입력!AL51)))</f>
        <v/>
      </c>
      <c r="AM51" s="72">
        <f>IF($A51="","",IF(LEN(답안입력!$D51)&gt;=35,VALUE(MID(답안입력!$D51,35,1)),IF(답안입력!AM51="","",답안입력!AM51)))</f>
        <v/>
      </c>
      <c r="AN51" s="72">
        <f>IF($A51="","",IF(LEN(답안입력!$D51)&gt;=36,VALUE(MID(답안입력!$D51,36,1)),IF(답안입력!AN51="","",답안입력!AN51)))</f>
        <v/>
      </c>
      <c r="AO51" s="72">
        <f>IF($A51="","",IF(LEN(답안입력!$D51)&gt;=37,VALUE(MID(답안입력!$D51,37,1)),IF(답안입력!AO51="","",답안입력!AO51)))</f>
        <v/>
      </c>
      <c r="AP51" s="72">
        <f>IF($A51="","",IF(LEN(답안입력!$D51)&gt;=38,VALUE(MID(답안입력!$D51,38,1)),IF(답안입력!AP51="","",답안입력!AP51)))</f>
        <v/>
      </c>
      <c r="AQ51" s="72">
        <f>IF($A51="","",IF(LEN(답안입력!$D51)&gt;=39,VALUE(MID(답안입력!$D51,39,1)),IF(답안입력!AQ51="","",답안입력!AQ51)))</f>
        <v/>
      </c>
      <c r="AR51" s="72">
        <f>IF($A51="","",IF(LEN(답안입력!$D51)&gt;=40,VALUE(MID(답안입력!$D51,40,1)),IF(답안입력!AR51="","",답안입력!AR51)))</f>
        <v/>
      </c>
      <c r="AS51" s="72">
        <f>IF($A51="","",IF(LEN(답안입력!$D51)&gt;=41,VALUE(MID(답안입력!$D51,41,1)),IF(답안입력!AS51="","",답안입력!AS51)))</f>
        <v/>
      </c>
      <c r="AT51" s="72">
        <f>IF($A51="","",IF(LEN(답안입력!$D51)&gt;=42,VALUE(MID(답안입력!$D51,42,1)),IF(답안입력!AT51="","",답안입력!AT51)))</f>
        <v/>
      </c>
      <c r="AU51" s="72">
        <f>IF($A51="","",IF(LEN(답안입력!$D51)&gt;=43,VALUE(MID(답안입력!$D51,43,1)),IF(답안입력!AU51="","",답안입력!AU51)))</f>
        <v/>
      </c>
      <c r="AV51" s="72">
        <f>IF($A51="","",IF(LEN(답안입력!$D51)&gt;=44,VALUE(MID(답안입력!$D51,44,1)),IF(답안입력!AV51="","",답안입력!AV51)))</f>
        <v/>
      </c>
      <c r="AW51" s="72">
        <f>IF($A51="","",IF(LEN(답안입력!$D51)&gt;=45,VALUE(MID(답안입력!$D51,45,1)),IF(답안입력!AW51="","",답안입력!AW51)))</f>
        <v/>
      </c>
      <c r="AX51" s="72">
        <f>IF($A51="","",IF(E51="",0,IF(E51=IF($B51="언어와 매체",자동계산!$D$4,자동계산!$B$4),IF($B51="언어와 매체",자동계산!$E$4,자동계산!$C$4),0)))</f>
        <v/>
      </c>
      <c r="AY51" s="72">
        <f>IF($A51="","",IF(F51="",0,IF(F51=IF($B51="언어와 매체",자동계산!$D$5,자동계산!$B$5),IF($B51="언어와 매체",자동계산!$E$5,자동계산!$C$5),0)))</f>
        <v/>
      </c>
      <c r="AZ51" s="72">
        <f>IF($A51="","",IF(G51="",0,IF(G51=IF($B51="언어와 매체",자동계산!$D$6,자동계산!$B$6),IF($B51="언어와 매체",자동계산!$E$6,자동계산!$C$6),0)))</f>
        <v/>
      </c>
      <c r="BA51" s="72">
        <f>IF($A51="","",IF(H51="",0,IF(H51=IF($B51="언어와 매체",자동계산!$D$7,자동계산!$B$7),IF($B51="언어와 매체",자동계산!$E$7,자동계산!$C$7),0)))</f>
        <v/>
      </c>
      <c r="BB51" s="72">
        <f>IF($A51="","",IF(I51="",0,IF(I51=IF($B51="언어와 매체",자동계산!$D$8,자동계산!$B$8),IF($B51="언어와 매체",자동계산!$E$8,자동계산!$C$8),0)))</f>
        <v/>
      </c>
      <c r="BC51" s="72">
        <f>IF($A51="","",IF(J51="",0,IF(J51=IF($B51="언어와 매체",자동계산!$D$9,자동계산!$B$9),IF($B51="언어와 매체",자동계산!$E$9,자동계산!$C$9),0)))</f>
        <v/>
      </c>
      <c r="BD51" s="72">
        <f>IF($A51="","",IF(K51="",0,IF(K51=IF($B51="언어와 매체",자동계산!$D$10,자동계산!$B$10),IF($B51="언어와 매체",자동계산!$E$10,자동계산!$C$10),0)))</f>
        <v/>
      </c>
      <c r="BE51" s="72">
        <f>IF($A51="","",IF(L51="",0,IF(L51=IF($B51="언어와 매체",자동계산!$D$11,자동계산!$B$11),IF($B51="언어와 매체",자동계산!$E$11,자동계산!$C$11),0)))</f>
        <v/>
      </c>
      <c r="BF51" s="72">
        <f>IF($A51="","",IF(M51="",0,IF(M51=IF($B51="언어와 매체",자동계산!$D$12,자동계산!$B$12),IF($B51="언어와 매체",자동계산!$E$12,자동계산!$C$12),0)))</f>
        <v/>
      </c>
      <c r="BG51" s="72">
        <f>IF($A51="","",IF(N51="",0,IF(N51=IF($B51="언어와 매체",자동계산!$D$13,자동계산!$B$13),IF($B51="언어와 매체",자동계산!$E$13,자동계산!$C$13),0)))</f>
        <v/>
      </c>
      <c r="BH51" s="72">
        <f>IF($A51="","",IF(O51="",0,IF(O51=IF($B51="언어와 매체",자동계산!$D$14,자동계산!$B$14),IF($B51="언어와 매체",자동계산!$E$14,자동계산!$C$14),0)))</f>
        <v/>
      </c>
      <c r="BI51" s="72">
        <f>IF($A51="","",IF(P51="",0,IF(P51=IF($B51="언어와 매체",자동계산!$D$15,자동계산!$B$15),IF($B51="언어와 매체",자동계산!$E$15,자동계산!$C$15),0)))</f>
        <v/>
      </c>
      <c r="BJ51" s="72">
        <f>IF($A51="","",IF(Q51="",0,IF(Q51=IF($B51="언어와 매체",자동계산!$D$16,자동계산!$B$16),IF($B51="언어와 매체",자동계산!$E$16,자동계산!$C$16),0)))</f>
        <v/>
      </c>
      <c r="BK51" s="72">
        <f>IF($A51="","",IF(R51="",0,IF(R51=IF($B51="언어와 매체",자동계산!$D$17,자동계산!$B$17),IF($B51="언어와 매체",자동계산!$E$17,자동계산!$C$17),0)))</f>
        <v/>
      </c>
      <c r="BL51" s="72">
        <f>IF($A51="","",IF(S51="",0,IF(S51=IF($B51="언어와 매체",자동계산!$D$18,자동계산!$B$18),IF($B51="언어와 매체",자동계산!$E$18,자동계산!$C$18),0)))</f>
        <v/>
      </c>
      <c r="BM51" s="72">
        <f>IF($A51="","",IF(T51="",0,IF(T51=IF($B51="언어와 매체",자동계산!$D$19,자동계산!$B$19),IF($B51="언어와 매체",자동계산!$E$19,자동계산!$C$19),0)))</f>
        <v/>
      </c>
      <c r="BN51" s="72">
        <f>IF($A51="","",IF(U51="",0,IF(U51=IF($B51="언어와 매체",자동계산!$D$20,자동계산!$B$20),IF($B51="언어와 매체",자동계산!$E$20,자동계산!$C$20),0)))</f>
        <v/>
      </c>
      <c r="BO51" s="72">
        <f>IF($A51="","",IF(V51="",0,IF(V51=IF($B51="언어와 매체",자동계산!$D$21,자동계산!$B$21),IF($B51="언어와 매체",자동계산!$E$21,자동계산!$C$21),0)))</f>
        <v/>
      </c>
      <c r="BP51" s="72">
        <f>IF($A51="","",IF(W51="",0,IF(W51=IF($B51="언어와 매체",자동계산!$D$22,자동계산!$B$22),IF($B51="언어와 매체",자동계산!$E$22,자동계산!$C$22),0)))</f>
        <v/>
      </c>
      <c r="BQ51" s="72">
        <f>IF($A51="","",IF(X51="",0,IF(X51=IF($B51="언어와 매체",자동계산!$D$23,자동계산!$B$23),IF($B51="언어와 매체",자동계산!$E$23,자동계산!$C$23),0)))</f>
        <v/>
      </c>
      <c r="BR51" s="72">
        <f>IF($A51="","",IF(Y51="",0,IF(Y51=IF($B51="언어와 매체",자동계산!$D$24,자동계산!$B$24),IF($B51="언어와 매체",자동계산!$E$24,자동계산!$C$24),0)))</f>
        <v/>
      </c>
      <c r="BS51" s="72">
        <f>IF($A51="","",IF(Z51="",0,IF(Z51=IF($B51="언어와 매체",자동계산!$D$25,자동계산!$B$25),IF($B51="언어와 매체",자동계산!$E$25,자동계산!$C$25),0)))</f>
        <v/>
      </c>
      <c r="BT51" s="72">
        <f>IF($A51="","",IF(AA51="",0,IF(AA51=IF($B51="언어와 매체",자동계산!$D$26,자동계산!$B$26),IF($B51="언어와 매체",자동계산!$E$26,자동계산!$C$26),0)))</f>
        <v/>
      </c>
      <c r="BU51" s="72">
        <f>IF($A51="","",IF(AB51="",0,IF(AB51=IF($B51="언어와 매체",자동계산!$D$27,자동계산!$B$27),IF($B51="언어와 매체",자동계산!$E$27,자동계산!$C$27),0)))</f>
        <v/>
      </c>
      <c r="BV51" s="72">
        <f>IF($A51="","",IF(AC51="",0,IF(AC51=IF($B51="언어와 매체",자동계산!$D$28,자동계산!$B$28),IF($B51="언어와 매체",자동계산!$E$28,자동계산!$C$28),0)))</f>
        <v/>
      </c>
      <c r="BW51" s="72">
        <f>IF($A51="","",IF(AD51="",0,IF(AD51=IF($B51="언어와 매체",자동계산!$D$29,자동계산!$B$29),IF($B51="언어와 매체",자동계산!$E$29,자동계산!$C$29),0)))</f>
        <v/>
      </c>
      <c r="BX51" s="72">
        <f>IF($A51="","",IF(AE51="",0,IF(AE51=IF($B51="언어와 매체",자동계산!$D$30,자동계산!$B$30),IF($B51="언어와 매체",자동계산!$E$30,자동계산!$C$30),0)))</f>
        <v/>
      </c>
      <c r="BY51" s="72">
        <f>IF($A51="","",IF(AF51="",0,IF(AF51=IF($B51="언어와 매체",자동계산!$D$31,자동계산!$B$31),IF($B51="언어와 매체",자동계산!$E$31,자동계산!$C$31),0)))</f>
        <v/>
      </c>
      <c r="BZ51" s="72">
        <f>IF($A51="","",IF(AG51="",0,IF(AG51=IF($B51="언어와 매체",자동계산!$D$32,자동계산!$B$32),IF($B51="언어와 매체",자동계산!$E$32,자동계산!$C$32),0)))</f>
        <v/>
      </c>
      <c r="CA51" s="72">
        <f>IF($A51="","",IF(AH51="",0,IF(AH51=IF($B51="언어와 매체",자동계산!$D$33,자동계산!$B$33),IF($B51="언어와 매체",자동계산!$E$33,자동계산!$C$33),0)))</f>
        <v/>
      </c>
      <c r="CB51" s="72">
        <f>IF($A51="","",IF(AI51="",0,IF(AI51=IF($B51="언어와 매체",자동계산!$D$34,자동계산!$B$34),IF($B51="언어와 매체",자동계산!$E$34,자동계산!$C$34),0)))</f>
        <v/>
      </c>
      <c r="CC51" s="72">
        <f>IF($A51="","",IF(AJ51="",0,IF(AJ51=IF($B51="언어와 매체",자동계산!$D$35,자동계산!$B$35),IF($B51="언어와 매체",자동계산!$E$35,자동계산!$C$35),0)))</f>
        <v/>
      </c>
      <c r="CD51" s="72">
        <f>IF($A51="","",IF(AK51="",0,IF(AK51=IF($B51="언어와 매체",자동계산!$D$36,자동계산!$B$36),IF($B51="언어와 매체",자동계산!$E$36,자동계산!$C$36),0)))</f>
        <v/>
      </c>
      <c r="CE51" s="72">
        <f>IF($A51="","",IF(AL51="",0,IF(AL51=IF($B51="언어와 매체",자동계산!$D$37,자동계산!$B$37),IF($B51="언어와 매체",자동계산!$E$37,자동계산!$C$37),0)))</f>
        <v/>
      </c>
      <c r="CF51" s="72">
        <f>IF($A51="","",IF(AM51="",0,IF(AM51=IF($B51="언어와 매체",자동계산!$D$38,자동계산!$B$38),IF($B51="언어와 매체",자동계산!$E$38,자동계산!$C$38),0)))</f>
        <v/>
      </c>
      <c r="CG51" s="72">
        <f>IF($A51="","",IF(AN51="",0,IF(AN51=IF($B51="언어와 매체",자동계산!$D$39,자동계산!$B$39),IF($B51="언어와 매체",자동계산!$E$39,자동계산!$C$39),0)))</f>
        <v/>
      </c>
      <c r="CH51" s="72">
        <f>IF($A51="","",IF(AO51="",0,IF(AO51=IF($B51="언어와 매체",자동계산!$D$40,자동계산!$B$40),IF($B51="언어와 매체",자동계산!$E$40,자동계산!$C$40),0)))</f>
        <v/>
      </c>
      <c r="CI51" s="72">
        <f>IF($A51="","",IF(AP51="",0,IF(AP51=IF($B51="언어와 매체",자동계산!$D$41,자동계산!$B$41),IF($B51="언어와 매체",자동계산!$E$41,자동계산!$C$41),0)))</f>
        <v/>
      </c>
      <c r="CJ51" s="72">
        <f>IF($A51="","",IF(AQ51="",0,IF(AQ51=IF($B51="언어와 매체",자동계산!$D$42,자동계산!$B$42),IF($B51="언어와 매체",자동계산!$E$42,자동계산!$C$42),0)))</f>
        <v/>
      </c>
      <c r="CK51" s="72">
        <f>IF($A51="","",IF(AR51="",0,IF(AR51=IF($B51="언어와 매체",자동계산!$D$43,자동계산!$B$43),IF($B51="언어와 매체",자동계산!$E$43,자동계산!$C$43),0)))</f>
        <v/>
      </c>
      <c r="CL51" s="72">
        <f>IF($A51="","",IF(AS51="",0,IF(AS51=IF($B51="언어와 매체",자동계산!$D$44,자동계산!$B$44),IF($B51="언어와 매체",자동계산!$E$44,자동계산!$C$44),0)))</f>
        <v/>
      </c>
      <c r="CM51" s="72">
        <f>IF($A51="","",IF(AT51="",0,IF(AT51=IF($B51="언어와 매체",자동계산!$D$45,자동계산!$B$45),IF($B51="언어와 매체",자동계산!$E$45,자동계산!$C$45),0)))</f>
        <v/>
      </c>
      <c r="CN51" s="72">
        <f>IF($A51="","",IF(AU51="",0,IF(AU51=IF($B51="언어와 매체",자동계산!$D$46,자동계산!$B$46),IF($B51="언어와 매체",자동계산!$E$46,자동계산!$C$46),0)))</f>
        <v/>
      </c>
      <c r="CO51" s="72">
        <f>IF($A51="","",IF(AV51="",0,IF(AV51=IF($B51="언어와 매체",자동계산!$D$47,자동계산!$B$47),IF($B51="언어와 매체",자동계산!$E$47,자동계산!$C$47),0)))</f>
        <v/>
      </c>
      <c r="CP51" s="72">
        <f>IF($A51="","",IF(AW51="",0,IF(AW51=IF($B51="언어와 매체",자동계산!$D$48,자동계산!$B$48),IF($B51="언어와 매체",자동계산!$E$48,자동계산!$C$48),0)))</f>
        <v/>
      </c>
    </row>
    <row r="52">
      <c r="A52" s="70">
        <f>IF(답안입력!A52="","",답안입력!A52)</f>
        <v/>
      </c>
      <c r="B52" s="70">
        <f>IF($A52="","",답안입력!C52)</f>
        <v/>
      </c>
      <c r="C52" s="71">
        <f>IF($A52="","",SUM(AX52:CP52))</f>
        <v/>
      </c>
      <c r="D52" s="70">
        <f>IF($A52="","",IF($C52&gt;=IF($B52="언어와 매체",회차설정!$B$9,회차설정!$B$8),"1등급",IF($C52&gt;=IF($B52="언어와 매체",회차설정!$C$9,회차설정!$C$8),"2등급",IF($C52&gt;=IF($B52="언어와 매체",회차설정!$D$9,회차설정!$D$8),"3등급",IF($C52&gt;=IF($B52="언어와 매체",회차설정!$E$9,회차설정!$E$8),"4등급","등급 외")))))</f>
        <v/>
      </c>
      <c r="E52" s="72">
        <f>IF($A52="","",IF(LEN(답안입력!$D52)&gt;=1,VALUE(MID(답안입력!$D52,1,1)),IF(답안입력!E52="","",답안입력!E52)))</f>
        <v/>
      </c>
      <c r="F52" s="72">
        <f>IF($A52="","",IF(LEN(답안입력!$D52)&gt;=2,VALUE(MID(답안입력!$D52,2,1)),IF(답안입력!F52="","",답안입력!F52)))</f>
        <v/>
      </c>
      <c r="G52" s="72">
        <f>IF($A52="","",IF(LEN(답안입력!$D52)&gt;=3,VALUE(MID(답안입력!$D52,3,1)),IF(답안입력!G52="","",답안입력!G52)))</f>
        <v/>
      </c>
      <c r="H52" s="72">
        <f>IF($A52="","",IF(LEN(답안입력!$D52)&gt;=4,VALUE(MID(답안입력!$D52,4,1)),IF(답안입력!H52="","",답안입력!H52)))</f>
        <v/>
      </c>
      <c r="I52" s="72">
        <f>IF($A52="","",IF(LEN(답안입력!$D52)&gt;=5,VALUE(MID(답안입력!$D52,5,1)),IF(답안입력!I52="","",답안입력!I52)))</f>
        <v/>
      </c>
      <c r="J52" s="72">
        <f>IF($A52="","",IF(LEN(답안입력!$D52)&gt;=6,VALUE(MID(답안입력!$D52,6,1)),IF(답안입력!J52="","",답안입력!J52)))</f>
        <v/>
      </c>
      <c r="K52" s="72">
        <f>IF($A52="","",IF(LEN(답안입력!$D52)&gt;=7,VALUE(MID(답안입력!$D52,7,1)),IF(답안입력!K52="","",답안입력!K52)))</f>
        <v/>
      </c>
      <c r="L52" s="72">
        <f>IF($A52="","",IF(LEN(답안입력!$D52)&gt;=8,VALUE(MID(답안입력!$D52,8,1)),IF(답안입력!L52="","",답안입력!L52)))</f>
        <v/>
      </c>
      <c r="M52" s="72">
        <f>IF($A52="","",IF(LEN(답안입력!$D52)&gt;=9,VALUE(MID(답안입력!$D52,9,1)),IF(답안입력!M52="","",답안입력!M52)))</f>
        <v/>
      </c>
      <c r="N52" s="72">
        <f>IF($A52="","",IF(LEN(답안입력!$D52)&gt;=10,VALUE(MID(답안입력!$D52,10,1)),IF(답안입력!N52="","",답안입력!N52)))</f>
        <v/>
      </c>
      <c r="O52" s="72">
        <f>IF($A52="","",IF(LEN(답안입력!$D52)&gt;=11,VALUE(MID(답안입력!$D52,11,1)),IF(답안입력!O52="","",답안입력!O52)))</f>
        <v/>
      </c>
      <c r="P52" s="72">
        <f>IF($A52="","",IF(LEN(답안입력!$D52)&gt;=12,VALUE(MID(답안입력!$D52,12,1)),IF(답안입력!P52="","",답안입력!P52)))</f>
        <v/>
      </c>
      <c r="Q52" s="72">
        <f>IF($A52="","",IF(LEN(답안입력!$D52)&gt;=13,VALUE(MID(답안입력!$D52,13,1)),IF(답안입력!Q52="","",답안입력!Q52)))</f>
        <v/>
      </c>
      <c r="R52" s="72">
        <f>IF($A52="","",IF(LEN(답안입력!$D52)&gt;=14,VALUE(MID(답안입력!$D52,14,1)),IF(답안입력!R52="","",답안입력!R52)))</f>
        <v/>
      </c>
      <c r="S52" s="72">
        <f>IF($A52="","",IF(LEN(답안입력!$D52)&gt;=15,VALUE(MID(답안입력!$D52,15,1)),IF(답안입력!S52="","",답안입력!S52)))</f>
        <v/>
      </c>
      <c r="T52" s="72">
        <f>IF($A52="","",IF(LEN(답안입력!$D52)&gt;=16,VALUE(MID(답안입력!$D52,16,1)),IF(답안입력!T52="","",답안입력!T52)))</f>
        <v/>
      </c>
      <c r="U52" s="72">
        <f>IF($A52="","",IF(LEN(답안입력!$D52)&gt;=17,VALUE(MID(답안입력!$D52,17,1)),IF(답안입력!U52="","",답안입력!U52)))</f>
        <v/>
      </c>
      <c r="V52" s="72">
        <f>IF($A52="","",IF(LEN(답안입력!$D52)&gt;=18,VALUE(MID(답안입력!$D52,18,1)),IF(답안입력!V52="","",답안입력!V52)))</f>
        <v/>
      </c>
      <c r="W52" s="72">
        <f>IF($A52="","",IF(LEN(답안입력!$D52)&gt;=19,VALUE(MID(답안입력!$D52,19,1)),IF(답안입력!W52="","",답안입력!W52)))</f>
        <v/>
      </c>
      <c r="X52" s="72">
        <f>IF($A52="","",IF(LEN(답안입력!$D52)&gt;=20,VALUE(MID(답안입력!$D52,20,1)),IF(답안입력!X52="","",답안입력!X52)))</f>
        <v/>
      </c>
      <c r="Y52" s="72">
        <f>IF($A52="","",IF(LEN(답안입력!$D52)&gt;=21,VALUE(MID(답안입력!$D52,21,1)),IF(답안입력!Y52="","",답안입력!Y52)))</f>
        <v/>
      </c>
      <c r="Z52" s="72">
        <f>IF($A52="","",IF(LEN(답안입력!$D52)&gt;=22,VALUE(MID(답안입력!$D52,22,1)),IF(답안입력!Z52="","",답안입력!Z52)))</f>
        <v/>
      </c>
      <c r="AA52" s="72">
        <f>IF($A52="","",IF(LEN(답안입력!$D52)&gt;=23,VALUE(MID(답안입력!$D52,23,1)),IF(답안입력!AA52="","",답안입력!AA52)))</f>
        <v/>
      </c>
      <c r="AB52" s="72">
        <f>IF($A52="","",IF(LEN(답안입력!$D52)&gt;=24,VALUE(MID(답안입력!$D52,24,1)),IF(답안입력!AB52="","",답안입력!AB52)))</f>
        <v/>
      </c>
      <c r="AC52" s="72">
        <f>IF($A52="","",IF(LEN(답안입력!$D52)&gt;=25,VALUE(MID(답안입력!$D52,25,1)),IF(답안입력!AC52="","",답안입력!AC52)))</f>
        <v/>
      </c>
      <c r="AD52" s="72">
        <f>IF($A52="","",IF(LEN(답안입력!$D52)&gt;=26,VALUE(MID(답안입력!$D52,26,1)),IF(답안입력!AD52="","",답안입력!AD52)))</f>
        <v/>
      </c>
      <c r="AE52" s="72">
        <f>IF($A52="","",IF(LEN(답안입력!$D52)&gt;=27,VALUE(MID(답안입력!$D52,27,1)),IF(답안입력!AE52="","",답안입력!AE52)))</f>
        <v/>
      </c>
      <c r="AF52" s="72">
        <f>IF($A52="","",IF(LEN(답안입력!$D52)&gt;=28,VALUE(MID(답안입력!$D52,28,1)),IF(답안입력!AF52="","",답안입력!AF52)))</f>
        <v/>
      </c>
      <c r="AG52" s="72">
        <f>IF($A52="","",IF(LEN(답안입력!$D52)&gt;=29,VALUE(MID(답안입력!$D52,29,1)),IF(답안입력!AG52="","",답안입력!AG52)))</f>
        <v/>
      </c>
      <c r="AH52" s="72">
        <f>IF($A52="","",IF(LEN(답안입력!$D52)&gt;=30,VALUE(MID(답안입력!$D52,30,1)),IF(답안입력!AH52="","",답안입력!AH52)))</f>
        <v/>
      </c>
      <c r="AI52" s="72">
        <f>IF($A52="","",IF(LEN(답안입력!$D52)&gt;=31,VALUE(MID(답안입력!$D52,31,1)),IF(답안입력!AI52="","",답안입력!AI52)))</f>
        <v/>
      </c>
      <c r="AJ52" s="72">
        <f>IF($A52="","",IF(LEN(답안입력!$D52)&gt;=32,VALUE(MID(답안입력!$D52,32,1)),IF(답안입력!AJ52="","",답안입력!AJ52)))</f>
        <v/>
      </c>
      <c r="AK52" s="72">
        <f>IF($A52="","",IF(LEN(답안입력!$D52)&gt;=33,VALUE(MID(답안입력!$D52,33,1)),IF(답안입력!AK52="","",답안입력!AK52)))</f>
        <v/>
      </c>
      <c r="AL52" s="72">
        <f>IF($A52="","",IF(LEN(답안입력!$D52)&gt;=34,VALUE(MID(답안입력!$D52,34,1)),IF(답안입력!AL52="","",답안입력!AL52)))</f>
        <v/>
      </c>
      <c r="AM52" s="72">
        <f>IF($A52="","",IF(LEN(답안입력!$D52)&gt;=35,VALUE(MID(답안입력!$D52,35,1)),IF(답안입력!AM52="","",답안입력!AM52)))</f>
        <v/>
      </c>
      <c r="AN52" s="72">
        <f>IF($A52="","",IF(LEN(답안입력!$D52)&gt;=36,VALUE(MID(답안입력!$D52,36,1)),IF(답안입력!AN52="","",답안입력!AN52)))</f>
        <v/>
      </c>
      <c r="AO52" s="72">
        <f>IF($A52="","",IF(LEN(답안입력!$D52)&gt;=37,VALUE(MID(답안입력!$D52,37,1)),IF(답안입력!AO52="","",답안입력!AO52)))</f>
        <v/>
      </c>
      <c r="AP52" s="72">
        <f>IF($A52="","",IF(LEN(답안입력!$D52)&gt;=38,VALUE(MID(답안입력!$D52,38,1)),IF(답안입력!AP52="","",답안입력!AP52)))</f>
        <v/>
      </c>
      <c r="AQ52" s="72">
        <f>IF($A52="","",IF(LEN(답안입력!$D52)&gt;=39,VALUE(MID(답안입력!$D52,39,1)),IF(답안입력!AQ52="","",답안입력!AQ52)))</f>
        <v/>
      </c>
      <c r="AR52" s="72">
        <f>IF($A52="","",IF(LEN(답안입력!$D52)&gt;=40,VALUE(MID(답안입력!$D52,40,1)),IF(답안입력!AR52="","",답안입력!AR52)))</f>
        <v/>
      </c>
      <c r="AS52" s="72">
        <f>IF($A52="","",IF(LEN(답안입력!$D52)&gt;=41,VALUE(MID(답안입력!$D52,41,1)),IF(답안입력!AS52="","",답안입력!AS52)))</f>
        <v/>
      </c>
      <c r="AT52" s="72">
        <f>IF($A52="","",IF(LEN(답안입력!$D52)&gt;=42,VALUE(MID(답안입력!$D52,42,1)),IF(답안입력!AT52="","",답안입력!AT52)))</f>
        <v/>
      </c>
      <c r="AU52" s="72">
        <f>IF($A52="","",IF(LEN(답안입력!$D52)&gt;=43,VALUE(MID(답안입력!$D52,43,1)),IF(답안입력!AU52="","",답안입력!AU52)))</f>
        <v/>
      </c>
      <c r="AV52" s="72">
        <f>IF($A52="","",IF(LEN(답안입력!$D52)&gt;=44,VALUE(MID(답안입력!$D52,44,1)),IF(답안입력!AV52="","",답안입력!AV52)))</f>
        <v/>
      </c>
      <c r="AW52" s="72">
        <f>IF($A52="","",IF(LEN(답안입력!$D52)&gt;=45,VALUE(MID(답안입력!$D52,45,1)),IF(답안입력!AW52="","",답안입력!AW52)))</f>
        <v/>
      </c>
      <c r="AX52" s="72">
        <f>IF($A52="","",IF(E52="",0,IF(E52=IF($B52="언어와 매체",자동계산!$D$4,자동계산!$B$4),IF($B52="언어와 매체",자동계산!$E$4,자동계산!$C$4),0)))</f>
        <v/>
      </c>
      <c r="AY52" s="72">
        <f>IF($A52="","",IF(F52="",0,IF(F52=IF($B52="언어와 매체",자동계산!$D$5,자동계산!$B$5),IF($B52="언어와 매체",자동계산!$E$5,자동계산!$C$5),0)))</f>
        <v/>
      </c>
      <c r="AZ52" s="72">
        <f>IF($A52="","",IF(G52="",0,IF(G52=IF($B52="언어와 매체",자동계산!$D$6,자동계산!$B$6),IF($B52="언어와 매체",자동계산!$E$6,자동계산!$C$6),0)))</f>
        <v/>
      </c>
      <c r="BA52" s="72">
        <f>IF($A52="","",IF(H52="",0,IF(H52=IF($B52="언어와 매체",자동계산!$D$7,자동계산!$B$7),IF($B52="언어와 매체",자동계산!$E$7,자동계산!$C$7),0)))</f>
        <v/>
      </c>
      <c r="BB52" s="72">
        <f>IF($A52="","",IF(I52="",0,IF(I52=IF($B52="언어와 매체",자동계산!$D$8,자동계산!$B$8),IF($B52="언어와 매체",자동계산!$E$8,자동계산!$C$8),0)))</f>
        <v/>
      </c>
      <c r="BC52" s="72">
        <f>IF($A52="","",IF(J52="",0,IF(J52=IF($B52="언어와 매체",자동계산!$D$9,자동계산!$B$9),IF($B52="언어와 매체",자동계산!$E$9,자동계산!$C$9),0)))</f>
        <v/>
      </c>
      <c r="BD52" s="72">
        <f>IF($A52="","",IF(K52="",0,IF(K52=IF($B52="언어와 매체",자동계산!$D$10,자동계산!$B$10),IF($B52="언어와 매체",자동계산!$E$10,자동계산!$C$10),0)))</f>
        <v/>
      </c>
      <c r="BE52" s="72">
        <f>IF($A52="","",IF(L52="",0,IF(L52=IF($B52="언어와 매체",자동계산!$D$11,자동계산!$B$11),IF($B52="언어와 매체",자동계산!$E$11,자동계산!$C$11),0)))</f>
        <v/>
      </c>
      <c r="BF52" s="72">
        <f>IF($A52="","",IF(M52="",0,IF(M52=IF($B52="언어와 매체",자동계산!$D$12,자동계산!$B$12),IF($B52="언어와 매체",자동계산!$E$12,자동계산!$C$12),0)))</f>
        <v/>
      </c>
      <c r="BG52" s="72">
        <f>IF($A52="","",IF(N52="",0,IF(N52=IF($B52="언어와 매체",자동계산!$D$13,자동계산!$B$13),IF($B52="언어와 매체",자동계산!$E$13,자동계산!$C$13),0)))</f>
        <v/>
      </c>
      <c r="BH52" s="72">
        <f>IF($A52="","",IF(O52="",0,IF(O52=IF($B52="언어와 매체",자동계산!$D$14,자동계산!$B$14),IF($B52="언어와 매체",자동계산!$E$14,자동계산!$C$14),0)))</f>
        <v/>
      </c>
      <c r="BI52" s="72">
        <f>IF($A52="","",IF(P52="",0,IF(P52=IF($B52="언어와 매체",자동계산!$D$15,자동계산!$B$15),IF($B52="언어와 매체",자동계산!$E$15,자동계산!$C$15),0)))</f>
        <v/>
      </c>
      <c r="BJ52" s="72">
        <f>IF($A52="","",IF(Q52="",0,IF(Q52=IF($B52="언어와 매체",자동계산!$D$16,자동계산!$B$16),IF($B52="언어와 매체",자동계산!$E$16,자동계산!$C$16),0)))</f>
        <v/>
      </c>
      <c r="BK52" s="72">
        <f>IF($A52="","",IF(R52="",0,IF(R52=IF($B52="언어와 매체",자동계산!$D$17,자동계산!$B$17),IF($B52="언어와 매체",자동계산!$E$17,자동계산!$C$17),0)))</f>
        <v/>
      </c>
      <c r="BL52" s="72">
        <f>IF($A52="","",IF(S52="",0,IF(S52=IF($B52="언어와 매체",자동계산!$D$18,자동계산!$B$18),IF($B52="언어와 매체",자동계산!$E$18,자동계산!$C$18),0)))</f>
        <v/>
      </c>
      <c r="BM52" s="72">
        <f>IF($A52="","",IF(T52="",0,IF(T52=IF($B52="언어와 매체",자동계산!$D$19,자동계산!$B$19),IF($B52="언어와 매체",자동계산!$E$19,자동계산!$C$19),0)))</f>
        <v/>
      </c>
      <c r="BN52" s="72">
        <f>IF($A52="","",IF(U52="",0,IF(U52=IF($B52="언어와 매체",자동계산!$D$20,자동계산!$B$20),IF($B52="언어와 매체",자동계산!$E$20,자동계산!$C$20),0)))</f>
        <v/>
      </c>
      <c r="BO52" s="72">
        <f>IF($A52="","",IF(V52="",0,IF(V52=IF($B52="언어와 매체",자동계산!$D$21,자동계산!$B$21),IF($B52="언어와 매체",자동계산!$E$21,자동계산!$C$21),0)))</f>
        <v/>
      </c>
      <c r="BP52" s="72">
        <f>IF($A52="","",IF(W52="",0,IF(W52=IF($B52="언어와 매체",자동계산!$D$22,자동계산!$B$22),IF($B52="언어와 매체",자동계산!$E$22,자동계산!$C$22),0)))</f>
        <v/>
      </c>
      <c r="BQ52" s="72">
        <f>IF($A52="","",IF(X52="",0,IF(X52=IF($B52="언어와 매체",자동계산!$D$23,자동계산!$B$23),IF($B52="언어와 매체",자동계산!$E$23,자동계산!$C$23),0)))</f>
        <v/>
      </c>
      <c r="BR52" s="72">
        <f>IF($A52="","",IF(Y52="",0,IF(Y52=IF($B52="언어와 매체",자동계산!$D$24,자동계산!$B$24),IF($B52="언어와 매체",자동계산!$E$24,자동계산!$C$24),0)))</f>
        <v/>
      </c>
      <c r="BS52" s="72">
        <f>IF($A52="","",IF(Z52="",0,IF(Z52=IF($B52="언어와 매체",자동계산!$D$25,자동계산!$B$25),IF($B52="언어와 매체",자동계산!$E$25,자동계산!$C$25),0)))</f>
        <v/>
      </c>
      <c r="BT52" s="72">
        <f>IF($A52="","",IF(AA52="",0,IF(AA52=IF($B52="언어와 매체",자동계산!$D$26,자동계산!$B$26),IF($B52="언어와 매체",자동계산!$E$26,자동계산!$C$26),0)))</f>
        <v/>
      </c>
      <c r="BU52" s="72">
        <f>IF($A52="","",IF(AB52="",0,IF(AB52=IF($B52="언어와 매체",자동계산!$D$27,자동계산!$B$27),IF($B52="언어와 매체",자동계산!$E$27,자동계산!$C$27),0)))</f>
        <v/>
      </c>
      <c r="BV52" s="72">
        <f>IF($A52="","",IF(AC52="",0,IF(AC52=IF($B52="언어와 매체",자동계산!$D$28,자동계산!$B$28),IF($B52="언어와 매체",자동계산!$E$28,자동계산!$C$28),0)))</f>
        <v/>
      </c>
      <c r="BW52" s="72">
        <f>IF($A52="","",IF(AD52="",0,IF(AD52=IF($B52="언어와 매체",자동계산!$D$29,자동계산!$B$29),IF($B52="언어와 매체",자동계산!$E$29,자동계산!$C$29),0)))</f>
        <v/>
      </c>
      <c r="BX52" s="72">
        <f>IF($A52="","",IF(AE52="",0,IF(AE52=IF($B52="언어와 매체",자동계산!$D$30,자동계산!$B$30),IF($B52="언어와 매체",자동계산!$E$30,자동계산!$C$30),0)))</f>
        <v/>
      </c>
      <c r="BY52" s="72">
        <f>IF($A52="","",IF(AF52="",0,IF(AF52=IF($B52="언어와 매체",자동계산!$D$31,자동계산!$B$31),IF($B52="언어와 매체",자동계산!$E$31,자동계산!$C$31),0)))</f>
        <v/>
      </c>
      <c r="BZ52" s="72">
        <f>IF($A52="","",IF(AG52="",0,IF(AG52=IF($B52="언어와 매체",자동계산!$D$32,자동계산!$B$32),IF($B52="언어와 매체",자동계산!$E$32,자동계산!$C$32),0)))</f>
        <v/>
      </c>
      <c r="CA52" s="72">
        <f>IF($A52="","",IF(AH52="",0,IF(AH52=IF($B52="언어와 매체",자동계산!$D$33,자동계산!$B$33),IF($B52="언어와 매체",자동계산!$E$33,자동계산!$C$33),0)))</f>
        <v/>
      </c>
      <c r="CB52" s="72">
        <f>IF($A52="","",IF(AI52="",0,IF(AI52=IF($B52="언어와 매체",자동계산!$D$34,자동계산!$B$34),IF($B52="언어와 매체",자동계산!$E$34,자동계산!$C$34),0)))</f>
        <v/>
      </c>
      <c r="CC52" s="72">
        <f>IF($A52="","",IF(AJ52="",0,IF(AJ52=IF($B52="언어와 매체",자동계산!$D$35,자동계산!$B$35),IF($B52="언어와 매체",자동계산!$E$35,자동계산!$C$35),0)))</f>
        <v/>
      </c>
      <c r="CD52" s="72">
        <f>IF($A52="","",IF(AK52="",0,IF(AK52=IF($B52="언어와 매체",자동계산!$D$36,자동계산!$B$36),IF($B52="언어와 매체",자동계산!$E$36,자동계산!$C$36),0)))</f>
        <v/>
      </c>
      <c r="CE52" s="72">
        <f>IF($A52="","",IF(AL52="",0,IF(AL52=IF($B52="언어와 매체",자동계산!$D$37,자동계산!$B$37),IF($B52="언어와 매체",자동계산!$E$37,자동계산!$C$37),0)))</f>
        <v/>
      </c>
      <c r="CF52" s="72">
        <f>IF($A52="","",IF(AM52="",0,IF(AM52=IF($B52="언어와 매체",자동계산!$D$38,자동계산!$B$38),IF($B52="언어와 매체",자동계산!$E$38,자동계산!$C$38),0)))</f>
        <v/>
      </c>
      <c r="CG52" s="72">
        <f>IF($A52="","",IF(AN52="",0,IF(AN52=IF($B52="언어와 매체",자동계산!$D$39,자동계산!$B$39),IF($B52="언어와 매체",자동계산!$E$39,자동계산!$C$39),0)))</f>
        <v/>
      </c>
      <c r="CH52" s="72">
        <f>IF($A52="","",IF(AO52="",0,IF(AO52=IF($B52="언어와 매체",자동계산!$D$40,자동계산!$B$40),IF($B52="언어와 매체",자동계산!$E$40,자동계산!$C$40),0)))</f>
        <v/>
      </c>
      <c r="CI52" s="72">
        <f>IF($A52="","",IF(AP52="",0,IF(AP52=IF($B52="언어와 매체",자동계산!$D$41,자동계산!$B$41),IF($B52="언어와 매체",자동계산!$E$41,자동계산!$C$41),0)))</f>
        <v/>
      </c>
      <c r="CJ52" s="72">
        <f>IF($A52="","",IF(AQ52="",0,IF(AQ52=IF($B52="언어와 매체",자동계산!$D$42,자동계산!$B$42),IF($B52="언어와 매체",자동계산!$E$42,자동계산!$C$42),0)))</f>
        <v/>
      </c>
      <c r="CK52" s="72">
        <f>IF($A52="","",IF(AR52="",0,IF(AR52=IF($B52="언어와 매체",자동계산!$D$43,자동계산!$B$43),IF($B52="언어와 매체",자동계산!$E$43,자동계산!$C$43),0)))</f>
        <v/>
      </c>
      <c r="CL52" s="72">
        <f>IF($A52="","",IF(AS52="",0,IF(AS52=IF($B52="언어와 매체",자동계산!$D$44,자동계산!$B$44),IF($B52="언어와 매체",자동계산!$E$44,자동계산!$C$44),0)))</f>
        <v/>
      </c>
      <c r="CM52" s="72">
        <f>IF($A52="","",IF(AT52="",0,IF(AT52=IF($B52="언어와 매체",자동계산!$D$45,자동계산!$B$45),IF($B52="언어와 매체",자동계산!$E$45,자동계산!$C$45),0)))</f>
        <v/>
      </c>
      <c r="CN52" s="72">
        <f>IF($A52="","",IF(AU52="",0,IF(AU52=IF($B52="언어와 매체",자동계산!$D$46,자동계산!$B$46),IF($B52="언어와 매체",자동계산!$E$46,자동계산!$C$46),0)))</f>
        <v/>
      </c>
      <c r="CO52" s="72">
        <f>IF($A52="","",IF(AV52="",0,IF(AV52=IF($B52="언어와 매체",자동계산!$D$47,자동계산!$B$47),IF($B52="언어와 매체",자동계산!$E$47,자동계산!$C$47),0)))</f>
        <v/>
      </c>
      <c r="CP52" s="72">
        <f>IF($A52="","",IF(AW52="",0,IF(AW52=IF($B52="언어와 매체",자동계산!$D$48,자동계산!$B$48),IF($B52="언어와 매체",자동계산!$E$48,자동계산!$C$48),0)))</f>
        <v/>
      </c>
    </row>
    <row r="53">
      <c r="A53" s="70">
        <f>IF(답안입력!A53="","",답안입력!A53)</f>
        <v/>
      </c>
      <c r="B53" s="70">
        <f>IF($A53="","",답안입력!C53)</f>
        <v/>
      </c>
      <c r="C53" s="71">
        <f>IF($A53="","",SUM(AX53:CP53))</f>
        <v/>
      </c>
      <c r="D53" s="70">
        <f>IF($A53="","",IF($C53&gt;=IF($B53="언어와 매체",회차설정!$B$9,회차설정!$B$8),"1등급",IF($C53&gt;=IF($B53="언어와 매체",회차설정!$C$9,회차설정!$C$8),"2등급",IF($C53&gt;=IF($B53="언어와 매체",회차설정!$D$9,회차설정!$D$8),"3등급",IF($C53&gt;=IF($B53="언어와 매체",회차설정!$E$9,회차설정!$E$8),"4등급","등급 외")))))</f>
        <v/>
      </c>
      <c r="E53" s="72">
        <f>IF($A53="","",IF(LEN(답안입력!$D53)&gt;=1,VALUE(MID(답안입력!$D53,1,1)),IF(답안입력!E53="","",답안입력!E53)))</f>
        <v/>
      </c>
      <c r="F53" s="72">
        <f>IF($A53="","",IF(LEN(답안입력!$D53)&gt;=2,VALUE(MID(답안입력!$D53,2,1)),IF(답안입력!F53="","",답안입력!F53)))</f>
        <v/>
      </c>
      <c r="G53" s="72">
        <f>IF($A53="","",IF(LEN(답안입력!$D53)&gt;=3,VALUE(MID(답안입력!$D53,3,1)),IF(답안입력!G53="","",답안입력!G53)))</f>
        <v/>
      </c>
      <c r="H53" s="72">
        <f>IF($A53="","",IF(LEN(답안입력!$D53)&gt;=4,VALUE(MID(답안입력!$D53,4,1)),IF(답안입력!H53="","",답안입력!H53)))</f>
        <v/>
      </c>
      <c r="I53" s="72">
        <f>IF($A53="","",IF(LEN(답안입력!$D53)&gt;=5,VALUE(MID(답안입력!$D53,5,1)),IF(답안입력!I53="","",답안입력!I53)))</f>
        <v/>
      </c>
      <c r="J53" s="72">
        <f>IF($A53="","",IF(LEN(답안입력!$D53)&gt;=6,VALUE(MID(답안입력!$D53,6,1)),IF(답안입력!J53="","",답안입력!J53)))</f>
        <v/>
      </c>
      <c r="K53" s="72">
        <f>IF($A53="","",IF(LEN(답안입력!$D53)&gt;=7,VALUE(MID(답안입력!$D53,7,1)),IF(답안입력!K53="","",답안입력!K53)))</f>
        <v/>
      </c>
      <c r="L53" s="72">
        <f>IF($A53="","",IF(LEN(답안입력!$D53)&gt;=8,VALUE(MID(답안입력!$D53,8,1)),IF(답안입력!L53="","",답안입력!L53)))</f>
        <v/>
      </c>
      <c r="M53" s="72">
        <f>IF($A53="","",IF(LEN(답안입력!$D53)&gt;=9,VALUE(MID(답안입력!$D53,9,1)),IF(답안입력!M53="","",답안입력!M53)))</f>
        <v/>
      </c>
      <c r="N53" s="72">
        <f>IF($A53="","",IF(LEN(답안입력!$D53)&gt;=10,VALUE(MID(답안입력!$D53,10,1)),IF(답안입력!N53="","",답안입력!N53)))</f>
        <v/>
      </c>
      <c r="O53" s="72">
        <f>IF($A53="","",IF(LEN(답안입력!$D53)&gt;=11,VALUE(MID(답안입력!$D53,11,1)),IF(답안입력!O53="","",답안입력!O53)))</f>
        <v/>
      </c>
      <c r="P53" s="72">
        <f>IF($A53="","",IF(LEN(답안입력!$D53)&gt;=12,VALUE(MID(답안입력!$D53,12,1)),IF(답안입력!P53="","",답안입력!P53)))</f>
        <v/>
      </c>
      <c r="Q53" s="72">
        <f>IF($A53="","",IF(LEN(답안입력!$D53)&gt;=13,VALUE(MID(답안입력!$D53,13,1)),IF(답안입력!Q53="","",답안입력!Q53)))</f>
        <v/>
      </c>
      <c r="R53" s="72">
        <f>IF($A53="","",IF(LEN(답안입력!$D53)&gt;=14,VALUE(MID(답안입력!$D53,14,1)),IF(답안입력!R53="","",답안입력!R53)))</f>
        <v/>
      </c>
      <c r="S53" s="72">
        <f>IF($A53="","",IF(LEN(답안입력!$D53)&gt;=15,VALUE(MID(답안입력!$D53,15,1)),IF(답안입력!S53="","",답안입력!S53)))</f>
        <v/>
      </c>
      <c r="T53" s="72">
        <f>IF($A53="","",IF(LEN(답안입력!$D53)&gt;=16,VALUE(MID(답안입력!$D53,16,1)),IF(답안입력!T53="","",답안입력!T53)))</f>
        <v/>
      </c>
      <c r="U53" s="72">
        <f>IF($A53="","",IF(LEN(답안입력!$D53)&gt;=17,VALUE(MID(답안입력!$D53,17,1)),IF(답안입력!U53="","",답안입력!U53)))</f>
        <v/>
      </c>
      <c r="V53" s="72">
        <f>IF($A53="","",IF(LEN(답안입력!$D53)&gt;=18,VALUE(MID(답안입력!$D53,18,1)),IF(답안입력!V53="","",답안입력!V53)))</f>
        <v/>
      </c>
      <c r="W53" s="72">
        <f>IF($A53="","",IF(LEN(답안입력!$D53)&gt;=19,VALUE(MID(답안입력!$D53,19,1)),IF(답안입력!W53="","",답안입력!W53)))</f>
        <v/>
      </c>
      <c r="X53" s="72">
        <f>IF($A53="","",IF(LEN(답안입력!$D53)&gt;=20,VALUE(MID(답안입력!$D53,20,1)),IF(답안입력!X53="","",답안입력!X53)))</f>
        <v/>
      </c>
      <c r="Y53" s="72">
        <f>IF($A53="","",IF(LEN(답안입력!$D53)&gt;=21,VALUE(MID(답안입력!$D53,21,1)),IF(답안입력!Y53="","",답안입력!Y53)))</f>
        <v/>
      </c>
      <c r="Z53" s="72">
        <f>IF($A53="","",IF(LEN(답안입력!$D53)&gt;=22,VALUE(MID(답안입력!$D53,22,1)),IF(답안입력!Z53="","",답안입력!Z53)))</f>
        <v/>
      </c>
      <c r="AA53" s="72">
        <f>IF($A53="","",IF(LEN(답안입력!$D53)&gt;=23,VALUE(MID(답안입력!$D53,23,1)),IF(답안입력!AA53="","",답안입력!AA53)))</f>
        <v/>
      </c>
      <c r="AB53" s="72">
        <f>IF($A53="","",IF(LEN(답안입력!$D53)&gt;=24,VALUE(MID(답안입력!$D53,24,1)),IF(답안입력!AB53="","",답안입력!AB53)))</f>
        <v/>
      </c>
      <c r="AC53" s="72">
        <f>IF($A53="","",IF(LEN(답안입력!$D53)&gt;=25,VALUE(MID(답안입력!$D53,25,1)),IF(답안입력!AC53="","",답안입력!AC53)))</f>
        <v/>
      </c>
      <c r="AD53" s="72">
        <f>IF($A53="","",IF(LEN(답안입력!$D53)&gt;=26,VALUE(MID(답안입력!$D53,26,1)),IF(답안입력!AD53="","",답안입력!AD53)))</f>
        <v/>
      </c>
      <c r="AE53" s="72">
        <f>IF($A53="","",IF(LEN(답안입력!$D53)&gt;=27,VALUE(MID(답안입력!$D53,27,1)),IF(답안입력!AE53="","",답안입력!AE53)))</f>
        <v/>
      </c>
      <c r="AF53" s="72">
        <f>IF($A53="","",IF(LEN(답안입력!$D53)&gt;=28,VALUE(MID(답안입력!$D53,28,1)),IF(답안입력!AF53="","",답안입력!AF53)))</f>
        <v/>
      </c>
      <c r="AG53" s="72">
        <f>IF($A53="","",IF(LEN(답안입력!$D53)&gt;=29,VALUE(MID(답안입력!$D53,29,1)),IF(답안입력!AG53="","",답안입력!AG53)))</f>
        <v/>
      </c>
      <c r="AH53" s="72">
        <f>IF($A53="","",IF(LEN(답안입력!$D53)&gt;=30,VALUE(MID(답안입력!$D53,30,1)),IF(답안입력!AH53="","",답안입력!AH53)))</f>
        <v/>
      </c>
      <c r="AI53" s="72">
        <f>IF($A53="","",IF(LEN(답안입력!$D53)&gt;=31,VALUE(MID(답안입력!$D53,31,1)),IF(답안입력!AI53="","",답안입력!AI53)))</f>
        <v/>
      </c>
      <c r="AJ53" s="72">
        <f>IF($A53="","",IF(LEN(답안입력!$D53)&gt;=32,VALUE(MID(답안입력!$D53,32,1)),IF(답안입력!AJ53="","",답안입력!AJ53)))</f>
        <v/>
      </c>
      <c r="AK53" s="72">
        <f>IF($A53="","",IF(LEN(답안입력!$D53)&gt;=33,VALUE(MID(답안입력!$D53,33,1)),IF(답안입력!AK53="","",답안입력!AK53)))</f>
        <v/>
      </c>
      <c r="AL53" s="72">
        <f>IF($A53="","",IF(LEN(답안입력!$D53)&gt;=34,VALUE(MID(답안입력!$D53,34,1)),IF(답안입력!AL53="","",답안입력!AL53)))</f>
        <v/>
      </c>
      <c r="AM53" s="72">
        <f>IF($A53="","",IF(LEN(답안입력!$D53)&gt;=35,VALUE(MID(답안입력!$D53,35,1)),IF(답안입력!AM53="","",답안입력!AM53)))</f>
        <v/>
      </c>
      <c r="AN53" s="72">
        <f>IF($A53="","",IF(LEN(답안입력!$D53)&gt;=36,VALUE(MID(답안입력!$D53,36,1)),IF(답안입력!AN53="","",답안입력!AN53)))</f>
        <v/>
      </c>
      <c r="AO53" s="72">
        <f>IF($A53="","",IF(LEN(답안입력!$D53)&gt;=37,VALUE(MID(답안입력!$D53,37,1)),IF(답안입력!AO53="","",답안입력!AO53)))</f>
        <v/>
      </c>
      <c r="AP53" s="72">
        <f>IF($A53="","",IF(LEN(답안입력!$D53)&gt;=38,VALUE(MID(답안입력!$D53,38,1)),IF(답안입력!AP53="","",답안입력!AP53)))</f>
        <v/>
      </c>
      <c r="AQ53" s="72">
        <f>IF($A53="","",IF(LEN(답안입력!$D53)&gt;=39,VALUE(MID(답안입력!$D53,39,1)),IF(답안입력!AQ53="","",답안입력!AQ53)))</f>
        <v/>
      </c>
      <c r="AR53" s="72">
        <f>IF($A53="","",IF(LEN(답안입력!$D53)&gt;=40,VALUE(MID(답안입력!$D53,40,1)),IF(답안입력!AR53="","",답안입력!AR53)))</f>
        <v/>
      </c>
      <c r="AS53" s="72">
        <f>IF($A53="","",IF(LEN(답안입력!$D53)&gt;=41,VALUE(MID(답안입력!$D53,41,1)),IF(답안입력!AS53="","",답안입력!AS53)))</f>
        <v/>
      </c>
      <c r="AT53" s="72">
        <f>IF($A53="","",IF(LEN(답안입력!$D53)&gt;=42,VALUE(MID(답안입력!$D53,42,1)),IF(답안입력!AT53="","",답안입력!AT53)))</f>
        <v/>
      </c>
      <c r="AU53" s="72">
        <f>IF($A53="","",IF(LEN(답안입력!$D53)&gt;=43,VALUE(MID(답안입력!$D53,43,1)),IF(답안입력!AU53="","",답안입력!AU53)))</f>
        <v/>
      </c>
      <c r="AV53" s="72">
        <f>IF($A53="","",IF(LEN(답안입력!$D53)&gt;=44,VALUE(MID(답안입력!$D53,44,1)),IF(답안입력!AV53="","",답안입력!AV53)))</f>
        <v/>
      </c>
      <c r="AW53" s="72">
        <f>IF($A53="","",IF(LEN(답안입력!$D53)&gt;=45,VALUE(MID(답안입력!$D53,45,1)),IF(답안입력!AW53="","",답안입력!AW53)))</f>
        <v/>
      </c>
      <c r="AX53" s="72">
        <f>IF($A53="","",IF(E53="",0,IF(E53=IF($B53="언어와 매체",자동계산!$D$4,자동계산!$B$4),IF($B53="언어와 매체",자동계산!$E$4,자동계산!$C$4),0)))</f>
        <v/>
      </c>
      <c r="AY53" s="72">
        <f>IF($A53="","",IF(F53="",0,IF(F53=IF($B53="언어와 매체",자동계산!$D$5,자동계산!$B$5),IF($B53="언어와 매체",자동계산!$E$5,자동계산!$C$5),0)))</f>
        <v/>
      </c>
      <c r="AZ53" s="72">
        <f>IF($A53="","",IF(G53="",0,IF(G53=IF($B53="언어와 매체",자동계산!$D$6,자동계산!$B$6),IF($B53="언어와 매체",자동계산!$E$6,자동계산!$C$6),0)))</f>
        <v/>
      </c>
      <c r="BA53" s="72">
        <f>IF($A53="","",IF(H53="",0,IF(H53=IF($B53="언어와 매체",자동계산!$D$7,자동계산!$B$7),IF($B53="언어와 매체",자동계산!$E$7,자동계산!$C$7),0)))</f>
        <v/>
      </c>
      <c r="BB53" s="72">
        <f>IF($A53="","",IF(I53="",0,IF(I53=IF($B53="언어와 매체",자동계산!$D$8,자동계산!$B$8),IF($B53="언어와 매체",자동계산!$E$8,자동계산!$C$8),0)))</f>
        <v/>
      </c>
      <c r="BC53" s="72">
        <f>IF($A53="","",IF(J53="",0,IF(J53=IF($B53="언어와 매체",자동계산!$D$9,자동계산!$B$9),IF($B53="언어와 매체",자동계산!$E$9,자동계산!$C$9),0)))</f>
        <v/>
      </c>
      <c r="BD53" s="72">
        <f>IF($A53="","",IF(K53="",0,IF(K53=IF($B53="언어와 매체",자동계산!$D$10,자동계산!$B$10),IF($B53="언어와 매체",자동계산!$E$10,자동계산!$C$10),0)))</f>
        <v/>
      </c>
      <c r="BE53" s="72">
        <f>IF($A53="","",IF(L53="",0,IF(L53=IF($B53="언어와 매체",자동계산!$D$11,자동계산!$B$11),IF($B53="언어와 매체",자동계산!$E$11,자동계산!$C$11),0)))</f>
        <v/>
      </c>
      <c r="BF53" s="72">
        <f>IF($A53="","",IF(M53="",0,IF(M53=IF($B53="언어와 매체",자동계산!$D$12,자동계산!$B$12),IF($B53="언어와 매체",자동계산!$E$12,자동계산!$C$12),0)))</f>
        <v/>
      </c>
      <c r="BG53" s="72">
        <f>IF($A53="","",IF(N53="",0,IF(N53=IF($B53="언어와 매체",자동계산!$D$13,자동계산!$B$13),IF($B53="언어와 매체",자동계산!$E$13,자동계산!$C$13),0)))</f>
        <v/>
      </c>
      <c r="BH53" s="72">
        <f>IF($A53="","",IF(O53="",0,IF(O53=IF($B53="언어와 매체",자동계산!$D$14,자동계산!$B$14),IF($B53="언어와 매체",자동계산!$E$14,자동계산!$C$14),0)))</f>
        <v/>
      </c>
      <c r="BI53" s="72">
        <f>IF($A53="","",IF(P53="",0,IF(P53=IF($B53="언어와 매체",자동계산!$D$15,자동계산!$B$15),IF($B53="언어와 매체",자동계산!$E$15,자동계산!$C$15),0)))</f>
        <v/>
      </c>
      <c r="BJ53" s="72">
        <f>IF($A53="","",IF(Q53="",0,IF(Q53=IF($B53="언어와 매체",자동계산!$D$16,자동계산!$B$16),IF($B53="언어와 매체",자동계산!$E$16,자동계산!$C$16),0)))</f>
        <v/>
      </c>
      <c r="BK53" s="72">
        <f>IF($A53="","",IF(R53="",0,IF(R53=IF($B53="언어와 매체",자동계산!$D$17,자동계산!$B$17),IF($B53="언어와 매체",자동계산!$E$17,자동계산!$C$17),0)))</f>
        <v/>
      </c>
      <c r="BL53" s="72">
        <f>IF($A53="","",IF(S53="",0,IF(S53=IF($B53="언어와 매체",자동계산!$D$18,자동계산!$B$18),IF($B53="언어와 매체",자동계산!$E$18,자동계산!$C$18),0)))</f>
        <v/>
      </c>
      <c r="BM53" s="72">
        <f>IF($A53="","",IF(T53="",0,IF(T53=IF($B53="언어와 매체",자동계산!$D$19,자동계산!$B$19),IF($B53="언어와 매체",자동계산!$E$19,자동계산!$C$19),0)))</f>
        <v/>
      </c>
      <c r="BN53" s="72">
        <f>IF($A53="","",IF(U53="",0,IF(U53=IF($B53="언어와 매체",자동계산!$D$20,자동계산!$B$20),IF($B53="언어와 매체",자동계산!$E$20,자동계산!$C$20),0)))</f>
        <v/>
      </c>
      <c r="BO53" s="72">
        <f>IF($A53="","",IF(V53="",0,IF(V53=IF($B53="언어와 매체",자동계산!$D$21,자동계산!$B$21),IF($B53="언어와 매체",자동계산!$E$21,자동계산!$C$21),0)))</f>
        <v/>
      </c>
      <c r="BP53" s="72">
        <f>IF($A53="","",IF(W53="",0,IF(W53=IF($B53="언어와 매체",자동계산!$D$22,자동계산!$B$22),IF($B53="언어와 매체",자동계산!$E$22,자동계산!$C$22),0)))</f>
        <v/>
      </c>
      <c r="BQ53" s="72">
        <f>IF($A53="","",IF(X53="",0,IF(X53=IF($B53="언어와 매체",자동계산!$D$23,자동계산!$B$23),IF($B53="언어와 매체",자동계산!$E$23,자동계산!$C$23),0)))</f>
        <v/>
      </c>
      <c r="BR53" s="72">
        <f>IF($A53="","",IF(Y53="",0,IF(Y53=IF($B53="언어와 매체",자동계산!$D$24,자동계산!$B$24),IF($B53="언어와 매체",자동계산!$E$24,자동계산!$C$24),0)))</f>
        <v/>
      </c>
      <c r="BS53" s="72">
        <f>IF($A53="","",IF(Z53="",0,IF(Z53=IF($B53="언어와 매체",자동계산!$D$25,자동계산!$B$25),IF($B53="언어와 매체",자동계산!$E$25,자동계산!$C$25),0)))</f>
        <v/>
      </c>
      <c r="BT53" s="72">
        <f>IF($A53="","",IF(AA53="",0,IF(AA53=IF($B53="언어와 매체",자동계산!$D$26,자동계산!$B$26),IF($B53="언어와 매체",자동계산!$E$26,자동계산!$C$26),0)))</f>
        <v/>
      </c>
      <c r="BU53" s="72">
        <f>IF($A53="","",IF(AB53="",0,IF(AB53=IF($B53="언어와 매체",자동계산!$D$27,자동계산!$B$27),IF($B53="언어와 매체",자동계산!$E$27,자동계산!$C$27),0)))</f>
        <v/>
      </c>
      <c r="BV53" s="72">
        <f>IF($A53="","",IF(AC53="",0,IF(AC53=IF($B53="언어와 매체",자동계산!$D$28,자동계산!$B$28),IF($B53="언어와 매체",자동계산!$E$28,자동계산!$C$28),0)))</f>
        <v/>
      </c>
      <c r="BW53" s="72">
        <f>IF($A53="","",IF(AD53="",0,IF(AD53=IF($B53="언어와 매체",자동계산!$D$29,자동계산!$B$29),IF($B53="언어와 매체",자동계산!$E$29,자동계산!$C$29),0)))</f>
        <v/>
      </c>
      <c r="BX53" s="72">
        <f>IF($A53="","",IF(AE53="",0,IF(AE53=IF($B53="언어와 매체",자동계산!$D$30,자동계산!$B$30),IF($B53="언어와 매체",자동계산!$E$30,자동계산!$C$30),0)))</f>
        <v/>
      </c>
      <c r="BY53" s="72">
        <f>IF($A53="","",IF(AF53="",0,IF(AF53=IF($B53="언어와 매체",자동계산!$D$31,자동계산!$B$31),IF($B53="언어와 매체",자동계산!$E$31,자동계산!$C$31),0)))</f>
        <v/>
      </c>
      <c r="BZ53" s="72">
        <f>IF($A53="","",IF(AG53="",0,IF(AG53=IF($B53="언어와 매체",자동계산!$D$32,자동계산!$B$32),IF($B53="언어와 매체",자동계산!$E$32,자동계산!$C$32),0)))</f>
        <v/>
      </c>
      <c r="CA53" s="72">
        <f>IF($A53="","",IF(AH53="",0,IF(AH53=IF($B53="언어와 매체",자동계산!$D$33,자동계산!$B$33),IF($B53="언어와 매체",자동계산!$E$33,자동계산!$C$33),0)))</f>
        <v/>
      </c>
      <c r="CB53" s="72">
        <f>IF($A53="","",IF(AI53="",0,IF(AI53=IF($B53="언어와 매체",자동계산!$D$34,자동계산!$B$34),IF($B53="언어와 매체",자동계산!$E$34,자동계산!$C$34),0)))</f>
        <v/>
      </c>
      <c r="CC53" s="72">
        <f>IF($A53="","",IF(AJ53="",0,IF(AJ53=IF($B53="언어와 매체",자동계산!$D$35,자동계산!$B$35),IF($B53="언어와 매체",자동계산!$E$35,자동계산!$C$35),0)))</f>
        <v/>
      </c>
      <c r="CD53" s="72">
        <f>IF($A53="","",IF(AK53="",0,IF(AK53=IF($B53="언어와 매체",자동계산!$D$36,자동계산!$B$36),IF($B53="언어와 매체",자동계산!$E$36,자동계산!$C$36),0)))</f>
        <v/>
      </c>
      <c r="CE53" s="72">
        <f>IF($A53="","",IF(AL53="",0,IF(AL53=IF($B53="언어와 매체",자동계산!$D$37,자동계산!$B$37),IF($B53="언어와 매체",자동계산!$E$37,자동계산!$C$37),0)))</f>
        <v/>
      </c>
      <c r="CF53" s="72">
        <f>IF($A53="","",IF(AM53="",0,IF(AM53=IF($B53="언어와 매체",자동계산!$D$38,자동계산!$B$38),IF($B53="언어와 매체",자동계산!$E$38,자동계산!$C$38),0)))</f>
        <v/>
      </c>
      <c r="CG53" s="72">
        <f>IF($A53="","",IF(AN53="",0,IF(AN53=IF($B53="언어와 매체",자동계산!$D$39,자동계산!$B$39),IF($B53="언어와 매체",자동계산!$E$39,자동계산!$C$39),0)))</f>
        <v/>
      </c>
      <c r="CH53" s="72">
        <f>IF($A53="","",IF(AO53="",0,IF(AO53=IF($B53="언어와 매체",자동계산!$D$40,자동계산!$B$40),IF($B53="언어와 매체",자동계산!$E$40,자동계산!$C$40),0)))</f>
        <v/>
      </c>
      <c r="CI53" s="72">
        <f>IF($A53="","",IF(AP53="",0,IF(AP53=IF($B53="언어와 매체",자동계산!$D$41,자동계산!$B$41),IF($B53="언어와 매체",자동계산!$E$41,자동계산!$C$41),0)))</f>
        <v/>
      </c>
      <c r="CJ53" s="72">
        <f>IF($A53="","",IF(AQ53="",0,IF(AQ53=IF($B53="언어와 매체",자동계산!$D$42,자동계산!$B$42),IF($B53="언어와 매체",자동계산!$E$42,자동계산!$C$42),0)))</f>
        <v/>
      </c>
      <c r="CK53" s="72">
        <f>IF($A53="","",IF(AR53="",0,IF(AR53=IF($B53="언어와 매체",자동계산!$D$43,자동계산!$B$43),IF($B53="언어와 매체",자동계산!$E$43,자동계산!$C$43),0)))</f>
        <v/>
      </c>
      <c r="CL53" s="72">
        <f>IF($A53="","",IF(AS53="",0,IF(AS53=IF($B53="언어와 매체",자동계산!$D$44,자동계산!$B$44),IF($B53="언어와 매체",자동계산!$E$44,자동계산!$C$44),0)))</f>
        <v/>
      </c>
      <c r="CM53" s="72">
        <f>IF($A53="","",IF(AT53="",0,IF(AT53=IF($B53="언어와 매체",자동계산!$D$45,자동계산!$B$45),IF($B53="언어와 매체",자동계산!$E$45,자동계산!$C$45),0)))</f>
        <v/>
      </c>
      <c r="CN53" s="72">
        <f>IF($A53="","",IF(AU53="",0,IF(AU53=IF($B53="언어와 매체",자동계산!$D$46,자동계산!$B$46),IF($B53="언어와 매체",자동계산!$E$46,자동계산!$C$46),0)))</f>
        <v/>
      </c>
      <c r="CO53" s="72">
        <f>IF($A53="","",IF(AV53="",0,IF(AV53=IF($B53="언어와 매체",자동계산!$D$47,자동계산!$B$47),IF($B53="언어와 매체",자동계산!$E$47,자동계산!$C$47),0)))</f>
        <v/>
      </c>
      <c r="CP53" s="72">
        <f>IF($A53="","",IF(AW53="",0,IF(AW53=IF($B53="언어와 매체",자동계산!$D$48,자동계산!$B$48),IF($B53="언어와 매체",자동계산!$E$48,자동계산!$C$48),0)))</f>
        <v/>
      </c>
    </row>
    <row r="54">
      <c r="A54" s="70">
        <f>IF(답안입력!A54="","",답안입력!A54)</f>
        <v/>
      </c>
      <c r="B54" s="70">
        <f>IF($A54="","",답안입력!C54)</f>
        <v/>
      </c>
      <c r="C54" s="71">
        <f>IF($A54="","",SUM(AX54:CP54))</f>
        <v/>
      </c>
      <c r="D54" s="70">
        <f>IF($A54="","",IF($C54&gt;=IF($B54="언어와 매체",회차설정!$B$9,회차설정!$B$8),"1등급",IF($C54&gt;=IF($B54="언어와 매체",회차설정!$C$9,회차설정!$C$8),"2등급",IF($C54&gt;=IF($B54="언어와 매체",회차설정!$D$9,회차설정!$D$8),"3등급",IF($C54&gt;=IF($B54="언어와 매체",회차설정!$E$9,회차설정!$E$8),"4등급","등급 외")))))</f>
        <v/>
      </c>
      <c r="E54" s="72">
        <f>IF($A54="","",IF(LEN(답안입력!$D54)&gt;=1,VALUE(MID(답안입력!$D54,1,1)),IF(답안입력!E54="","",답안입력!E54)))</f>
        <v/>
      </c>
      <c r="F54" s="72">
        <f>IF($A54="","",IF(LEN(답안입력!$D54)&gt;=2,VALUE(MID(답안입력!$D54,2,1)),IF(답안입력!F54="","",답안입력!F54)))</f>
        <v/>
      </c>
      <c r="G54" s="72">
        <f>IF($A54="","",IF(LEN(답안입력!$D54)&gt;=3,VALUE(MID(답안입력!$D54,3,1)),IF(답안입력!G54="","",답안입력!G54)))</f>
        <v/>
      </c>
      <c r="H54" s="72">
        <f>IF($A54="","",IF(LEN(답안입력!$D54)&gt;=4,VALUE(MID(답안입력!$D54,4,1)),IF(답안입력!H54="","",답안입력!H54)))</f>
        <v/>
      </c>
      <c r="I54" s="72">
        <f>IF($A54="","",IF(LEN(답안입력!$D54)&gt;=5,VALUE(MID(답안입력!$D54,5,1)),IF(답안입력!I54="","",답안입력!I54)))</f>
        <v/>
      </c>
      <c r="J54" s="72">
        <f>IF($A54="","",IF(LEN(답안입력!$D54)&gt;=6,VALUE(MID(답안입력!$D54,6,1)),IF(답안입력!J54="","",답안입력!J54)))</f>
        <v/>
      </c>
      <c r="K54" s="72">
        <f>IF($A54="","",IF(LEN(답안입력!$D54)&gt;=7,VALUE(MID(답안입력!$D54,7,1)),IF(답안입력!K54="","",답안입력!K54)))</f>
        <v/>
      </c>
      <c r="L54" s="72">
        <f>IF($A54="","",IF(LEN(답안입력!$D54)&gt;=8,VALUE(MID(답안입력!$D54,8,1)),IF(답안입력!L54="","",답안입력!L54)))</f>
        <v/>
      </c>
      <c r="M54" s="72">
        <f>IF($A54="","",IF(LEN(답안입력!$D54)&gt;=9,VALUE(MID(답안입력!$D54,9,1)),IF(답안입력!M54="","",답안입력!M54)))</f>
        <v/>
      </c>
      <c r="N54" s="72">
        <f>IF($A54="","",IF(LEN(답안입력!$D54)&gt;=10,VALUE(MID(답안입력!$D54,10,1)),IF(답안입력!N54="","",답안입력!N54)))</f>
        <v/>
      </c>
      <c r="O54" s="72">
        <f>IF($A54="","",IF(LEN(답안입력!$D54)&gt;=11,VALUE(MID(답안입력!$D54,11,1)),IF(답안입력!O54="","",답안입력!O54)))</f>
        <v/>
      </c>
      <c r="P54" s="72">
        <f>IF($A54="","",IF(LEN(답안입력!$D54)&gt;=12,VALUE(MID(답안입력!$D54,12,1)),IF(답안입력!P54="","",답안입력!P54)))</f>
        <v/>
      </c>
      <c r="Q54" s="72">
        <f>IF($A54="","",IF(LEN(답안입력!$D54)&gt;=13,VALUE(MID(답안입력!$D54,13,1)),IF(답안입력!Q54="","",답안입력!Q54)))</f>
        <v/>
      </c>
      <c r="R54" s="72">
        <f>IF($A54="","",IF(LEN(답안입력!$D54)&gt;=14,VALUE(MID(답안입력!$D54,14,1)),IF(답안입력!R54="","",답안입력!R54)))</f>
        <v/>
      </c>
      <c r="S54" s="72">
        <f>IF($A54="","",IF(LEN(답안입력!$D54)&gt;=15,VALUE(MID(답안입력!$D54,15,1)),IF(답안입력!S54="","",답안입력!S54)))</f>
        <v/>
      </c>
      <c r="T54" s="72">
        <f>IF($A54="","",IF(LEN(답안입력!$D54)&gt;=16,VALUE(MID(답안입력!$D54,16,1)),IF(답안입력!T54="","",답안입력!T54)))</f>
        <v/>
      </c>
      <c r="U54" s="72">
        <f>IF($A54="","",IF(LEN(답안입력!$D54)&gt;=17,VALUE(MID(답안입력!$D54,17,1)),IF(답안입력!U54="","",답안입력!U54)))</f>
        <v/>
      </c>
      <c r="V54" s="72">
        <f>IF($A54="","",IF(LEN(답안입력!$D54)&gt;=18,VALUE(MID(답안입력!$D54,18,1)),IF(답안입력!V54="","",답안입력!V54)))</f>
        <v/>
      </c>
      <c r="W54" s="72">
        <f>IF($A54="","",IF(LEN(답안입력!$D54)&gt;=19,VALUE(MID(답안입력!$D54,19,1)),IF(답안입력!W54="","",답안입력!W54)))</f>
        <v/>
      </c>
      <c r="X54" s="72">
        <f>IF($A54="","",IF(LEN(답안입력!$D54)&gt;=20,VALUE(MID(답안입력!$D54,20,1)),IF(답안입력!X54="","",답안입력!X54)))</f>
        <v/>
      </c>
      <c r="Y54" s="72">
        <f>IF($A54="","",IF(LEN(답안입력!$D54)&gt;=21,VALUE(MID(답안입력!$D54,21,1)),IF(답안입력!Y54="","",답안입력!Y54)))</f>
        <v/>
      </c>
      <c r="Z54" s="72">
        <f>IF($A54="","",IF(LEN(답안입력!$D54)&gt;=22,VALUE(MID(답안입력!$D54,22,1)),IF(답안입력!Z54="","",답안입력!Z54)))</f>
        <v/>
      </c>
      <c r="AA54" s="72">
        <f>IF($A54="","",IF(LEN(답안입력!$D54)&gt;=23,VALUE(MID(답안입력!$D54,23,1)),IF(답안입력!AA54="","",답안입력!AA54)))</f>
        <v/>
      </c>
      <c r="AB54" s="72">
        <f>IF($A54="","",IF(LEN(답안입력!$D54)&gt;=24,VALUE(MID(답안입력!$D54,24,1)),IF(답안입력!AB54="","",답안입력!AB54)))</f>
        <v/>
      </c>
      <c r="AC54" s="72">
        <f>IF($A54="","",IF(LEN(답안입력!$D54)&gt;=25,VALUE(MID(답안입력!$D54,25,1)),IF(답안입력!AC54="","",답안입력!AC54)))</f>
        <v/>
      </c>
      <c r="AD54" s="72">
        <f>IF($A54="","",IF(LEN(답안입력!$D54)&gt;=26,VALUE(MID(답안입력!$D54,26,1)),IF(답안입력!AD54="","",답안입력!AD54)))</f>
        <v/>
      </c>
      <c r="AE54" s="72">
        <f>IF($A54="","",IF(LEN(답안입력!$D54)&gt;=27,VALUE(MID(답안입력!$D54,27,1)),IF(답안입력!AE54="","",답안입력!AE54)))</f>
        <v/>
      </c>
      <c r="AF54" s="72">
        <f>IF($A54="","",IF(LEN(답안입력!$D54)&gt;=28,VALUE(MID(답안입력!$D54,28,1)),IF(답안입력!AF54="","",답안입력!AF54)))</f>
        <v/>
      </c>
      <c r="AG54" s="72">
        <f>IF($A54="","",IF(LEN(답안입력!$D54)&gt;=29,VALUE(MID(답안입력!$D54,29,1)),IF(답안입력!AG54="","",답안입력!AG54)))</f>
        <v/>
      </c>
      <c r="AH54" s="72">
        <f>IF($A54="","",IF(LEN(답안입력!$D54)&gt;=30,VALUE(MID(답안입력!$D54,30,1)),IF(답안입력!AH54="","",답안입력!AH54)))</f>
        <v/>
      </c>
      <c r="AI54" s="72">
        <f>IF($A54="","",IF(LEN(답안입력!$D54)&gt;=31,VALUE(MID(답안입력!$D54,31,1)),IF(답안입력!AI54="","",답안입력!AI54)))</f>
        <v/>
      </c>
      <c r="AJ54" s="72">
        <f>IF($A54="","",IF(LEN(답안입력!$D54)&gt;=32,VALUE(MID(답안입력!$D54,32,1)),IF(답안입력!AJ54="","",답안입력!AJ54)))</f>
        <v/>
      </c>
      <c r="AK54" s="72">
        <f>IF($A54="","",IF(LEN(답안입력!$D54)&gt;=33,VALUE(MID(답안입력!$D54,33,1)),IF(답안입력!AK54="","",답안입력!AK54)))</f>
        <v/>
      </c>
      <c r="AL54" s="72">
        <f>IF($A54="","",IF(LEN(답안입력!$D54)&gt;=34,VALUE(MID(답안입력!$D54,34,1)),IF(답안입력!AL54="","",답안입력!AL54)))</f>
        <v/>
      </c>
      <c r="AM54" s="72">
        <f>IF($A54="","",IF(LEN(답안입력!$D54)&gt;=35,VALUE(MID(답안입력!$D54,35,1)),IF(답안입력!AM54="","",답안입력!AM54)))</f>
        <v/>
      </c>
      <c r="AN54" s="72">
        <f>IF($A54="","",IF(LEN(답안입력!$D54)&gt;=36,VALUE(MID(답안입력!$D54,36,1)),IF(답안입력!AN54="","",답안입력!AN54)))</f>
        <v/>
      </c>
      <c r="AO54" s="72">
        <f>IF($A54="","",IF(LEN(답안입력!$D54)&gt;=37,VALUE(MID(답안입력!$D54,37,1)),IF(답안입력!AO54="","",답안입력!AO54)))</f>
        <v/>
      </c>
      <c r="AP54" s="72">
        <f>IF($A54="","",IF(LEN(답안입력!$D54)&gt;=38,VALUE(MID(답안입력!$D54,38,1)),IF(답안입력!AP54="","",답안입력!AP54)))</f>
        <v/>
      </c>
      <c r="AQ54" s="72">
        <f>IF($A54="","",IF(LEN(답안입력!$D54)&gt;=39,VALUE(MID(답안입력!$D54,39,1)),IF(답안입력!AQ54="","",답안입력!AQ54)))</f>
        <v/>
      </c>
      <c r="AR54" s="72">
        <f>IF($A54="","",IF(LEN(답안입력!$D54)&gt;=40,VALUE(MID(답안입력!$D54,40,1)),IF(답안입력!AR54="","",답안입력!AR54)))</f>
        <v/>
      </c>
      <c r="AS54" s="72">
        <f>IF($A54="","",IF(LEN(답안입력!$D54)&gt;=41,VALUE(MID(답안입력!$D54,41,1)),IF(답안입력!AS54="","",답안입력!AS54)))</f>
        <v/>
      </c>
      <c r="AT54" s="72">
        <f>IF($A54="","",IF(LEN(답안입력!$D54)&gt;=42,VALUE(MID(답안입력!$D54,42,1)),IF(답안입력!AT54="","",답안입력!AT54)))</f>
        <v/>
      </c>
      <c r="AU54" s="72">
        <f>IF($A54="","",IF(LEN(답안입력!$D54)&gt;=43,VALUE(MID(답안입력!$D54,43,1)),IF(답안입력!AU54="","",답안입력!AU54)))</f>
        <v/>
      </c>
      <c r="AV54" s="72">
        <f>IF($A54="","",IF(LEN(답안입력!$D54)&gt;=44,VALUE(MID(답안입력!$D54,44,1)),IF(답안입력!AV54="","",답안입력!AV54)))</f>
        <v/>
      </c>
      <c r="AW54" s="72">
        <f>IF($A54="","",IF(LEN(답안입력!$D54)&gt;=45,VALUE(MID(답안입력!$D54,45,1)),IF(답안입력!AW54="","",답안입력!AW54)))</f>
        <v/>
      </c>
      <c r="AX54" s="72">
        <f>IF($A54="","",IF(E54="",0,IF(E54=IF($B54="언어와 매체",자동계산!$D$4,자동계산!$B$4),IF($B54="언어와 매체",자동계산!$E$4,자동계산!$C$4),0)))</f>
        <v/>
      </c>
      <c r="AY54" s="72">
        <f>IF($A54="","",IF(F54="",0,IF(F54=IF($B54="언어와 매체",자동계산!$D$5,자동계산!$B$5),IF($B54="언어와 매체",자동계산!$E$5,자동계산!$C$5),0)))</f>
        <v/>
      </c>
      <c r="AZ54" s="72">
        <f>IF($A54="","",IF(G54="",0,IF(G54=IF($B54="언어와 매체",자동계산!$D$6,자동계산!$B$6),IF($B54="언어와 매체",자동계산!$E$6,자동계산!$C$6),0)))</f>
        <v/>
      </c>
      <c r="BA54" s="72">
        <f>IF($A54="","",IF(H54="",0,IF(H54=IF($B54="언어와 매체",자동계산!$D$7,자동계산!$B$7),IF($B54="언어와 매체",자동계산!$E$7,자동계산!$C$7),0)))</f>
        <v/>
      </c>
      <c r="BB54" s="72">
        <f>IF($A54="","",IF(I54="",0,IF(I54=IF($B54="언어와 매체",자동계산!$D$8,자동계산!$B$8),IF($B54="언어와 매체",자동계산!$E$8,자동계산!$C$8),0)))</f>
        <v/>
      </c>
      <c r="BC54" s="72">
        <f>IF($A54="","",IF(J54="",0,IF(J54=IF($B54="언어와 매체",자동계산!$D$9,자동계산!$B$9),IF($B54="언어와 매체",자동계산!$E$9,자동계산!$C$9),0)))</f>
        <v/>
      </c>
      <c r="BD54" s="72">
        <f>IF($A54="","",IF(K54="",0,IF(K54=IF($B54="언어와 매체",자동계산!$D$10,자동계산!$B$10),IF($B54="언어와 매체",자동계산!$E$10,자동계산!$C$10),0)))</f>
        <v/>
      </c>
      <c r="BE54" s="72">
        <f>IF($A54="","",IF(L54="",0,IF(L54=IF($B54="언어와 매체",자동계산!$D$11,자동계산!$B$11),IF($B54="언어와 매체",자동계산!$E$11,자동계산!$C$11),0)))</f>
        <v/>
      </c>
      <c r="BF54" s="72">
        <f>IF($A54="","",IF(M54="",0,IF(M54=IF($B54="언어와 매체",자동계산!$D$12,자동계산!$B$12),IF($B54="언어와 매체",자동계산!$E$12,자동계산!$C$12),0)))</f>
        <v/>
      </c>
      <c r="BG54" s="72">
        <f>IF($A54="","",IF(N54="",0,IF(N54=IF($B54="언어와 매체",자동계산!$D$13,자동계산!$B$13),IF($B54="언어와 매체",자동계산!$E$13,자동계산!$C$13),0)))</f>
        <v/>
      </c>
      <c r="BH54" s="72">
        <f>IF($A54="","",IF(O54="",0,IF(O54=IF($B54="언어와 매체",자동계산!$D$14,자동계산!$B$14),IF($B54="언어와 매체",자동계산!$E$14,자동계산!$C$14),0)))</f>
        <v/>
      </c>
      <c r="BI54" s="72">
        <f>IF($A54="","",IF(P54="",0,IF(P54=IF($B54="언어와 매체",자동계산!$D$15,자동계산!$B$15),IF($B54="언어와 매체",자동계산!$E$15,자동계산!$C$15),0)))</f>
        <v/>
      </c>
      <c r="BJ54" s="72">
        <f>IF($A54="","",IF(Q54="",0,IF(Q54=IF($B54="언어와 매체",자동계산!$D$16,자동계산!$B$16),IF($B54="언어와 매체",자동계산!$E$16,자동계산!$C$16),0)))</f>
        <v/>
      </c>
      <c r="BK54" s="72">
        <f>IF($A54="","",IF(R54="",0,IF(R54=IF($B54="언어와 매체",자동계산!$D$17,자동계산!$B$17),IF($B54="언어와 매체",자동계산!$E$17,자동계산!$C$17),0)))</f>
        <v/>
      </c>
      <c r="BL54" s="72">
        <f>IF($A54="","",IF(S54="",0,IF(S54=IF($B54="언어와 매체",자동계산!$D$18,자동계산!$B$18),IF($B54="언어와 매체",자동계산!$E$18,자동계산!$C$18),0)))</f>
        <v/>
      </c>
      <c r="BM54" s="72">
        <f>IF($A54="","",IF(T54="",0,IF(T54=IF($B54="언어와 매체",자동계산!$D$19,자동계산!$B$19),IF($B54="언어와 매체",자동계산!$E$19,자동계산!$C$19),0)))</f>
        <v/>
      </c>
      <c r="BN54" s="72">
        <f>IF($A54="","",IF(U54="",0,IF(U54=IF($B54="언어와 매체",자동계산!$D$20,자동계산!$B$20),IF($B54="언어와 매체",자동계산!$E$20,자동계산!$C$20),0)))</f>
        <v/>
      </c>
      <c r="BO54" s="72">
        <f>IF($A54="","",IF(V54="",0,IF(V54=IF($B54="언어와 매체",자동계산!$D$21,자동계산!$B$21),IF($B54="언어와 매체",자동계산!$E$21,자동계산!$C$21),0)))</f>
        <v/>
      </c>
      <c r="BP54" s="72">
        <f>IF($A54="","",IF(W54="",0,IF(W54=IF($B54="언어와 매체",자동계산!$D$22,자동계산!$B$22),IF($B54="언어와 매체",자동계산!$E$22,자동계산!$C$22),0)))</f>
        <v/>
      </c>
      <c r="BQ54" s="72">
        <f>IF($A54="","",IF(X54="",0,IF(X54=IF($B54="언어와 매체",자동계산!$D$23,자동계산!$B$23),IF($B54="언어와 매체",자동계산!$E$23,자동계산!$C$23),0)))</f>
        <v/>
      </c>
      <c r="BR54" s="72">
        <f>IF($A54="","",IF(Y54="",0,IF(Y54=IF($B54="언어와 매체",자동계산!$D$24,자동계산!$B$24),IF($B54="언어와 매체",자동계산!$E$24,자동계산!$C$24),0)))</f>
        <v/>
      </c>
      <c r="BS54" s="72">
        <f>IF($A54="","",IF(Z54="",0,IF(Z54=IF($B54="언어와 매체",자동계산!$D$25,자동계산!$B$25),IF($B54="언어와 매체",자동계산!$E$25,자동계산!$C$25),0)))</f>
        <v/>
      </c>
      <c r="BT54" s="72">
        <f>IF($A54="","",IF(AA54="",0,IF(AA54=IF($B54="언어와 매체",자동계산!$D$26,자동계산!$B$26),IF($B54="언어와 매체",자동계산!$E$26,자동계산!$C$26),0)))</f>
        <v/>
      </c>
      <c r="BU54" s="72">
        <f>IF($A54="","",IF(AB54="",0,IF(AB54=IF($B54="언어와 매체",자동계산!$D$27,자동계산!$B$27),IF($B54="언어와 매체",자동계산!$E$27,자동계산!$C$27),0)))</f>
        <v/>
      </c>
      <c r="BV54" s="72">
        <f>IF($A54="","",IF(AC54="",0,IF(AC54=IF($B54="언어와 매체",자동계산!$D$28,자동계산!$B$28),IF($B54="언어와 매체",자동계산!$E$28,자동계산!$C$28),0)))</f>
        <v/>
      </c>
      <c r="BW54" s="72">
        <f>IF($A54="","",IF(AD54="",0,IF(AD54=IF($B54="언어와 매체",자동계산!$D$29,자동계산!$B$29),IF($B54="언어와 매체",자동계산!$E$29,자동계산!$C$29),0)))</f>
        <v/>
      </c>
      <c r="BX54" s="72">
        <f>IF($A54="","",IF(AE54="",0,IF(AE54=IF($B54="언어와 매체",자동계산!$D$30,자동계산!$B$30),IF($B54="언어와 매체",자동계산!$E$30,자동계산!$C$30),0)))</f>
        <v/>
      </c>
      <c r="BY54" s="72">
        <f>IF($A54="","",IF(AF54="",0,IF(AF54=IF($B54="언어와 매체",자동계산!$D$31,자동계산!$B$31),IF($B54="언어와 매체",자동계산!$E$31,자동계산!$C$31),0)))</f>
        <v/>
      </c>
      <c r="BZ54" s="72">
        <f>IF($A54="","",IF(AG54="",0,IF(AG54=IF($B54="언어와 매체",자동계산!$D$32,자동계산!$B$32),IF($B54="언어와 매체",자동계산!$E$32,자동계산!$C$32),0)))</f>
        <v/>
      </c>
      <c r="CA54" s="72">
        <f>IF($A54="","",IF(AH54="",0,IF(AH54=IF($B54="언어와 매체",자동계산!$D$33,자동계산!$B$33),IF($B54="언어와 매체",자동계산!$E$33,자동계산!$C$33),0)))</f>
        <v/>
      </c>
      <c r="CB54" s="72">
        <f>IF($A54="","",IF(AI54="",0,IF(AI54=IF($B54="언어와 매체",자동계산!$D$34,자동계산!$B$34),IF($B54="언어와 매체",자동계산!$E$34,자동계산!$C$34),0)))</f>
        <v/>
      </c>
      <c r="CC54" s="72">
        <f>IF($A54="","",IF(AJ54="",0,IF(AJ54=IF($B54="언어와 매체",자동계산!$D$35,자동계산!$B$35),IF($B54="언어와 매체",자동계산!$E$35,자동계산!$C$35),0)))</f>
        <v/>
      </c>
      <c r="CD54" s="72">
        <f>IF($A54="","",IF(AK54="",0,IF(AK54=IF($B54="언어와 매체",자동계산!$D$36,자동계산!$B$36),IF($B54="언어와 매체",자동계산!$E$36,자동계산!$C$36),0)))</f>
        <v/>
      </c>
      <c r="CE54" s="72">
        <f>IF($A54="","",IF(AL54="",0,IF(AL54=IF($B54="언어와 매체",자동계산!$D$37,자동계산!$B$37),IF($B54="언어와 매체",자동계산!$E$37,자동계산!$C$37),0)))</f>
        <v/>
      </c>
      <c r="CF54" s="72">
        <f>IF($A54="","",IF(AM54="",0,IF(AM54=IF($B54="언어와 매체",자동계산!$D$38,자동계산!$B$38),IF($B54="언어와 매체",자동계산!$E$38,자동계산!$C$38),0)))</f>
        <v/>
      </c>
      <c r="CG54" s="72">
        <f>IF($A54="","",IF(AN54="",0,IF(AN54=IF($B54="언어와 매체",자동계산!$D$39,자동계산!$B$39),IF($B54="언어와 매체",자동계산!$E$39,자동계산!$C$39),0)))</f>
        <v/>
      </c>
      <c r="CH54" s="72">
        <f>IF($A54="","",IF(AO54="",0,IF(AO54=IF($B54="언어와 매체",자동계산!$D$40,자동계산!$B$40),IF($B54="언어와 매체",자동계산!$E$40,자동계산!$C$40),0)))</f>
        <v/>
      </c>
      <c r="CI54" s="72">
        <f>IF($A54="","",IF(AP54="",0,IF(AP54=IF($B54="언어와 매체",자동계산!$D$41,자동계산!$B$41),IF($B54="언어와 매체",자동계산!$E$41,자동계산!$C$41),0)))</f>
        <v/>
      </c>
      <c r="CJ54" s="72">
        <f>IF($A54="","",IF(AQ54="",0,IF(AQ54=IF($B54="언어와 매체",자동계산!$D$42,자동계산!$B$42),IF($B54="언어와 매체",자동계산!$E$42,자동계산!$C$42),0)))</f>
        <v/>
      </c>
      <c r="CK54" s="72">
        <f>IF($A54="","",IF(AR54="",0,IF(AR54=IF($B54="언어와 매체",자동계산!$D$43,자동계산!$B$43),IF($B54="언어와 매체",자동계산!$E$43,자동계산!$C$43),0)))</f>
        <v/>
      </c>
      <c r="CL54" s="72">
        <f>IF($A54="","",IF(AS54="",0,IF(AS54=IF($B54="언어와 매체",자동계산!$D$44,자동계산!$B$44),IF($B54="언어와 매체",자동계산!$E$44,자동계산!$C$44),0)))</f>
        <v/>
      </c>
      <c r="CM54" s="72">
        <f>IF($A54="","",IF(AT54="",0,IF(AT54=IF($B54="언어와 매체",자동계산!$D$45,자동계산!$B$45),IF($B54="언어와 매체",자동계산!$E$45,자동계산!$C$45),0)))</f>
        <v/>
      </c>
      <c r="CN54" s="72">
        <f>IF($A54="","",IF(AU54="",0,IF(AU54=IF($B54="언어와 매체",자동계산!$D$46,자동계산!$B$46),IF($B54="언어와 매체",자동계산!$E$46,자동계산!$C$46),0)))</f>
        <v/>
      </c>
      <c r="CO54" s="72">
        <f>IF($A54="","",IF(AV54="",0,IF(AV54=IF($B54="언어와 매체",자동계산!$D$47,자동계산!$B$47),IF($B54="언어와 매체",자동계산!$E$47,자동계산!$C$47),0)))</f>
        <v/>
      </c>
      <c r="CP54" s="72">
        <f>IF($A54="","",IF(AW54="",0,IF(AW54=IF($B54="언어와 매체",자동계산!$D$48,자동계산!$B$48),IF($B54="언어와 매체",자동계산!$E$48,자동계산!$C$48),0)))</f>
        <v/>
      </c>
    </row>
    <row r="55">
      <c r="A55" s="70">
        <f>IF(답안입력!A55="","",답안입력!A55)</f>
        <v/>
      </c>
      <c r="B55" s="70">
        <f>IF($A55="","",답안입력!C55)</f>
        <v/>
      </c>
      <c r="C55" s="71">
        <f>IF($A55="","",SUM(AX55:CP55))</f>
        <v/>
      </c>
      <c r="D55" s="70">
        <f>IF($A55="","",IF($C55&gt;=IF($B55="언어와 매체",회차설정!$B$9,회차설정!$B$8),"1등급",IF($C55&gt;=IF($B55="언어와 매체",회차설정!$C$9,회차설정!$C$8),"2등급",IF($C55&gt;=IF($B55="언어와 매체",회차설정!$D$9,회차설정!$D$8),"3등급",IF($C55&gt;=IF($B55="언어와 매체",회차설정!$E$9,회차설정!$E$8),"4등급","등급 외")))))</f>
        <v/>
      </c>
      <c r="E55" s="72">
        <f>IF($A55="","",IF(LEN(답안입력!$D55)&gt;=1,VALUE(MID(답안입력!$D55,1,1)),IF(답안입력!E55="","",답안입력!E55)))</f>
        <v/>
      </c>
      <c r="F55" s="72">
        <f>IF($A55="","",IF(LEN(답안입력!$D55)&gt;=2,VALUE(MID(답안입력!$D55,2,1)),IF(답안입력!F55="","",답안입력!F55)))</f>
        <v/>
      </c>
      <c r="G55" s="72">
        <f>IF($A55="","",IF(LEN(답안입력!$D55)&gt;=3,VALUE(MID(답안입력!$D55,3,1)),IF(답안입력!G55="","",답안입력!G55)))</f>
        <v/>
      </c>
      <c r="H55" s="72">
        <f>IF($A55="","",IF(LEN(답안입력!$D55)&gt;=4,VALUE(MID(답안입력!$D55,4,1)),IF(답안입력!H55="","",답안입력!H55)))</f>
        <v/>
      </c>
      <c r="I55" s="72">
        <f>IF($A55="","",IF(LEN(답안입력!$D55)&gt;=5,VALUE(MID(답안입력!$D55,5,1)),IF(답안입력!I55="","",답안입력!I55)))</f>
        <v/>
      </c>
      <c r="J55" s="72">
        <f>IF($A55="","",IF(LEN(답안입력!$D55)&gt;=6,VALUE(MID(답안입력!$D55,6,1)),IF(답안입력!J55="","",답안입력!J55)))</f>
        <v/>
      </c>
      <c r="K55" s="72">
        <f>IF($A55="","",IF(LEN(답안입력!$D55)&gt;=7,VALUE(MID(답안입력!$D55,7,1)),IF(답안입력!K55="","",답안입력!K55)))</f>
        <v/>
      </c>
      <c r="L55" s="72">
        <f>IF($A55="","",IF(LEN(답안입력!$D55)&gt;=8,VALUE(MID(답안입력!$D55,8,1)),IF(답안입력!L55="","",답안입력!L55)))</f>
        <v/>
      </c>
      <c r="M55" s="72">
        <f>IF($A55="","",IF(LEN(답안입력!$D55)&gt;=9,VALUE(MID(답안입력!$D55,9,1)),IF(답안입력!M55="","",답안입력!M55)))</f>
        <v/>
      </c>
      <c r="N55" s="72">
        <f>IF($A55="","",IF(LEN(답안입력!$D55)&gt;=10,VALUE(MID(답안입력!$D55,10,1)),IF(답안입력!N55="","",답안입력!N55)))</f>
        <v/>
      </c>
      <c r="O55" s="72">
        <f>IF($A55="","",IF(LEN(답안입력!$D55)&gt;=11,VALUE(MID(답안입력!$D55,11,1)),IF(답안입력!O55="","",답안입력!O55)))</f>
        <v/>
      </c>
      <c r="P55" s="72">
        <f>IF($A55="","",IF(LEN(답안입력!$D55)&gt;=12,VALUE(MID(답안입력!$D55,12,1)),IF(답안입력!P55="","",답안입력!P55)))</f>
        <v/>
      </c>
      <c r="Q55" s="72">
        <f>IF($A55="","",IF(LEN(답안입력!$D55)&gt;=13,VALUE(MID(답안입력!$D55,13,1)),IF(답안입력!Q55="","",답안입력!Q55)))</f>
        <v/>
      </c>
      <c r="R55" s="72">
        <f>IF($A55="","",IF(LEN(답안입력!$D55)&gt;=14,VALUE(MID(답안입력!$D55,14,1)),IF(답안입력!R55="","",답안입력!R55)))</f>
        <v/>
      </c>
      <c r="S55" s="72">
        <f>IF($A55="","",IF(LEN(답안입력!$D55)&gt;=15,VALUE(MID(답안입력!$D55,15,1)),IF(답안입력!S55="","",답안입력!S55)))</f>
        <v/>
      </c>
      <c r="T55" s="72">
        <f>IF($A55="","",IF(LEN(답안입력!$D55)&gt;=16,VALUE(MID(답안입력!$D55,16,1)),IF(답안입력!T55="","",답안입력!T55)))</f>
        <v/>
      </c>
      <c r="U55" s="72">
        <f>IF($A55="","",IF(LEN(답안입력!$D55)&gt;=17,VALUE(MID(답안입력!$D55,17,1)),IF(답안입력!U55="","",답안입력!U55)))</f>
        <v/>
      </c>
      <c r="V55" s="72">
        <f>IF($A55="","",IF(LEN(답안입력!$D55)&gt;=18,VALUE(MID(답안입력!$D55,18,1)),IF(답안입력!V55="","",답안입력!V55)))</f>
        <v/>
      </c>
      <c r="W55" s="72">
        <f>IF($A55="","",IF(LEN(답안입력!$D55)&gt;=19,VALUE(MID(답안입력!$D55,19,1)),IF(답안입력!W55="","",답안입력!W55)))</f>
        <v/>
      </c>
      <c r="X55" s="72">
        <f>IF($A55="","",IF(LEN(답안입력!$D55)&gt;=20,VALUE(MID(답안입력!$D55,20,1)),IF(답안입력!X55="","",답안입력!X55)))</f>
        <v/>
      </c>
      <c r="Y55" s="72">
        <f>IF($A55="","",IF(LEN(답안입력!$D55)&gt;=21,VALUE(MID(답안입력!$D55,21,1)),IF(답안입력!Y55="","",답안입력!Y55)))</f>
        <v/>
      </c>
      <c r="Z55" s="72">
        <f>IF($A55="","",IF(LEN(답안입력!$D55)&gt;=22,VALUE(MID(답안입력!$D55,22,1)),IF(답안입력!Z55="","",답안입력!Z55)))</f>
        <v/>
      </c>
      <c r="AA55" s="72">
        <f>IF($A55="","",IF(LEN(답안입력!$D55)&gt;=23,VALUE(MID(답안입력!$D55,23,1)),IF(답안입력!AA55="","",답안입력!AA55)))</f>
        <v/>
      </c>
      <c r="AB55" s="72">
        <f>IF($A55="","",IF(LEN(답안입력!$D55)&gt;=24,VALUE(MID(답안입력!$D55,24,1)),IF(답안입력!AB55="","",답안입력!AB55)))</f>
        <v/>
      </c>
      <c r="AC55" s="72">
        <f>IF($A55="","",IF(LEN(답안입력!$D55)&gt;=25,VALUE(MID(답안입력!$D55,25,1)),IF(답안입력!AC55="","",답안입력!AC55)))</f>
        <v/>
      </c>
      <c r="AD55" s="72">
        <f>IF($A55="","",IF(LEN(답안입력!$D55)&gt;=26,VALUE(MID(답안입력!$D55,26,1)),IF(답안입력!AD55="","",답안입력!AD55)))</f>
        <v/>
      </c>
      <c r="AE55" s="72">
        <f>IF($A55="","",IF(LEN(답안입력!$D55)&gt;=27,VALUE(MID(답안입력!$D55,27,1)),IF(답안입력!AE55="","",답안입력!AE55)))</f>
        <v/>
      </c>
      <c r="AF55" s="72">
        <f>IF($A55="","",IF(LEN(답안입력!$D55)&gt;=28,VALUE(MID(답안입력!$D55,28,1)),IF(답안입력!AF55="","",답안입력!AF55)))</f>
        <v/>
      </c>
      <c r="AG55" s="72">
        <f>IF($A55="","",IF(LEN(답안입력!$D55)&gt;=29,VALUE(MID(답안입력!$D55,29,1)),IF(답안입력!AG55="","",답안입력!AG55)))</f>
        <v/>
      </c>
      <c r="AH55" s="72">
        <f>IF($A55="","",IF(LEN(답안입력!$D55)&gt;=30,VALUE(MID(답안입력!$D55,30,1)),IF(답안입력!AH55="","",답안입력!AH55)))</f>
        <v/>
      </c>
      <c r="AI55" s="72">
        <f>IF($A55="","",IF(LEN(답안입력!$D55)&gt;=31,VALUE(MID(답안입력!$D55,31,1)),IF(답안입력!AI55="","",답안입력!AI55)))</f>
        <v/>
      </c>
      <c r="AJ55" s="72">
        <f>IF($A55="","",IF(LEN(답안입력!$D55)&gt;=32,VALUE(MID(답안입력!$D55,32,1)),IF(답안입력!AJ55="","",답안입력!AJ55)))</f>
        <v/>
      </c>
      <c r="AK55" s="72">
        <f>IF($A55="","",IF(LEN(답안입력!$D55)&gt;=33,VALUE(MID(답안입력!$D55,33,1)),IF(답안입력!AK55="","",답안입력!AK55)))</f>
        <v/>
      </c>
      <c r="AL55" s="72">
        <f>IF($A55="","",IF(LEN(답안입력!$D55)&gt;=34,VALUE(MID(답안입력!$D55,34,1)),IF(답안입력!AL55="","",답안입력!AL55)))</f>
        <v/>
      </c>
      <c r="AM55" s="72">
        <f>IF($A55="","",IF(LEN(답안입력!$D55)&gt;=35,VALUE(MID(답안입력!$D55,35,1)),IF(답안입력!AM55="","",답안입력!AM55)))</f>
        <v/>
      </c>
      <c r="AN55" s="72">
        <f>IF($A55="","",IF(LEN(답안입력!$D55)&gt;=36,VALUE(MID(답안입력!$D55,36,1)),IF(답안입력!AN55="","",답안입력!AN55)))</f>
        <v/>
      </c>
      <c r="AO55" s="72">
        <f>IF($A55="","",IF(LEN(답안입력!$D55)&gt;=37,VALUE(MID(답안입력!$D55,37,1)),IF(답안입력!AO55="","",답안입력!AO55)))</f>
        <v/>
      </c>
      <c r="AP55" s="72">
        <f>IF($A55="","",IF(LEN(답안입력!$D55)&gt;=38,VALUE(MID(답안입력!$D55,38,1)),IF(답안입력!AP55="","",답안입력!AP55)))</f>
        <v/>
      </c>
      <c r="AQ55" s="72">
        <f>IF($A55="","",IF(LEN(답안입력!$D55)&gt;=39,VALUE(MID(답안입력!$D55,39,1)),IF(답안입력!AQ55="","",답안입력!AQ55)))</f>
        <v/>
      </c>
      <c r="AR55" s="72">
        <f>IF($A55="","",IF(LEN(답안입력!$D55)&gt;=40,VALUE(MID(답안입력!$D55,40,1)),IF(답안입력!AR55="","",답안입력!AR55)))</f>
        <v/>
      </c>
      <c r="AS55" s="72">
        <f>IF($A55="","",IF(LEN(답안입력!$D55)&gt;=41,VALUE(MID(답안입력!$D55,41,1)),IF(답안입력!AS55="","",답안입력!AS55)))</f>
        <v/>
      </c>
      <c r="AT55" s="72">
        <f>IF($A55="","",IF(LEN(답안입력!$D55)&gt;=42,VALUE(MID(답안입력!$D55,42,1)),IF(답안입력!AT55="","",답안입력!AT55)))</f>
        <v/>
      </c>
      <c r="AU55" s="72">
        <f>IF($A55="","",IF(LEN(답안입력!$D55)&gt;=43,VALUE(MID(답안입력!$D55,43,1)),IF(답안입력!AU55="","",답안입력!AU55)))</f>
        <v/>
      </c>
      <c r="AV55" s="72">
        <f>IF($A55="","",IF(LEN(답안입력!$D55)&gt;=44,VALUE(MID(답안입력!$D55,44,1)),IF(답안입력!AV55="","",답안입력!AV55)))</f>
        <v/>
      </c>
      <c r="AW55" s="72">
        <f>IF($A55="","",IF(LEN(답안입력!$D55)&gt;=45,VALUE(MID(답안입력!$D55,45,1)),IF(답안입력!AW55="","",답안입력!AW55)))</f>
        <v/>
      </c>
      <c r="AX55" s="72">
        <f>IF($A55="","",IF(E55="",0,IF(E55=IF($B55="언어와 매체",자동계산!$D$4,자동계산!$B$4),IF($B55="언어와 매체",자동계산!$E$4,자동계산!$C$4),0)))</f>
        <v/>
      </c>
      <c r="AY55" s="72">
        <f>IF($A55="","",IF(F55="",0,IF(F55=IF($B55="언어와 매체",자동계산!$D$5,자동계산!$B$5),IF($B55="언어와 매체",자동계산!$E$5,자동계산!$C$5),0)))</f>
        <v/>
      </c>
      <c r="AZ55" s="72">
        <f>IF($A55="","",IF(G55="",0,IF(G55=IF($B55="언어와 매체",자동계산!$D$6,자동계산!$B$6),IF($B55="언어와 매체",자동계산!$E$6,자동계산!$C$6),0)))</f>
        <v/>
      </c>
      <c r="BA55" s="72">
        <f>IF($A55="","",IF(H55="",0,IF(H55=IF($B55="언어와 매체",자동계산!$D$7,자동계산!$B$7),IF($B55="언어와 매체",자동계산!$E$7,자동계산!$C$7),0)))</f>
        <v/>
      </c>
      <c r="BB55" s="72">
        <f>IF($A55="","",IF(I55="",0,IF(I55=IF($B55="언어와 매체",자동계산!$D$8,자동계산!$B$8),IF($B55="언어와 매체",자동계산!$E$8,자동계산!$C$8),0)))</f>
        <v/>
      </c>
      <c r="BC55" s="72">
        <f>IF($A55="","",IF(J55="",0,IF(J55=IF($B55="언어와 매체",자동계산!$D$9,자동계산!$B$9),IF($B55="언어와 매체",자동계산!$E$9,자동계산!$C$9),0)))</f>
        <v/>
      </c>
      <c r="BD55" s="72">
        <f>IF($A55="","",IF(K55="",0,IF(K55=IF($B55="언어와 매체",자동계산!$D$10,자동계산!$B$10),IF($B55="언어와 매체",자동계산!$E$10,자동계산!$C$10),0)))</f>
        <v/>
      </c>
      <c r="BE55" s="72">
        <f>IF($A55="","",IF(L55="",0,IF(L55=IF($B55="언어와 매체",자동계산!$D$11,자동계산!$B$11),IF($B55="언어와 매체",자동계산!$E$11,자동계산!$C$11),0)))</f>
        <v/>
      </c>
      <c r="BF55" s="72">
        <f>IF($A55="","",IF(M55="",0,IF(M55=IF($B55="언어와 매체",자동계산!$D$12,자동계산!$B$12),IF($B55="언어와 매체",자동계산!$E$12,자동계산!$C$12),0)))</f>
        <v/>
      </c>
      <c r="BG55" s="72">
        <f>IF($A55="","",IF(N55="",0,IF(N55=IF($B55="언어와 매체",자동계산!$D$13,자동계산!$B$13),IF($B55="언어와 매체",자동계산!$E$13,자동계산!$C$13),0)))</f>
        <v/>
      </c>
      <c r="BH55" s="72">
        <f>IF($A55="","",IF(O55="",0,IF(O55=IF($B55="언어와 매체",자동계산!$D$14,자동계산!$B$14),IF($B55="언어와 매체",자동계산!$E$14,자동계산!$C$14),0)))</f>
        <v/>
      </c>
      <c r="BI55" s="72">
        <f>IF($A55="","",IF(P55="",0,IF(P55=IF($B55="언어와 매체",자동계산!$D$15,자동계산!$B$15),IF($B55="언어와 매체",자동계산!$E$15,자동계산!$C$15),0)))</f>
        <v/>
      </c>
      <c r="BJ55" s="72">
        <f>IF($A55="","",IF(Q55="",0,IF(Q55=IF($B55="언어와 매체",자동계산!$D$16,자동계산!$B$16),IF($B55="언어와 매체",자동계산!$E$16,자동계산!$C$16),0)))</f>
        <v/>
      </c>
      <c r="BK55" s="72">
        <f>IF($A55="","",IF(R55="",0,IF(R55=IF($B55="언어와 매체",자동계산!$D$17,자동계산!$B$17),IF($B55="언어와 매체",자동계산!$E$17,자동계산!$C$17),0)))</f>
        <v/>
      </c>
      <c r="BL55" s="72">
        <f>IF($A55="","",IF(S55="",0,IF(S55=IF($B55="언어와 매체",자동계산!$D$18,자동계산!$B$18),IF($B55="언어와 매체",자동계산!$E$18,자동계산!$C$18),0)))</f>
        <v/>
      </c>
      <c r="BM55" s="72">
        <f>IF($A55="","",IF(T55="",0,IF(T55=IF($B55="언어와 매체",자동계산!$D$19,자동계산!$B$19),IF($B55="언어와 매체",자동계산!$E$19,자동계산!$C$19),0)))</f>
        <v/>
      </c>
      <c r="BN55" s="72">
        <f>IF($A55="","",IF(U55="",0,IF(U55=IF($B55="언어와 매체",자동계산!$D$20,자동계산!$B$20),IF($B55="언어와 매체",자동계산!$E$20,자동계산!$C$20),0)))</f>
        <v/>
      </c>
      <c r="BO55" s="72">
        <f>IF($A55="","",IF(V55="",0,IF(V55=IF($B55="언어와 매체",자동계산!$D$21,자동계산!$B$21),IF($B55="언어와 매체",자동계산!$E$21,자동계산!$C$21),0)))</f>
        <v/>
      </c>
      <c r="BP55" s="72">
        <f>IF($A55="","",IF(W55="",0,IF(W55=IF($B55="언어와 매체",자동계산!$D$22,자동계산!$B$22),IF($B55="언어와 매체",자동계산!$E$22,자동계산!$C$22),0)))</f>
        <v/>
      </c>
      <c r="BQ55" s="72">
        <f>IF($A55="","",IF(X55="",0,IF(X55=IF($B55="언어와 매체",자동계산!$D$23,자동계산!$B$23),IF($B55="언어와 매체",자동계산!$E$23,자동계산!$C$23),0)))</f>
        <v/>
      </c>
      <c r="BR55" s="72">
        <f>IF($A55="","",IF(Y55="",0,IF(Y55=IF($B55="언어와 매체",자동계산!$D$24,자동계산!$B$24),IF($B55="언어와 매체",자동계산!$E$24,자동계산!$C$24),0)))</f>
        <v/>
      </c>
      <c r="BS55" s="72">
        <f>IF($A55="","",IF(Z55="",0,IF(Z55=IF($B55="언어와 매체",자동계산!$D$25,자동계산!$B$25),IF($B55="언어와 매체",자동계산!$E$25,자동계산!$C$25),0)))</f>
        <v/>
      </c>
      <c r="BT55" s="72">
        <f>IF($A55="","",IF(AA55="",0,IF(AA55=IF($B55="언어와 매체",자동계산!$D$26,자동계산!$B$26),IF($B55="언어와 매체",자동계산!$E$26,자동계산!$C$26),0)))</f>
        <v/>
      </c>
      <c r="BU55" s="72">
        <f>IF($A55="","",IF(AB55="",0,IF(AB55=IF($B55="언어와 매체",자동계산!$D$27,자동계산!$B$27),IF($B55="언어와 매체",자동계산!$E$27,자동계산!$C$27),0)))</f>
        <v/>
      </c>
      <c r="BV55" s="72">
        <f>IF($A55="","",IF(AC55="",0,IF(AC55=IF($B55="언어와 매체",자동계산!$D$28,자동계산!$B$28),IF($B55="언어와 매체",자동계산!$E$28,자동계산!$C$28),0)))</f>
        <v/>
      </c>
      <c r="BW55" s="72">
        <f>IF($A55="","",IF(AD55="",0,IF(AD55=IF($B55="언어와 매체",자동계산!$D$29,자동계산!$B$29),IF($B55="언어와 매체",자동계산!$E$29,자동계산!$C$29),0)))</f>
        <v/>
      </c>
      <c r="BX55" s="72">
        <f>IF($A55="","",IF(AE55="",0,IF(AE55=IF($B55="언어와 매체",자동계산!$D$30,자동계산!$B$30),IF($B55="언어와 매체",자동계산!$E$30,자동계산!$C$30),0)))</f>
        <v/>
      </c>
      <c r="BY55" s="72">
        <f>IF($A55="","",IF(AF55="",0,IF(AF55=IF($B55="언어와 매체",자동계산!$D$31,자동계산!$B$31),IF($B55="언어와 매체",자동계산!$E$31,자동계산!$C$31),0)))</f>
        <v/>
      </c>
      <c r="BZ55" s="72">
        <f>IF($A55="","",IF(AG55="",0,IF(AG55=IF($B55="언어와 매체",자동계산!$D$32,자동계산!$B$32),IF($B55="언어와 매체",자동계산!$E$32,자동계산!$C$32),0)))</f>
        <v/>
      </c>
      <c r="CA55" s="72">
        <f>IF($A55="","",IF(AH55="",0,IF(AH55=IF($B55="언어와 매체",자동계산!$D$33,자동계산!$B$33),IF($B55="언어와 매체",자동계산!$E$33,자동계산!$C$33),0)))</f>
        <v/>
      </c>
      <c r="CB55" s="72">
        <f>IF($A55="","",IF(AI55="",0,IF(AI55=IF($B55="언어와 매체",자동계산!$D$34,자동계산!$B$34),IF($B55="언어와 매체",자동계산!$E$34,자동계산!$C$34),0)))</f>
        <v/>
      </c>
      <c r="CC55" s="72">
        <f>IF($A55="","",IF(AJ55="",0,IF(AJ55=IF($B55="언어와 매체",자동계산!$D$35,자동계산!$B$35),IF($B55="언어와 매체",자동계산!$E$35,자동계산!$C$35),0)))</f>
        <v/>
      </c>
      <c r="CD55" s="72">
        <f>IF($A55="","",IF(AK55="",0,IF(AK55=IF($B55="언어와 매체",자동계산!$D$36,자동계산!$B$36),IF($B55="언어와 매체",자동계산!$E$36,자동계산!$C$36),0)))</f>
        <v/>
      </c>
      <c r="CE55" s="72">
        <f>IF($A55="","",IF(AL55="",0,IF(AL55=IF($B55="언어와 매체",자동계산!$D$37,자동계산!$B$37),IF($B55="언어와 매체",자동계산!$E$37,자동계산!$C$37),0)))</f>
        <v/>
      </c>
      <c r="CF55" s="72">
        <f>IF($A55="","",IF(AM55="",0,IF(AM55=IF($B55="언어와 매체",자동계산!$D$38,자동계산!$B$38),IF($B55="언어와 매체",자동계산!$E$38,자동계산!$C$38),0)))</f>
        <v/>
      </c>
      <c r="CG55" s="72">
        <f>IF($A55="","",IF(AN55="",0,IF(AN55=IF($B55="언어와 매체",자동계산!$D$39,자동계산!$B$39),IF($B55="언어와 매체",자동계산!$E$39,자동계산!$C$39),0)))</f>
        <v/>
      </c>
      <c r="CH55" s="72">
        <f>IF($A55="","",IF(AO55="",0,IF(AO55=IF($B55="언어와 매체",자동계산!$D$40,자동계산!$B$40),IF($B55="언어와 매체",자동계산!$E$40,자동계산!$C$40),0)))</f>
        <v/>
      </c>
      <c r="CI55" s="72">
        <f>IF($A55="","",IF(AP55="",0,IF(AP55=IF($B55="언어와 매체",자동계산!$D$41,자동계산!$B$41),IF($B55="언어와 매체",자동계산!$E$41,자동계산!$C$41),0)))</f>
        <v/>
      </c>
      <c r="CJ55" s="72">
        <f>IF($A55="","",IF(AQ55="",0,IF(AQ55=IF($B55="언어와 매체",자동계산!$D$42,자동계산!$B$42),IF($B55="언어와 매체",자동계산!$E$42,자동계산!$C$42),0)))</f>
        <v/>
      </c>
      <c r="CK55" s="72">
        <f>IF($A55="","",IF(AR55="",0,IF(AR55=IF($B55="언어와 매체",자동계산!$D$43,자동계산!$B$43),IF($B55="언어와 매체",자동계산!$E$43,자동계산!$C$43),0)))</f>
        <v/>
      </c>
      <c r="CL55" s="72">
        <f>IF($A55="","",IF(AS55="",0,IF(AS55=IF($B55="언어와 매체",자동계산!$D$44,자동계산!$B$44),IF($B55="언어와 매체",자동계산!$E$44,자동계산!$C$44),0)))</f>
        <v/>
      </c>
      <c r="CM55" s="72">
        <f>IF($A55="","",IF(AT55="",0,IF(AT55=IF($B55="언어와 매체",자동계산!$D$45,자동계산!$B$45),IF($B55="언어와 매체",자동계산!$E$45,자동계산!$C$45),0)))</f>
        <v/>
      </c>
      <c r="CN55" s="72">
        <f>IF($A55="","",IF(AU55="",0,IF(AU55=IF($B55="언어와 매체",자동계산!$D$46,자동계산!$B$46),IF($B55="언어와 매체",자동계산!$E$46,자동계산!$C$46),0)))</f>
        <v/>
      </c>
      <c r="CO55" s="72">
        <f>IF($A55="","",IF(AV55="",0,IF(AV55=IF($B55="언어와 매체",자동계산!$D$47,자동계산!$B$47),IF($B55="언어와 매체",자동계산!$E$47,자동계산!$C$47),0)))</f>
        <v/>
      </c>
      <c r="CP55" s="72">
        <f>IF($A55="","",IF(AW55="",0,IF(AW55=IF($B55="언어와 매체",자동계산!$D$48,자동계산!$B$48),IF($B55="언어와 매체",자동계산!$E$48,자동계산!$C$48),0)))</f>
        <v/>
      </c>
    </row>
    <row r="56">
      <c r="A56" s="70">
        <f>IF(답안입력!A56="","",답안입력!A56)</f>
        <v/>
      </c>
      <c r="B56" s="70">
        <f>IF($A56="","",답안입력!C56)</f>
        <v/>
      </c>
      <c r="C56" s="71">
        <f>IF($A56="","",SUM(AX56:CP56))</f>
        <v/>
      </c>
      <c r="D56" s="70">
        <f>IF($A56="","",IF($C56&gt;=IF($B56="언어와 매체",회차설정!$B$9,회차설정!$B$8),"1등급",IF($C56&gt;=IF($B56="언어와 매체",회차설정!$C$9,회차설정!$C$8),"2등급",IF($C56&gt;=IF($B56="언어와 매체",회차설정!$D$9,회차설정!$D$8),"3등급",IF($C56&gt;=IF($B56="언어와 매체",회차설정!$E$9,회차설정!$E$8),"4등급","등급 외")))))</f>
        <v/>
      </c>
      <c r="E56" s="72">
        <f>IF($A56="","",IF(LEN(답안입력!$D56)&gt;=1,VALUE(MID(답안입력!$D56,1,1)),IF(답안입력!E56="","",답안입력!E56)))</f>
        <v/>
      </c>
      <c r="F56" s="72">
        <f>IF($A56="","",IF(LEN(답안입력!$D56)&gt;=2,VALUE(MID(답안입력!$D56,2,1)),IF(답안입력!F56="","",답안입력!F56)))</f>
        <v/>
      </c>
      <c r="G56" s="72">
        <f>IF($A56="","",IF(LEN(답안입력!$D56)&gt;=3,VALUE(MID(답안입력!$D56,3,1)),IF(답안입력!G56="","",답안입력!G56)))</f>
        <v/>
      </c>
      <c r="H56" s="72">
        <f>IF($A56="","",IF(LEN(답안입력!$D56)&gt;=4,VALUE(MID(답안입력!$D56,4,1)),IF(답안입력!H56="","",답안입력!H56)))</f>
        <v/>
      </c>
      <c r="I56" s="72">
        <f>IF($A56="","",IF(LEN(답안입력!$D56)&gt;=5,VALUE(MID(답안입력!$D56,5,1)),IF(답안입력!I56="","",답안입력!I56)))</f>
        <v/>
      </c>
      <c r="J56" s="72">
        <f>IF($A56="","",IF(LEN(답안입력!$D56)&gt;=6,VALUE(MID(답안입력!$D56,6,1)),IF(답안입력!J56="","",답안입력!J56)))</f>
        <v/>
      </c>
      <c r="K56" s="72">
        <f>IF($A56="","",IF(LEN(답안입력!$D56)&gt;=7,VALUE(MID(답안입력!$D56,7,1)),IF(답안입력!K56="","",답안입력!K56)))</f>
        <v/>
      </c>
      <c r="L56" s="72">
        <f>IF($A56="","",IF(LEN(답안입력!$D56)&gt;=8,VALUE(MID(답안입력!$D56,8,1)),IF(답안입력!L56="","",답안입력!L56)))</f>
        <v/>
      </c>
      <c r="M56" s="72">
        <f>IF($A56="","",IF(LEN(답안입력!$D56)&gt;=9,VALUE(MID(답안입력!$D56,9,1)),IF(답안입력!M56="","",답안입력!M56)))</f>
        <v/>
      </c>
      <c r="N56" s="72">
        <f>IF($A56="","",IF(LEN(답안입력!$D56)&gt;=10,VALUE(MID(답안입력!$D56,10,1)),IF(답안입력!N56="","",답안입력!N56)))</f>
        <v/>
      </c>
      <c r="O56" s="72">
        <f>IF($A56="","",IF(LEN(답안입력!$D56)&gt;=11,VALUE(MID(답안입력!$D56,11,1)),IF(답안입력!O56="","",답안입력!O56)))</f>
        <v/>
      </c>
      <c r="P56" s="72">
        <f>IF($A56="","",IF(LEN(답안입력!$D56)&gt;=12,VALUE(MID(답안입력!$D56,12,1)),IF(답안입력!P56="","",답안입력!P56)))</f>
        <v/>
      </c>
      <c r="Q56" s="72">
        <f>IF($A56="","",IF(LEN(답안입력!$D56)&gt;=13,VALUE(MID(답안입력!$D56,13,1)),IF(답안입력!Q56="","",답안입력!Q56)))</f>
        <v/>
      </c>
      <c r="R56" s="72">
        <f>IF($A56="","",IF(LEN(답안입력!$D56)&gt;=14,VALUE(MID(답안입력!$D56,14,1)),IF(답안입력!R56="","",답안입력!R56)))</f>
        <v/>
      </c>
      <c r="S56" s="72">
        <f>IF($A56="","",IF(LEN(답안입력!$D56)&gt;=15,VALUE(MID(답안입력!$D56,15,1)),IF(답안입력!S56="","",답안입력!S56)))</f>
        <v/>
      </c>
      <c r="T56" s="72">
        <f>IF($A56="","",IF(LEN(답안입력!$D56)&gt;=16,VALUE(MID(답안입력!$D56,16,1)),IF(답안입력!T56="","",답안입력!T56)))</f>
        <v/>
      </c>
      <c r="U56" s="72">
        <f>IF($A56="","",IF(LEN(답안입력!$D56)&gt;=17,VALUE(MID(답안입력!$D56,17,1)),IF(답안입력!U56="","",답안입력!U56)))</f>
        <v/>
      </c>
      <c r="V56" s="72">
        <f>IF($A56="","",IF(LEN(답안입력!$D56)&gt;=18,VALUE(MID(답안입력!$D56,18,1)),IF(답안입력!V56="","",답안입력!V56)))</f>
        <v/>
      </c>
      <c r="W56" s="72">
        <f>IF($A56="","",IF(LEN(답안입력!$D56)&gt;=19,VALUE(MID(답안입력!$D56,19,1)),IF(답안입력!W56="","",답안입력!W56)))</f>
        <v/>
      </c>
      <c r="X56" s="72">
        <f>IF($A56="","",IF(LEN(답안입력!$D56)&gt;=20,VALUE(MID(답안입력!$D56,20,1)),IF(답안입력!X56="","",답안입력!X56)))</f>
        <v/>
      </c>
      <c r="Y56" s="72">
        <f>IF($A56="","",IF(LEN(답안입력!$D56)&gt;=21,VALUE(MID(답안입력!$D56,21,1)),IF(답안입력!Y56="","",답안입력!Y56)))</f>
        <v/>
      </c>
      <c r="Z56" s="72">
        <f>IF($A56="","",IF(LEN(답안입력!$D56)&gt;=22,VALUE(MID(답안입력!$D56,22,1)),IF(답안입력!Z56="","",답안입력!Z56)))</f>
        <v/>
      </c>
      <c r="AA56" s="72">
        <f>IF($A56="","",IF(LEN(답안입력!$D56)&gt;=23,VALUE(MID(답안입력!$D56,23,1)),IF(답안입력!AA56="","",답안입력!AA56)))</f>
        <v/>
      </c>
      <c r="AB56" s="72">
        <f>IF($A56="","",IF(LEN(답안입력!$D56)&gt;=24,VALUE(MID(답안입력!$D56,24,1)),IF(답안입력!AB56="","",답안입력!AB56)))</f>
        <v/>
      </c>
      <c r="AC56" s="72">
        <f>IF($A56="","",IF(LEN(답안입력!$D56)&gt;=25,VALUE(MID(답안입력!$D56,25,1)),IF(답안입력!AC56="","",답안입력!AC56)))</f>
        <v/>
      </c>
      <c r="AD56" s="72">
        <f>IF($A56="","",IF(LEN(답안입력!$D56)&gt;=26,VALUE(MID(답안입력!$D56,26,1)),IF(답안입력!AD56="","",답안입력!AD56)))</f>
        <v/>
      </c>
      <c r="AE56" s="72">
        <f>IF($A56="","",IF(LEN(답안입력!$D56)&gt;=27,VALUE(MID(답안입력!$D56,27,1)),IF(답안입력!AE56="","",답안입력!AE56)))</f>
        <v/>
      </c>
      <c r="AF56" s="72">
        <f>IF($A56="","",IF(LEN(답안입력!$D56)&gt;=28,VALUE(MID(답안입력!$D56,28,1)),IF(답안입력!AF56="","",답안입력!AF56)))</f>
        <v/>
      </c>
      <c r="AG56" s="72">
        <f>IF($A56="","",IF(LEN(답안입력!$D56)&gt;=29,VALUE(MID(답안입력!$D56,29,1)),IF(답안입력!AG56="","",답안입력!AG56)))</f>
        <v/>
      </c>
      <c r="AH56" s="72">
        <f>IF($A56="","",IF(LEN(답안입력!$D56)&gt;=30,VALUE(MID(답안입력!$D56,30,1)),IF(답안입력!AH56="","",답안입력!AH56)))</f>
        <v/>
      </c>
      <c r="AI56" s="72">
        <f>IF($A56="","",IF(LEN(답안입력!$D56)&gt;=31,VALUE(MID(답안입력!$D56,31,1)),IF(답안입력!AI56="","",답안입력!AI56)))</f>
        <v/>
      </c>
      <c r="AJ56" s="72">
        <f>IF($A56="","",IF(LEN(답안입력!$D56)&gt;=32,VALUE(MID(답안입력!$D56,32,1)),IF(답안입력!AJ56="","",답안입력!AJ56)))</f>
        <v/>
      </c>
      <c r="AK56" s="72">
        <f>IF($A56="","",IF(LEN(답안입력!$D56)&gt;=33,VALUE(MID(답안입력!$D56,33,1)),IF(답안입력!AK56="","",답안입력!AK56)))</f>
        <v/>
      </c>
      <c r="AL56" s="72">
        <f>IF($A56="","",IF(LEN(답안입력!$D56)&gt;=34,VALUE(MID(답안입력!$D56,34,1)),IF(답안입력!AL56="","",답안입력!AL56)))</f>
        <v/>
      </c>
      <c r="AM56" s="72">
        <f>IF($A56="","",IF(LEN(답안입력!$D56)&gt;=35,VALUE(MID(답안입력!$D56,35,1)),IF(답안입력!AM56="","",답안입력!AM56)))</f>
        <v/>
      </c>
      <c r="AN56" s="72">
        <f>IF($A56="","",IF(LEN(답안입력!$D56)&gt;=36,VALUE(MID(답안입력!$D56,36,1)),IF(답안입력!AN56="","",답안입력!AN56)))</f>
        <v/>
      </c>
      <c r="AO56" s="72">
        <f>IF($A56="","",IF(LEN(답안입력!$D56)&gt;=37,VALUE(MID(답안입력!$D56,37,1)),IF(답안입력!AO56="","",답안입력!AO56)))</f>
        <v/>
      </c>
      <c r="AP56" s="72">
        <f>IF($A56="","",IF(LEN(답안입력!$D56)&gt;=38,VALUE(MID(답안입력!$D56,38,1)),IF(답안입력!AP56="","",답안입력!AP56)))</f>
        <v/>
      </c>
      <c r="AQ56" s="72">
        <f>IF($A56="","",IF(LEN(답안입력!$D56)&gt;=39,VALUE(MID(답안입력!$D56,39,1)),IF(답안입력!AQ56="","",답안입력!AQ56)))</f>
        <v/>
      </c>
      <c r="AR56" s="72">
        <f>IF($A56="","",IF(LEN(답안입력!$D56)&gt;=40,VALUE(MID(답안입력!$D56,40,1)),IF(답안입력!AR56="","",답안입력!AR56)))</f>
        <v/>
      </c>
      <c r="AS56" s="72">
        <f>IF($A56="","",IF(LEN(답안입력!$D56)&gt;=41,VALUE(MID(답안입력!$D56,41,1)),IF(답안입력!AS56="","",답안입력!AS56)))</f>
        <v/>
      </c>
      <c r="AT56" s="72">
        <f>IF($A56="","",IF(LEN(답안입력!$D56)&gt;=42,VALUE(MID(답안입력!$D56,42,1)),IF(답안입력!AT56="","",답안입력!AT56)))</f>
        <v/>
      </c>
      <c r="AU56" s="72">
        <f>IF($A56="","",IF(LEN(답안입력!$D56)&gt;=43,VALUE(MID(답안입력!$D56,43,1)),IF(답안입력!AU56="","",답안입력!AU56)))</f>
        <v/>
      </c>
      <c r="AV56" s="72">
        <f>IF($A56="","",IF(LEN(답안입력!$D56)&gt;=44,VALUE(MID(답안입력!$D56,44,1)),IF(답안입력!AV56="","",답안입력!AV56)))</f>
        <v/>
      </c>
      <c r="AW56" s="72">
        <f>IF($A56="","",IF(LEN(답안입력!$D56)&gt;=45,VALUE(MID(답안입력!$D56,45,1)),IF(답안입력!AW56="","",답안입력!AW56)))</f>
        <v/>
      </c>
      <c r="AX56" s="72">
        <f>IF($A56="","",IF(E56="",0,IF(E56=IF($B56="언어와 매체",자동계산!$D$4,자동계산!$B$4),IF($B56="언어와 매체",자동계산!$E$4,자동계산!$C$4),0)))</f>
        <v/>
      </c>
      <c r="AY56" s="72">
        <f>IF($A56="","",IF(F56="",0,IF(F56=IF($B56="언어와 매체",자동계산!$D$5,자동계산!$B$5),IF($B56="언어와 매체",자동계산!$E$5,자동계산!$C$5),0)))</f>
        <v/>
      </c>
      <c r="AZ56" s="72">
        <f>IF($A56="","",IF(G56="",0,IF(G56=IF($B56="언어와 매체",자동계산!$D$6,자동계산!$B$6),IF($B56="언어와 매체",자동계산!$E$6,자동계산!$C$6),0)))</f>
        <v/>
      </c>
      <c r="BA56" s="72">
        <f>IF($A56="","",IF(H56="",0,IF(H56=IF($B56="언어와 매체",자동계산!$D$7,자동계산!$B$7),IF($B56="언어와 매체",자동계산!$E$7,자동계산!$C$7),0)))</f>
        <v/>
      </c>
      <c r="BB56" s="72">
        <f>IF($A56="","",IF(I56="",0,IF(I56=IF($B56="언어와 매체",자동계산!$D$8,자동계산!$B$8),IF($B56="언어와 매체",자동계산!$E$8,자동계산!$C$8),0)))</f>
        <v/>
      </c>
      <c r="BC56" s="72">
        <f>IF($A56="","",IF(J56="",0,IF(J56=IF($B56="언어와 매체",자동계산!$D$9,자동계산!$B$9),IF($B56="언어와 매체",자동계산!$E$9,자동계산!$C$9),0)))</f>
        <v/>
      </c>
      <c r="BD56" s="72">
        <f>IF($A56="","",IF(K56="",0,IF(K56=IF($B56="언어와 매체",자동계산!$D$10,자동계산!$B$10),IF($B56="언어와 매체",자동계산!$E$10,자동계산!$C$10),0)))</f>
        <v/>
      </c>
      <c r="BE56" s="72">
        <f>IF($A56="","",IF(L56="",0,IF(L56=IF($B56="언어와 매체",자동계산!$D$11,자동계산!$B$11),IF($B56="언어와 매체",자동계산!$E$11,자동계산!$C$11),0)))</f>
        <v/>
      </c>
      <c r="BF56" s="72">
        <f>IF($A56="","",IF(M56="",0,IF(M56=IF($B56="언어와 매체",자동계산!$D$12,자동계산!$B$12),IF($B56="언어와 매체",자동계산!$E$12,자동계산!$C$12),0)))</f>
        <v/>
      </c>
      <c r="BG56" s="72">
        <f>IF($A56="","",IF(N56="",0,IF(N56=IF($B56="언어와 매체",자동계산!$D$13,자동계산!$B$13),IF($B56="언어와 매체",자동계산!$E$13,자동계산!$C$13),0)))</f>
        <v/>
      </c>
      <c r="BH56" s="72">
        <f>IF($A56="","",IF(O56="",0,IF(O56=IF($B56="언어와 매체",자동계산!$D$14,자동계산!$B$14),IF($B56="언어와 매체",자동계산!$E$14,자동계산!$C$14),0)))</f>
        <v/>
      </c>
      <c r="BI56" s="72">
        <f>IF($A56="","",IF(P56="",0,IF(P56=IF($B56="언어와 매체",자동계산!$D$15,자동계산!$B$15),IF($B56="언어와 매체",자동계산!$E$15,자동계산!$C$15),0)))</f>
        <v/>
      </c>
      <c r="BJ56" s="72">
        <f>IF($A56="","",IF(Q56="",0,IF(Q56=IF($B56="언어와 매체",자동계산!$D$16,자동계산!$B$16),IF($B56="언어와 매체",자동계산!$E$16,자동계산!$C$16),0)))</f>
        <v/>
      </c>
      <c r="BK56" s="72">
        <f>IF($A56="","",IF(R56="",0,IF(R56=IF($B56="언어와 매체",자동계산!$D$17,자동계산!$B$17),IF($B56="언어와 매체",자동계산!$E$17,자동계산!$C$17),0)))</f>
        <v/>
      </c>
      <c r="BL56" s="72">
        <f>IF($A56="","",IF(S56="",0,IF(S56=IF($B56="언어와 매체",자동계산!$D$18,자동계산!$B$18),IF($B56="언어와 매체",자동계산!$E$18,자동계산!$C$18),0)))</f>
        <v/>
      </c>
      <c r="BM56" s="72">
        <f>IF($A56="","",IF(T56="",0,IF(T56=IF($B56="언어와 매체",자동계산!$D$19,자동계산!$B$19),IF($B56="언어와 매체",자동계산!$E$19,자동계산!$C$19),0)))</f>
        <v/>
      </c>
      <c r="BN56" s="72">
        <f>IF($A56="","",IF(U56="",0,IF(U56=IF($B56="언어와 매체",자동계산!$D$20,자동계산!$B$20),IF($B56="언어와 매체",자동계산!$E$20,자동계산!$C$20),0)))</f>
        <v/>
      </c>
      <c r="BO56" s="72">
        <f>IF($A56="","",IF(V56="",0,IF(V56=IF($B56="언어와 매체",자동계산!$D$21,자동계산!$B$21),IF($B56="언어와 매체",자동계산!$E$21,자동계산!$C$21),0)))</f>
        <v/>
      </c>
      <c r="BP56" s="72">
        <f>IF($A56="","",IF(W56="",0,IF(W56=IF($B56="언어와 매체",자동계산!$D$22,자동계산!$B$22),IF($B56="언어와 매체",자동계산!$E$22,자동계산!$C$22),0)))</f>
        <v/>
      </c>
      <c r="BQ56" s="72">
        <f>IF($A56="","",IF(X56="",0,IF(X56=IF($B56="언어와 매체",자동계산!$D$23,자동계산!$B$23),IF($B56="언어와 매체",자동계산!$E$23,자동계산!$C$23),0)))</f>
        <v/>
      </c>
      <c r="BR56" s="72">
        <f>IF($A56="","",IF(Y56="",0,IF(Y56=IF($B56="언어와 매체",자동계산!$D$24,자동계산!$B$24),IF($B56="언어와 매체",자동계산!$E$24,자동계산!$C$24),0)))</f>
        <v/>
      </c>
      <c r="BS56" s="72">
        <f>IF($A56="","",IF(Z56="",0,IF(Z56=IF($B56="언어와 매체",자동계산!$D$25,자동계산!$B$25),IF($B56="언어와 매체",자동계산!$E$25,자동계산!$C$25),0)))</f>
        <v/>
      </c>
      <c r="BT56" s="72">
        <f>IF($A56="","",IF(AA56="",0,IF(AA56=IF($B56="언어와 매체",자동계산!$D$26,자동계산!$B$26),IF($B56="언어와 매체",자동계산!$E$26,자동계산!$C$26),0)))</f>
        <v/>
      </c>
      <c r="BU56" s="72">
        <f>IF($A56="","",IF(AB56="",0,IF(AB56=IF($B56="언어와 매체",자동계산!$D$27,자동계산!$B$27),IF($B56="언어와 매체",자동계산!$E$27,자동계산!$C$27),0)))</f>
        <v/>
      </c>
      <c r="BV56" s="72">
        <f>IF($A56="","",IF(AC56="",0,IF(AC56=IF($B56="언어와 매체",자동계산!$D$28,자동계산!$B$28),IF($B56="언어와 매체",자동계산!$E$28,자동계산!$C$28),0)))</f>
        <v/>
      </c>
      <c r="BW56" s="72">
        <f>IF($A56="","",IF(AD56="",0,IF(AD56=IF($B56="언어와 매체",자동계산!$D$29,자동계산!$B$29),IF($B56="언어와 매체",자동계산!$E$29,자동계산!$C$29),0)))</f>
        <v/>
      </c>
      <c r="BX56" s="72">
        <f>IF($A56="","",IF(AE56="",0,IF(AE56=IF($B56="언어와 매체",자동계산!$D$30,자동계산!$B$30),IF($B56="언어와 매체",자동계산!$E$30,자동계산!$C$30),0)))</f>
        <v/>
      </c>
      <c r="BY56" s="72">
        <f>IF($A56="","",IF(AF56="",0,IF(AF56=IF($B56="언어와 매체",자동계산!$D$31,자동계산!$B$31),IF($B56="언어와 매체",자동계산!$E$31,자동계산!$C$31),0)))</f>
        <v/>
      </c>
      <c r="BZ56" s="72">
        <f>IF($A56="","",IF(AG56="",0,IF(AG56=IF($B56="언어와 매체",자동계산!$D$32,자동계산!$B$32),IF($B56="언어와 매체",자동계산!$E$32,자동계산!$C$32),0)))</f>
        <v/>
      </c>
      <c r="CA56" s="72">
        <f>IF($A56="","",IF(AH56="",0,IF(AH56=IF($B56="언어와 매체",자동계산!$D$33,자동계산!$B$33),IF($B56="언어와 매체",자동계산!$E$33,자동계산!$C$33),0)))</f>
        <v/>
      </c>
      <c r="CB56" s="72">
        <f>IF($A56="","",IF(AI56="",0,IF(AI56=IF($B56="언어와 매체",자동계산!$D$34,자동계산!$B$34),IF($B56="언어와 매체",자동계산!$E$34,자동계산!$C$34),0)))</f>
        <v/>
      </c>
      <c r="CC56" s="72">
        <f>IF($A56="","",IF(AJ56="",0,IF(AJ56=IF($B56="언어와 매체",자동계산!$D$35,자동계산!$B$35),IF($B56="언어와 매체",자동계산!$E$35,자동계산!$C$35),0)))</f>
        <v/>
      </c>
      <c r="CD56" s="72">
        <f>IF($A56="","",IF(AK56="",0,IF(AK56=IF($B56="언어와 매체",자동계산!$D$36,자동계산!$B$36),IF($B56="언어와 매체",자동계산!$E$36,자동계산!$C$36),0)))</f>
        <v/>
      </c>
      <c r="CE56" s="72">
        <f>IF($A56="","",IF(AL56="",0,IF(AL56=IF($B56="언어와 매체",자동계산!$D$37,자동계산!$B$37),IF($B56="언어와 매체",자동계산!$E$37,자동계산!$C$37),0)))</f>
        <v/>
      </c>
      <c r="CF56" s="72">
        <f>IF($A56="","",IF(AM56="",0,IF(AM56=IF($B56="언어와 매체",자동계산!$D$38,자동계산!$B$38),IF($B56="언어와 매체",자동계산!$E$38,자동계산!$C$38),0)))</f>
        <v/>
      </c>
      <c r="CG56" s="72">
        <f>IF($A56="","",IF(AN56="",0,IF(AN56=IF($B56="언어와 매체",자동계산!$D$39,자동계산!$B$39),IF($B56="언어와 매체",자동계산!$E$39,자동계산!$C$39),0)))</f>
        <v/>
      </c>
      <c r="CH56" s="72">
        <f>IF($A56="","",IF(AO56="",0,IF(AO56=IF($B56="언어와 매체",자동계산!$D$40,자동계산!$B$40),IF($B56="언어와 매체",자동계산!$E$40,자동계산!$C$40),0)))</f>
        <v/>
      </c>
      <c r="CI56" s="72">
        <f>IF($A56="","",IF(AP56="",0,IF(AP56=IF($B56="언어와 매체",자동계산!$D$41,자동계산!$B$41),IF($B56="언어와 매체",자동계산!$E$41,자동계산!$C$41),0)))</f>
        <v/>
      </c>
      <c r="CJ56" s="72">
        <f>IF($A56="","",IF(AQ56="",0,IF(AQ56=IF($B56="언어와 매체",자동계산!$D$42,자동계산!$B$42),IF($B56="언어와 매체",자동계산!$E$42,자동계산!$C$42),0)))</f>
        <v/>
      </c>
      <c r="CK56" s="72">
        <f>IF($A56="","",IF(AR56="",0,IF(AR56=IF($B56="언어와 매체",자동계산!$D$43,자동계산!$B$43),IF($B56="언어와 매체",자동계산!$E$43,자동계산!$C$43),0)))</f>
        <v/>
      </c>
      <c r="CL56" s="72">
        <f>IF($A56="","",IF(AS56="",0,IF(AS56=IF($B56="언어와 매체",자동계산!$D$44,자동계산!$B$44),IF($B56="언어와 매체",자동계산!$E$44,자동계산!$C$44),0)))</f>
        <v/>
      </c>
      <c r="CM56" s="72">
        <f>IF($A56="","",IF(AT56="",0,IF(AT56=IF($B56="언어와 매체",자동계산!$D$45,자동계산!$B$45),IF($B56="언어와 매체",자동계산!$E$45,자동계산!$C$45),0)))</f>
        <v/>
      </c>
      <c r="CN56" s="72">
        <f>IF($A56="","",IF(AU56="",0,IF(AU56=IF($B56="언어와 매체",자동계산!$D$46,자동계산!$B$46),IF($B56="언어와 매체",자동계산!$E$46,자동계산!$C$46),0)))</f>
        <v/>
      </c>
      <c r="CO56" s="72">
        <f>IF($A56="","",IF(AV56="",0,IF(AV56=IF($B56="언어와 매체",자동계산!$D$47,자동계산!$B$47),IF($B56="언어와 매체",자동계산!$E$47,자동계산!$C$47),0)))</f>
        <v/>
      </c>
      <c r="CP56" s="72">
        <f>IF($A56="","",IF(AW56="",0,IF(AW56=IF($B56="언어와 매체",자동계산!$D$48,자동계산!$B$48),IF($B56="언어와 매체",자동계산!$E$48,자동계산!$C$48),0)))</f>
        <v/>
      </c>
    </row>
    <row r="57">
      <c r="A57" s="70">
        <f>IF(답안입력!A57="","",답안입력!A57)</f>
        <v/>
      </c>
      <c r="B57" s="70">
        <f>IF($A57="","",답안입력!C57)</f>
        <v/>
      </c>
      <c r="C57" s="71">
        <f>IF($A57="","",SUM(AX57:CP57))</f>
        <v/>
      </c>
      <c r="D57" s="70">
        <f>IF($A57="","",IF($C57&gt;=IF($B57="언어와 매체",회차설정!$B$9,회차설정!$B$8),"1등급",IF($C57&gt;=IF($B57="언어와 매체",회차설정!$C$9,회차설정!$C$8),"2등급",IF($C57&gt;=IF($B57="언어와 매체",회차설정!$D$9,회차설정!$D$8),"3등급",IF($C57&gt;=IF($B57="언어와 매체",회차설정!$E$9,회차설정!$E$8),"4등급","등급 외")))))</f>
        <v/>
      </c>
      <c r="E57" s="72">
        <f>IF($A57="","",IF(LEN(답안입력!$D57)&gt;=1,VALUE(MID(답안입력!$D57,1,1)),IF(답안입력!E57="","",답안입력!E57)))</f>
        <v/>
      </c>
      <c r="F57" s="72">
        <f>IF($A57="","",IF(LEN(답안입력!$D57)&gt;=2,VALUE(MID(답안입력!$D57,2,1)),IF(답안입력!F57="","",답안입력!F57)))</f>
        <v/>
      </c>
      <c r="G57" s="72">
        <f>IF($A57="","",IF(LEN(답안입력!$D57)&gt;=3,VALUE(MID(답안입력!$D57,3,1)),IF(답안입력!G57="","",답안입력!G57)))</f>
        <v/>
      </c>
      <c r="H57" s="72">
        <f>IF($A57="","",IF(LEN(답안입력!$D57)&gt;=4,VALUE(MID(답안입력!$D57,4,1)),IF(답안입력!H57="","",답안입력!H57)))</f>
        <v/>
      </c>
      <c r="I57" s="72">
        <f>IF($A57="","",IF(LEN(답안입력!$D57)&gt;=5,VALUE(MID(답안입력!$D57,5,1)),IF(답안입력!I57="","",답안입력!I57)))</f>
        <v/>
      </c>
      <c r="J57" s="72">
        <f>IF($A57="","",IF(LEN(답안입력!$D57)&gt;=6,VALUE(MID(답안입력!$D57,6,1)),IF(답안입력!J57="","",답안입력!J57)))</f>
        <v/>
      </c>
      <c r="K57" s="72">
        <f>IF($A57="","",IF(LEN(답안입력!$D57)&gt;=7,VALUE(MID(답안입력!$D57,7,1)),IF(답안입력!K57="","",답안입력!K57)))</f>
        <v/>
      </c>
      <c r="L57" s="72">
        <f>IF($A57="","",IF(LEN(답안입력!$D57)&gt;=8,VALUE(MID(답안입력!$D57,8,1)),IF(답안입력!L57="","",답안입력!L57)))</f>
        <v/>
      </c>
      <c r="M57" s="72">
        <f>IF($A57="","",IF(LEN(답안입력!$D57)&gt;=9,VALUE(MID(답안입력!$D57,9,1)),IF(답안입력!M57="","",답안입력!M57)))</f>
        <v/>
      </c>
      <c r="N57" s="72">
        <f>IF($A57="","",IF(LEN(답안입력!$D57)&gt;=10,VALUE(MID(답안입력!$D57,10,1)),IF(답안입력!N57="","",답안입력!N57)))</f>
        <v/>
      </c>
      <c r="O57" s="72">
        <f>IF($A57="","",IF(LEN(답안입력!$D57)&gt;=11,VALUE(MID(답안입력!$D57,11,1)),IF(답안입력!O57="","",답안입력!O57)))</f>
        <v/>
      </c>
      <c r="P57" s="72">
        <f>IF($A57="","",IF(LEN(답안입력!$D57)&gt;=12,VALUE(MID(답안입력!$D57,12,1)),IF(답안입력!P57="","",답안입력!P57)))</f>
        <v/>
      </c>
      <c r="Q57" s="72">
        <f>IF($A57="","",IF(LEN(답안입력!$D57)&gt;=13,VALUE(MID(답안입력!$D57,13,1)),IF(답안입력!Q57="","",답안입력!Q57)))</f>
        <v/>
      </c>
      <c r="R57" s="72">
        <f>IF($A57="","",IF(LEN(답안입력!$D57)&gt;=14,VALUE(MID(답안입력!$D57,14,1)),IF(답안입력!R57="","",답안입력!R57)))</f>
        <v/>
      </c>
      <c r="S57" s="72">
        <f>IF($A57="","",IF(LEN(답안입력!$D57)&gt;=15,VALUE(MID(답안입력!$D57,15,1)),IF(답안입력!S57="","",답안입력!S57)))</f>
        <v/>
      </c>
      <c r="T57" s="72">
        <f>IF($A57="","",IF(LEN(답안입력!$D57)&gt;=16,VALUE(MID(답안입력!$D57,16,1)),IF(답안입력!T57="","",답안입력!T57)))</f>
        <v/>
      </c>
      <c r="U57" s="72">
        <f>IF($A57="","",IF(LEN(답안입력!$D57)&gt;=17,VALUE(MID(답안입력!$D57,17,1)),IF(답안입력!U57="","",답안입력!U57)))</f>
        <v/>
      </c>
      <c r="V57" s="72">
        <f>IF($A57="","",IF(LEN(답안입력!$D57)&gt;=18,VALUE(MID(답안입력!$D57,18,1)),IF(답안입력!V57="","",답안입력!V57)))</f>
        <v/>
      </c>
      <c r="W57" s="72">
        <f>IF($A57="","",IF(LEN(답안입력!$D57)&gt;=19,VALUE(MID(답안입력!$D57,19,1)),IF(답안입력!W57="","",답안입력!W57)))</f>
        <v/>
      </c>
      <c r="X57" s="72">
        <f>IF($A57="","",IF(LEN(답안입력!$D57)&gt;=20,VALUE(MID(답안입력!$D57,20,1)),IF(답안입력!X57="","",답안입력!X57)))</f>
        <v/>
      </c>
      <c r="Y57" s="72">
        <f>IF($A57="","",IF(LEN(답안입력!$D57)&gt;=21,VALUE(MID(답안입력!$D57,21,1)),IF(답안입력!Y57="","",답안입력!Y57)))</f>
        <v/>
      </c>
      <c r="Z57" s="72">
        <f>IF($A57="","",IF(LEN(답안입력!$D57)&gt;=22,VALUE(MID(답안입력!$D57,22,1)),IF(답안입력!Z57="","",답안입력!Z57)))</f>
        <v/>
      </c>
      <c r="AA57" s="72">
        <f>IF($A57="","",IF(LEN(답안입력!$D57)&gt;=23,VALUE(MID(답안입력!$D57,23,1)),IF(답안입력!AA57="","",답안입력!AA57)))</f>
        <v/>
      </c>
      <c r="AB57" s="72">
        <f>IF($A57="","",IF(LEN(답안입력!$D57)&gt;=24,VALUE(MID(답안입력!$D57,24,1)),IF(답안입력!AB57="","",답안입력!AB57)))</f>
        <v/>
      </c>
      <c r="AC57" s="72">
        <f>IF($A57="","",IF(LEN(답안입력!$D57)&gt;=25,VALUE(MID(답안입력!$D57,25,1)),IF(답안입력!AC57="","",답안입력!AC57)))</f>
        <v/>
      </c>
      <c r="AD57" s="72">
        <f>IF($A57="","",IF(LEN(답안입력!$D57)&gt;=26,VALUE(MID(답안입력!$D57,26,1)),IF(답안입력!AD57="","",답안입력!AD57)))</f>
        <v/>
      </c>
      <c r="AE57" s="72">
        <f>IF($A57="","",IF(LEN(답안입력!$D57)&gt;=27,VALUE(MID(답안입력!$D57,27,1)),IF(답안입력!AE57="","",답안입력!AE57)))</f>
        <v/>
      </c>
      <c r="AF57" s="72">
        <f>IF($A57="","",IF(LEN(답안입력!$D57)&gt;=28,VALUE(MID(답안입력!$D57,28,1)),IF(답안입력!AF57="","",답안입력!AF57)))</f>
        <v/>
      </c>
      <c r="AG57" s="72">
        <f>IF($A57="","",IF(LEN(답안입력!$D57)&gt;=29,VALUE(MID(답안입력!$D57,29,1)),IF(답안입력!AG57="","",답안입력!AG57)))</f>
        <v/>
      </c>
      <c r="AH57" s="72">
        <f>IF($A57="","",IF(LEN(답안입력!$D57)&gt;=30,VALUE(MID(답안입력!$D57,30,1)),IF(답안입력!AH57="","",답안입력!AH57)))</f>
        <v/>
      </c>
      <c r="AI57" s="72">
        <f>IF($A57="","",IF(LEN(답안입력!$D57)&gt;=31,VALUE(MID(답안입력!$D57,31,1)),IF(답안입력!AI57="","",답안입력!AI57)))</f>
        <v/>
      </c>
      <c r="AJ57" s="72">
        <f>IF($A57="","",IF(LEN(답안입력!$D57)&gt;=32,VALUE(MID(답안입력!$D57,32,1)),IF(답안입력!AJ57="","",답안입력!AJ57)))</f>
        <v/>
      </c>
      <c r="AK57" s="72">
        <f>IF($A57="","",IF(LEN(답안입력!$D57)&gt;=33,VALUE(MID(답안입력!$D57,33,1)),IF(답안입력!AK57="","",답안입력!AK57)))</f>
        <v/>
      </c>
      <c r="AL57" s="72">
        <f>IF($A57="","",IF(LEN(답안입력!$D57)&gt;=34,VALUE(MID(답안입력!$D57,34,1)),IF(답안입력!AL57="","",답안입력!AL57)))</f>
        <v/>
      </c>
      <c r="AM57" s="72">
        <f>IF($A57="","",IF(LEN(답안입력!$D57)&gt;=35,VALUE(MID(답안입력!$D57,35,1)),IF(답안입력!AM57="","",답안입력!AM57)))</f>
        <v/>
      </c>
      <c r="AN57" s="72">
        <f>IF($A57="","",IF(LEN(답안입력!$D57)&gt;=36,VALUE(MID(답안입력!$D57,36,1)),IF(답안입력!AN57="","",답안입력!AN57)))</f>
        <v/>
      </c>
      <c r="AO57" s="72">
        <f>IF($A57="","",IF(LEN(답안입력!$D57)&gt;=37,VALUE(MID(답안입력!$D57,37,1)),IF(답안입력!AO57="","",답안입력!AO57)))</f>
        <v/>
      </c>
      <c r="AP57" s="72">
        <f>IF($A57="","",IF(LEN(답안입력!$D57)&gt;=38,VALUE(MID(답안입력!$D57,38,1)),IF(답안입력!AP57="","",답안입력!AP57)))</f>
        <v/>
      </c>
      <c r="AQ57" s="72">
        <f>IF($A57="","",IF(LEN(답안입력!$D57)&gt;=39,VALUE(MID(답안입력!$D57,39,1)),IF(답안입력!AQ57="","",답안입력!AQ57)))</f>
        <v/>
      </c>
      <c r="AR57" s="72">
        <f>IF($A57="","",IF(LEN(답안입력!$D57)&gt;=40,VALUE(MID(답안입력!$D57,40,1)),IF(답안입력!AR57="","",답안입력!AR57)))</f>
        <v/>
      </c>
      <c r="AS57" s="72">
        <f>IF($A57="","",IF(LEN(답안입력!$D57)&gt;=41,VALUE(MID(답안입력!$D57,41,1)),IF(답안입력!AS57="","",답안입력!AS57)))</f>
        <v/>
      </c>
      <c r="AT57" s="72">
        <f>IF($A57="","",IF(LEN(답안입력!$D57)&gt;=42,VALUE(MID(답안입력!$D57,42,1)),IF(답안입력!AT57="","",답안입력!AT57)))</f>
        <v/>
      </c>
      <c r="AU57" s="72">
        <f>IF($A57="","",IF(LEN(답안입력!$D57)&gt;=43,VALUE(MID(답안입력!$D57,43,1)),IF(답안입력!AU57="","",답안입력!AU57)))</f>
        <v/>
      </c>
      <c r="AV57" s="72">
        <f>IF($A57="","",IF(LEN(답안입력!$D57)&gt;=44,VALUE(MID(답안입력!$D57,44,1)),IF(답안입력!AV57="","",답안입력!AV57)))</f>
        <v/>
      </c>
      <c r="AW57" s="72">
        <f>IF($A57="","",IF(LEN(답안입력!$D57)&gt;=45,VALUE(MID(답안입력!$D57,45,1)),IF(답안입력!AW57="","",답안입력!AW57)))</f>
        <v/>
      </c>
      <c r="AX57" s="72">
        <f>IF($A57="","",IF(E57="",0,IF(E57=IF($B57="언어와 매체",자동계산!$D$4,자동계산!$B$4),IF($B57="언어와 매체",자동계산!$E$4,자동계산!$C$4),0)))</f>
        <v/>
      </c>
      <c r="AY57" s="72">
        <f>IF($A57="","",IF(F57="",0,IF(F57=IF($B57="언어와 매체",자동계산!$D$5,자동계산!$B$5),IF($B57="언어와 매체",자동계산!$E$5,자동계산!$C$5),0)))</f>
        <v/>
      </c>
      <c r="AZ57" s="72">
        <f>IF($A57="","",IF(G57="",0,IF(G57=IF($B57="언어와 매체",자동계산!$D$6,자동계산!$B$6),IF($B57="언어와 매체",자동계산!$E$6,자동계산!$C$6),0)))</f>
        <v/>
      </c>
      <c r="BA57" s="72">
        <f>IF($A57="","",IF(H57="",0,IF(H57=IF($B57="언어와 매체",자동계산!$D$7,자동계산!$B$7),IF($B57="언어와 매체",자동계산!$E$7,자동계산!$C$7),0)))</f>
        <v/>
      </c>
      <c r="BB57" s="72">
        <f>IF($A57="","",IF(I57="",0,IF(I57=IF($B57="언어와 매체",자동계산!$D$8,자동계산!$B$8),IF($B57="언어와 매체",자동계산!$E$8,자동계산!$C$8),0)))</f>
        <v/>
      </c>
      <c r="BC57" s="72">
        <f>IF($A57="","",IF(J57="",0,IF(J57=IF($B57="언어와 매체",자동계산!$D$9,자동계산!$B$9),IF($B57="언어와 매체",자동계산!$E$9,자동계산!$C$9),0)))</f>
        <v/>
      </c>
      <c r="BD57" s="72">
        <f>IF($A57="","",IF(K57="",0,IF(K57=IF($B57="언어와 매체",자동계산!$D$10,자동계산!$B$10),IF($B57="언어와 매체",자동계산!$E$10,자동계산!$C$10),0)))</f>
        <v/>
      </c>
      <c r="BE57" s="72">
        <f>IF($A57="","",IF(L57="",0,IF(L57=IF($B57="언어와 매체",자동계산!$D$11,자동계산!$B$11),IF($B57="언어와 매체",자동계산!$E$11,자동계산!$C$11),0)))</f>
        <v/>
      </c>
      <c r="BF57" s="72">
        <f>IF($A57="","",IF(M57="",0,IF(M57=IF($B57="언어와 매체",자동계산!$D$12,자동계산!$B$12),IF($B57="언어와 매체",자동계산!$E$12,자동계산!$C$12),0)))</f>
        <v/>
      </c>
      <c r="BG57" s="72">
        <f>IF($A57="","",IF(N57="",0,IF(N57=IF($B57="언어와 매체",자동계산!$D$13,자동계산!$B$13),IF($B57="언어와 매체",자동계산!$E$13,자동계산!$C$13),0)))</f>
        <v/>
      </c>
      <c r="BH57" s="72">
        <f>IF($A57="","",IF(O57="",0,IF(O57=IF($B57="언어와 매체",자동계산!$D$14,자동계산!$B$14),IF($B57="언어와 매체",자동계산!$E$14,자동계산!$C$14),0)))</f>
        <v/>
      </c>
      <c r="BI57" s="72">
        <f>IF($A57="","",IF(P57="",0,IF(P57=IF($B57="언어와 매체",자동계산!$D$15,자동계산!$B$15),IF($B57="언어와 매체",자동계산!$E$15,자동계산!$C$15),0)))</f>
        <v/>
      </c>
      <c r="BJ57" s="72">
        <f>IF($A57="","",IF(Q57="",0,IF(Q57=IF($B57="언어와 매체",자동계산!$D$16,자동계산!$B$16),IF($B57="언어와 매체",자동계산!$E$16,자동계산!$C$16),0)))</f>
        <v/>
      </c>
      <c r="BK57" s="72">
        <f>IF($A57="","",IF(R57="",0,IF(R57=IF($B57="언어와 매체",자동계산!$D$17,자동계산!$B$17),IF($B57="언어와 매체",자동계산!$E$17,자동계산!$C$17),0)))</f>
        <v/>
      </c>
      <c r="BL57" s="72">
        <f>IF($A57="","",IF(S57="",0,IF(S57=IF($B57="언어와 매체",자동계산!$D$18,자동계산!$B$18),IF($B57="언어와 매체",자동계산!$E$18,자동계산!$C$18),0)))</f>
        <v/>
      </c>
      <c r="BM57" s="72">
        <f>IF($A57="","",IF(T57="",0,IF(T57=IF($B57="언어와 매체",자동계산!$D$19,자동계산!$B$19),IF($B57="언어와 매체",자동계산!$E$19,자동계산!$C$19),0)))</f>
        <v/>
      </c>
      <c r="BN57" s="72">
        <f>IF($A57="","",IF(U57="",0,IF(U57=IF($B57="언어와 매체",자동계산!$D$20,자동계산!$B$20),IF($B57="언어와 매체",자동계산!$E$20,자동계산!$C$20),0)))</f>
        <v/>
      </c>
      <c r="BO57" s="72">
        <f>IF($A57="","",IF(V57="",0,IF(V57=IF($B57="언어와 매체",자동계산!$D$21,자동계산!$B$21),IF($B57="언어와 매체",자동계산!$E$21,자동계산!$C$21),0)))</f>
        <v/>
      </c>
      <c r="BP57" s="72">
        <f>IF($A57="","",IF(W57="",0,IF(W57=IF($B57="언어와 매체",자동계산!$D$22,자동계산!$B$22),IF($B57="언어와 매체",자동계산!$E$22,자동계산!$C$22),0)))</f>
        <v/>
      </c>
      <c r="BQ57" s="72">
        <f>IF($A57="","",IF(X57="",0,IF(X57=IF($B57="언어와 매체",자동계산!$D$23,자동계산!$B$23),IF($B57="언어와 매체",자동계산!$E$23,자동계산!$C$23),0)))</f>
        <v/>
      </c>
      <c r="BR57" s="72">
        <f>IF($A57="","",IF(Y57="",0,IF(Y57=IF($B57="언어와 매체",자동계산!$D$24,자동계산!$B$24),IF($B57="언어와 매체",자동계산!$E$24,자동계산!$C$24),0)))</f>
        <v/>
      </c>
      <c r="BS57" s="72">
        <f>IF($A57="","",IF(Z57="",0,IF(Z57=IF($B57="언어와 매체",자동계산!$D$25,자동계산!$B$25),IF($B57="언어와 매체",자동계산!$E$25,자동계산!$C$25),0)))</f>
        <v/>
      </c>
      <c r="BT57" s="72">
        <f>IF($A57="","",IF(AA57="",0,IF(AA57=IF($B57="언어와 매체",자동계산!$D$26,자동계산!$B$26),IF($B57="언어와 매체",자동계산!$E$26,자동계산!$C$26),0)))</f>
        <v/>
      </c>
      <c r="BU57" s="72">
        <f>IF($A57="","",IF(AB57="",0,IF(AB57=IF($B57="언어와 매체",자동계산!$D$27,자동계산!$B$27),IF($B57="언어와 매체",자동계산!$E$27,자동계산!$C$27),0)))</f>
        <v/>
      </c>
      <c r="BV57" s="72">
        <f>IF($A57="","",IF(AC57="",0,IF(AC57=IF($B57="언어와 매체",자동계산!$D$28,자동계산!$B$28),IF($B57="언어와 매체",자동계산!$E$28,자동계산!$C$28),0)))</f>
        <v/>
      </c>
      <c r="BW57" s="72">
        <f>IF($A57="","",IF(AD57="",0,IF(AD57=IF($B57="언어와 매체",자동계산!$D$29,자동계산!$B$29),IF($B57="언어와 매체",자동계산!$E$29,자동계산!$C$29),0)))</f>
        <v/>
      </c>
      <c r="BX57" s="72">
        <f>IF($A57="","",IF(AE57="",0,IF(AE57=IF($B57="언어와 매체",자동계산!$D$30,자동계산!$B$30),IF($B57="언어와 매체",자동계산!$E$30,자동계산!$C$30),0)))</f>
        <v/>
      </c>
      <c r="BY57" s="72">
        <f>IF($A57="","",IF(AF57="",0,IF(AF57=IF($B57="언어와 매체",자동계산!$D$31,자동계산!$B$31),IF($B57="언어와 매체",자동계산!$E$31,자동계산!$C$31),0)))</f>
        <v/>
      </c>
      <c r="BZ57" s="72">
        <f>IF($A57="","",IF(AG57="",0,IF(AG57=IF($B57="언어와 매체",자동계산!$D$32,자동계산!$B$32),IF($B57="언어와 매체",자동계산!$E$32,자동계산!$C$32),0)))</f>
        <v/>
      </c>
      <c r="CA57" s="72">
        <f>IF($A57="","",IF(AH57="",0,IF(AH57=IF($B57="언어와 매체",자동계산!$D$33,자동계산!$B$33),IF($B57="언어와 매체",자동계산!$E$33,자동계산!$C$33),0)))</f>
        <v/>
      </c>
      <c r="CB57" s="72">
        <f>IF($A57="","",IF(AI57="",0,IF(AI57=IF($B57="언어와 매체",자동계산!$D$34,자동계산!$B$34),IF($B57="언어와 매체",자동계산!$E$34,자동계산!$C$34),0)))</f>
        <v/>
      </c>
      <c r="CC57" s="72">
        <f>IF($A57="","",IF(AJ57="",0,IF(AJ57=IF($B57="언어와 매체",자동계산!$D$35,자동계산!$B$35),IF($B57="언어와 매체",자동계산!$E$35,자동계산!$C$35),0)))</f>
        <v/>
      </c>
      <c r="CD57" s="72">
        <f>IF($A57="","",IF(AK57="",0,IF(AK57=IF($B57="언어와 매체",자동계산!$D$36,자동계산!$B$36),IF($B57="언어와 매체",자동계산!$E$36,자동계산!$C$36),0)))</f>
        <v/>
      </c>
      <c r="CE57" s="72">
        <f>IF($A57="","",IF(AL57="",0,IF(AL57=IF($B57="언어와 매체",자동계산!$D$37,자동계산!$B$37),IF($B57="언어와 매체",자동계산!$E$37,자동계산!$C$37),0)))</f>
        <v/>
      </c>
      <c r="CF57" s="72">
        <f>IF($A57="","",IF(AM57="",0,IF(AM57=IF($B57="언어와 매체",자동계산!$D$38,자동계산!$B$38),IF($B57="언어와 매체",자동계산!$E$38,자동계산!$C$38),0)))</f>
        <v/>
      </c>
      <c r="CG57" s="72">
        <f>IF($A57="","",IF(AN57="",0,IF(AN57=IF($B57="언어와 매체",자동계산!$D$39,자동계산!$B$39),IF($B57="언어와 매체",자동계산!$E$39,자동계산!$C$39),0)))</f>
        <v/>
      </c>
      <c r="CH57" s="72">
        <f>IF($A57="","",IF(AO57="",0,IF(AO57=IF($B57="언어와 매체",자동계산!$D$40,자동계산!$B$40),IF($B57="언어와 매체",자동계산!$E$40,자동계산!$C$40),0)))</f>
        <v/>
      </c>
      <c r="CI57" s="72">
        <f>IF($A57="","",IF(AP57="",0,IF(AP57=IF($B57="언어와 매체",자동계산!$D$41,자동계산!$B$41),IF($B57="언어와 매체",자동계산!$E$41,자동계산!$C$41),0)))</f>
        <v/>
      </c>
      <c r="CJ57" s="72">
        <f>IF($A57="","",IF(AQ57="",0,IF(AQ57=IF($B57="언어와 매체",자동계산!$D$42,자동계산!$B$42),IF($B57="언어와 매체",자동계산!$E$42,자동계산!$C$42),0)))</f>
        <v/>
      </c>
      <c r="CK57" s="72">
        <f>IF($A57="","",IF(AR57="",0,IF(AR57=IF($B57="언어와 매체",자동계산!$D$43,자동계산!$B$43),IF($B57="언어와 매체",자동계산!$E$43,자동계산!$C$43),0)))</f>
        <v/>
      </c>
      <c r="CL57" s="72">
        <f>IF($A57="","",IF(AS57="",0,IF(AS57=IF($B57="언어와 매체",자동계산!$D$44,자동계산!$B$44),IF($B57="언어와 매체",자동계산!$E$44,자동계산!$C$44),0)))</f>
        <v/>
      </c>
      <c r="CM57" s="72">
        <f>IF($A57="","",IF(AT57="",0,IF(AT57=IF($B57="언어와 매체",자동계산!$D$45,자동계산!$B$45),IF($B57="언어와 매체",자동계산!$E$45,자동계산!$C$45),0)))</f>
        <v/>
      </c>
      <c r="CN57" s="72">
        <f>IF($A57="","",IF(AU57="",0,IF(AU57=IF($B57="언어와 매체",자동계산!$D$46,자동계산!$B$46),IF($B57="언어와 매체",자동계산!$E$46,자동계산!$C$46),0)))</f>
        <v/>
      </c>
      <c r="CO57" s="72">
        <f>IF($A57="","",IF(AV57="",0,IF(AV57=IF($B57="언어와 매체",자동계산!$D$47,자동계산!$B$47),IF($B57="언어와 매체",자동계산!$E$47,자동계산!$C$47),0)))</f>
        <v/>
      </c>
      <c r="CP57" s="72">
        <f>IF($A57="","",IF(AW57="",0,IF(AW57=IF($B57="언어와 매체",자동계산!$D$48,자동계산!$B$48),IF($B57="언어와 매체",자동계산!$E$48,자동계산!$C$48),0)))</f>
        <v/>
      </c>
    </row>
    <row r="58">
      <c r="A58" s="70">
        <f>IF(답안입력!A58="","",답안입력!A58)</f>
        <v/>
      </c>
      <c r="B58" s="70">
        <f>IF($A58="","",답안입력!C58)</f>
        <v/>
      </c>
      <c r="C58" s="71">
        <f>IF($A58="","",SUM(AX58:CP58))</f>
        <v/>
      </c>
      <c r="D58" s="70">
        <f>IF($A58="","",IF($C58&gt;=IF($B58="언어와 매체",회차설정!$B$9,회차설정!$B$8),"1등급",IF($C58&gt;=IF($B58="언어와 매체",회차설정!$C$9,회차설정!$C$8),"2등급",IF($C58&gt;=IF($B58="언어와 매체",회차설정!$D$9,회차설정!$D$8),"3등급",IF($C58&gt;=IF($B58="언어와 매체",회차설정!$E$9,회차설정!$E$8),"4등급","등급 외")))))</f>
        <v/>
      </c>
      <c r="E58" s="72">
        <f>IF($A58="","",IF(LEN(답안입력!$D58)&gt;=1,VALUE(MID(답안입력!$D58,1,1)),IF(답안입력!E58="","",답안입력!E58)))</f>
        <v/>
      </c>
      <c r="F58" s="72">
        <f>IF($A58="","",IF(LEN(답안입력!$D58)&gt;=2,VALUE(MID(답안입력!$D58,2,1)),IF(답안입력!F58="","",답안입력!F58)))</f>
        <v/>
      </c>
      <c r="G58" s="72">
        <f>IF($A58="","",IF(LEN(답안입력!$D58)&gt;=3,VALUE(MID(답안입력!$D58,3,1)),IF(답안입력!G58="","",답안입력!G58)))</f>
        <v/>
      </c>
      <c r="H58" s="72">
        <f>IF($A58="","",IF(LEN(답안입력!$D58)&gt;=4,VALUE(MID(답안입력!$D58,4,1)),IF(답안입력!H58="","",답안입력!H58)))</f>
        <v/>
      </c>
      <c r="I58" s="72">
        <f>IF($A58="","",IF(LEN(답안입력!$D58)&gt;=5,VALUE(MID(답안입력!$D58,5,1)),IF(답안입력!I58="","",답안입력!I58)))</f>
        <v/>
      </c>
      <c r="J58" s="72">
        <f>IF($A58="","",IF(LEN(답안입력!$D58)&gt;=6,VALUE(MID(답안입력!$D58,6,1)),IF(답안입력!J58="","",답안입력!J58)))</f>
        <v/>
      </c>
      <c r="K58" s="72">
        <f>IF($A58="","",IF(LEN(답안입력!$D58)&gt;=7,VALUE(MID(답안입력!$D58,7,1)),IF(답안입력!K58="","",답안입력!K58)))</f>
        <v/>
      </c>
      <c r="L58" s="72">
        <f>IF($A58="","",IF(LEN(답안입력!$D58)&gt;=8,VALUE(MID(답안입력!$D58,8,1)),IF(답안입력!L58="","",답안입력!L58)))</f>
        <v/>
      </c>
      <c r="M58" s="72">
        <f>IF($A58="","",IF(LEN(답안입력!$D58)&gt;=9,VALUE(MID(답안입력!$D58,9,1)),IF(답안입력!M58="","",답안입력!M58)))</f>
        <v/>
      </c>
      <c r="N58" s="72">
        <f>IF($A58="","",IF(LEN(답안입력!$D58)&gt;=10,VALUE(MID(답안입력!$D58,10,1)),IF(답안입력!N58="","",답안입력!N58)))</f>
        <v/>
      </c>
      <c r="O58" s="72">
        <f>IF($A58="","",IF(LEN(답안입력!$D58)&gt;=11,VALUE(MID(답안입력!$D58,11,1)),IF(답안입력!O58="","",답안입력!O58)))</f>
        <v/>
      </c>
      <c r="P58" s="72">
        <f>IF($A58="","",IF(LEN(답안입력!$D58)&gt;=12,VALUE(MID(답안입력!$D58,12,1)),IF(답안입력!P58="","",답안입력!P58)))</f>
        <v/>
      </c>
      <c r="Q58" s="72">
        <f>IF($A58="","",IF(LEN(답안입력!$D58)&gt;=13,VALUE(MID(답안입력!$D58,13,1)),IF(답안입력!Q58="","",답안입력!Q58)))</f>
        <v/>
      </c>
      <c r="R58" s="72">
        <f>IF($A58="","",IF(LEN(답안입력!$D58)&gt;=14,VALUE(MID(답안입력!$D58,14,1)),IF(답안입력!R58="","",답안입력!R58)))</f>
        <v/>
      </c>
      <c r="S58" s="72">
        <f>IF($A58="","",IF(LEN(답안입력!$D58)&gt;=15,VALUE(MID(답안입력!$D58,15,1)),IF(답안입력!S58="","",답안입력!S58)))</f>
        <v/>
      </c>
      <c r="T58" s="72">
        <f>IF($A58="","",IF(LEN(답안입력!$D58)&gt;=16,VALUE(MID(답안입력!$D58,16,1)),IF(답안입력!T58="","",답안입력!T58)))</f>
        <v/>
      </c>
      <c r="U58" s="72">
        <f>IF($A58="","",IF(LEN(답안입력!$D58)&gt;=17,VALUE(MID(답안입력!$D58,17,1)),IF(답안입력!U58="","",답안입력!U58)))</f>
        <v/>
      </c>
      <c r="V58" s="72">
        <f>IF($A58="","",IF(LEN(답안입력!$D58)&gt;=18,VALUE(MID(답안입력!$D58,18,1)),IF(답안입력!V58="","",답안입력!V58)))</f>
        <v/>
      </c>
      <c r="W58" s="72">
        <f>IF($A58="","",IF(LEN(답안입력!$D58)&gt;=19,VALUE(MID(답안입력!$D58,19,1)),IF(답안입력!W58="","",답안입력!W58)))</f>
        <v/>
      </c>
      <c r="X58" s="72">
        <f>IF($A58="","",IF(LEN(답안입력!$D58)&gt;=20,VALUE(MID(답안입력!$D58,20,1)),IF(답안입력!X58="","",답안입력!X58)))</f>
        <v/>
      </c>
      <c r="Y58" s="72">
        <f>IF($A58="","",IF(LEN(답안입력!$D58)&gt;=21,VALUE(MID(답안입력!$D58,21,1)),IF(답안입력!Y58="","",답안입력!Y58)))</f>
        <v/>
      </c>
      <c r="Z58" s="72">
        <f>IF($A58="","",IF(LEN(답안입력!$D58)&gt;=22,VALUE(MID(답안입력!$D58,22,1)),IF(답안입력!Z58="","",답안입력!Z58)))</f>
        <v/>
      </c>
      <c r="AA58" s="72">
        <f>IF($A58="","",IF(LEN(답안입력!$D58)&gt;=23,VALUE(MID(답안입력!$D58,23,1)),IF(답안입력!AA58="","",답안입력!AA58)))</f>
        <v/>
      </c>
      <c r="AB58" s="72">
        <f>IF($A58="","",IF(LEN(답안입력!$D58)&gt;=24,VALUE(MID(답안입력!$D58,24,1)),IF(답안입력!AB58="","",답안입력!AB58)))</f>
        <v/>
      </c>
      <c r="AC58" s="72">
        <f>IF($A58="","",IF(LEN(답안입력!$D58)&gt;=25,VALUE(MID(답안입력!$D58,25,1)),IF(답안입력!AC58="","",답안입력!AC58)))</f>
        <v/>
      </c>
      <c r="AD58" s="72">
        <f>IF($A58="","",IF(LEN(답안입력!$D58)&gt;=26,VALUE(MID(답안입력!$D58,26,1)),IF(답안입력!AD58="","",답안입력!AD58)))</f>
        <v/>
      </c>
      <c r="AE58" s="72">
        <f>IF($A58="","",IF(LEN(답안입력!$D58)&gt;=27,VALUE(MID(답안입력!$D58,27,1)),IF(답안입력!AE58="","",답안입력!AE58)))</f>
        <v/>
      </c>
      <c r="AF58" s="72">
        <f>IF($A58="","",IF(LEN(답안입력!$D58)&gt;=28,VALUE(MID(답안입력!$D58,28,1)),IF(답안입력!AF58="","",답안입력!AF58)))</f>
        <v/>
      </c>
      <c r="AG58" s="72">
        <f>IF($A58="","",IF(LEN(답안입력!$D58)&gt;=29,VALUE(MID(답안입력!$D58,29,1)),IF(답안입력!AG58="","",답안입력!AG58)))</f>
        <v/>
      </c>
      <c r="AH58" s="72">
        <f>IF($A58="","",IF(LEN(답안입력!$D58)&gt;=30,VALUE(MID(답안입력!$D58,30,1)),IF(답안입력!AH58="","",답안입력!AH58)))</f>
        <v/>
      </c>
      <c r="AI58" s="72">
        <f>IF($A58="","",IF(LEN(답안입력!$D58)&gt;=31,VALUE(MID(답안입력!$D58,31,1)),IF(답안입력!AI58="","",답안입력!AI58)))</f>
        <v/>
      </c>
      <c r="AJ58" s="72">
        <f>IF($A58="","",IF(LEN(답안입력!$D58)&gt;=32,VALUE(MID(답안입력!$D58,32,1)),IF(답안입력!AJ58="","",답안입력!AJ58)))</f>
        <v/>
      </c>
      <c r="AK58" s="72">
        <f>IF($A58="","",IF(LEN(답안입력!$D58)&gt;=33,VALUE(MID(답안입력!$D58,33,1)),IF(답안입력!AK58="","",답안입력!AK58)))</f>
        <v/>
      </c>
      <c r="AL58" s="72">
        <f>IF($A58="","",IF(LEN(답안입력!$D58)&gt;=34,VALUE(MID(답안입력!$D58,34,1)),IF(답안입력!AL58="","",답안입력!AL58)))</f>
        <v/>
      </c>
      <c r="AM58" s="72">
        <f>IF($A58="","",IF(LEN(답안입력!$D58)&gt;=35,VALUE(MID(답안입력!$D58,35,1)),IF(답안입력!AM58="","",답안입력!AM58)))</f>
        <v/>
      </c>
      <c r="AN58" s="72">
        <f>IF($A58="","",IF(LEN(답안입력!$D58)&gt;=36,VALUE(MID(답안입력!$D58,36,1)),IF(답안입력!AN58="","",답안입력!AN58)))</f>
        <v/>
      </c>
      <c r="AO58" s="72">
        <f>IF($A58="","",IF(LEN(답안입력!$D58)&gt;=37,VALUE(MID(답안입력!$D58,37,1)),IF(답안입력!AO58="","",답안입력!AO58)))</f>
        <v/>
      </c>
      <c r="AP58" s="72">
        <f>IF($A58="","",IF(LEN(답안입력!$D58)&gt;=38,VALUE(MID(답안입력!$D58,38,1)),IF(답안입력!AP58="","",답안입력!AP58)))</f>
        <v/>
      </c>
      <c r="AQ58" s="72">
        <f>IF($A58="","",IF(LEN(답안입력!$D58)&gt;=39,VALUE(MID(답안입력!$D58,39,1)),IF(답안입력!AQ58="","",답안입력!AQ58)))</f>
        <v/>
      </c>
      <c r="AR58" s="72">
        <f>IF($A58="","",IF(LEN(답안입력!$D58)&gt;=40,VALUE(MID(답안입력!$D58,40,1)),IF(답안입력!AR58="","",답안입력!AR58)))</f>
        <v/>
      </c>
      <c r="AS58" s="72">
        <f>IF($A58="","",IF(LEN(답안입력!$D58)&gt;=41,VALUE(MID(답안입력!$D58,41,1)),IF(답안입력!AS58="","",답안입력!AS58)))</f>
        <v/>
      </c>
      <c r="AT58" s="72">
        <f>IF($A58="","",IF(LEN(답안입력!$D58)&gt;=42,VALUE(MID(답안입력!$D58,42,1)),IF(답안입력!AT58="","",답안입력!AT58)))</f>
        <v/>
      </c>
      <c r="AU58" s="72">
        <f>IF($A58="","",IF(LEN(답안입력!$D58)&gt;=43,VALUE(MID(답안입력!$D58,43,1)),IF(답안입력!AU58="","",답안입력!AU58)))</f>
        <v/>
      </c>
      <c r="AV58" s="72">
        <f>IF($A58="","",IF(LEN(답안입력!$D58)&gt;=44,VALUE(MID(답안입력!$D58,44,1)),IF(답안입력!AV58="","",답안입력!AV58)))</f>
        <v/>
      </c>
      <c r="AW58" s="72">
        <f>IF($A58="","",IF(LEN(답안입력!$D58)&gt;=45,VALUE(MID(답안입력!$D58,45,1)),IF(답안입력!AW58="","",답안입력!AW58)))</f>
        <v/>
      </c>
      <c r="AX58" s="72">
        <f>IF($A58="","",IF(E58="",0,IF(E58=IF($B58="언어와 매체",자동계산!$D$4,자동계산!$B$4),IF($B58="언어와 매체",자동계산!$E$4,자동계산!$C$4),0)))</f>
        <v/>
      </c>
      <c r="AY58" s="72">
        <f>IF($A58="","",IF(F58="",0,IF(F58=IF($B58="언어와 매체",자동계산!$D$5,자동계산!$B$5),IF($B58="언어와 매체",자동계산!$E$5,자동계산!$C$5),0)))</f>
        <v/>
      </c>
      <c r="AZ58" s="72">
        <f>IF($A58="","",IF(G58="",0,IF(G58=IF($B58="언어와 매체",자동계산!$D$6,자동계산!$B$6),IF($B58="언어와 매체",자동계산!$E$6,자동계산!$C$6),0)))</f>
        <v/>
      </c>
      <c r="BA58" s="72">
        <f>IF($A58="","",IF(H58="",0,IF(H58=IF($B58="언어와 매체",자동계산!$D$7,자동계산!$B$7),IF($B58="언어와 매체",자동계산!$E$7,자동계산!$C$7),0)))</f>
        <v/>
      </c>
      <c r="BB58" s="72">
        <f>IF($A58="","",IF(I58="",0,IF(I58=IF($B58="언어와 매체",자동계산!$D$8,자동계산!$B$8),IF($B58="언어와 매체",자동계산!$E$8,자동계산!$C$8),0)))</f>
        <v/>
      </c>
      <c r="BC58" s="72">
        <f>IF($A58="","",IF(J58="",0,IF(J58=IF($B58="언어와 매체",자동계산!$D$9,자동계산!$B$9),IF($B58="언어와 매체",자동계산!$E$9,자동계산!$C$9),0)))</f>
        <v/>
      </c>
      <c r="BD58" s="72">
        <f>IF($A58="","",IF(K58="",0,IF(K58=IF($B58="언어와 매체",자동계산!$D$10,자동계산!$B$10),IF($B58="언어와 매체",자동계산!$E$10,자동계산!$C$10),0)))</f>
        <v/>
      </c>
      <c r="BE58" s="72">
        <f>IF($A58="","",IF(L58="",0,IF(L58=IF($B58="언어와 매체",자동계산!$D$11,자동계산!$B$11),IF($B58="언어와 매체",자동계산!$E$11,자동계산!$C$11),0)))</f>
        <v/>
      </c>
      <c r="BF58" s="72">
        <f>IF($A58="","",IF(M58="",0,IF(M58=IF($B58="언어와 매체",자동계산!$D$12,자동계산!$B$12),IF($B58="언어와 매체",자동계산!$E$12,자동계산!$C$12),0)))</f>
        <v/>
      </c>
      <c r="BG58" s="72">
        <f>IF($A58="","",IF(N58="",0,IF(N58=IF($B58="언어와 매체",자동계산!$D$13,자동계산!$B$13),IF($B58="언어와 매체",자동계산!$E$13,자동계산!$C$13),0)))</f>
        <v/>
      </c>
      <c r="BH58" s="72">
        <f>IF($A58="","",IF(O58="",0,IF(O58=IF($B58="언어와 매체",자동계산!$D$14,자동계산!$B$14),IF($B58="언어와 매체",자동계산!$E$14,자동계산!$C$14),0)))</f>
        <v/>
      </c>
      <c r="BI58" s="72">
        <f>IF($A58="","",IF(P58="",0,IF(P58=IF($B58="언어와 매체",자동계산!$D$15,자동계산!$B$15),IF($B58="언어와 매체",자동계산!$E$15,자동계산!$C$15),0)))</f>
        <v/>
      </c>
      <c r="BJ58" s="72">
        <f>IF($A58="","",IF(Q58="",0,IF(Q58=IF($B58="언어와 매체",자동계산!$D$16,자동계산!$B$16),IF($B58="언어와 매체",자동계산!$E$16,자동계산!$C$16),0)))</f>
        <v/>
      </c>
      <c r="BK58" s="72">
        <f>IF($A58="","",IF(R58="",0,IF(R58=IF($B58="언어와 매체",자동계산!$D$17,자동계산!$B$17),IF($B58="언어와 매체",자동계산!$E$17,자동계산!$C$17),0)))</f>
        <v/>
      </c>
      <c r="BL58" s="72">
        <f>IF($A58="","",IF(S58="",0,IF(S58=IF($B58="언어와 매체",자동계산!$D$18,자동계산!$B$18),IF($B58="언어와 매체",자동계산!$E$18,자동계산!$C$18),0)))</f>
        <v/>
      </c>
      <c r="BM58" s="72">
        <f>IF($A58="","",IF(T58="",0,IF(T58=IF($B58="언어와 매체",자동계산!$D$19,자동계산!$B$19),IF($B58="언어와 매체",자동계산!$E$19,자동계산!$C$19),0)))</f>
        <v/>
      </c>
      <c r="BN58" s="72">
        <f>IF($A58="","",IF(U58="",0,IF(U58=IF($B58="언어와 매체",자동계산!$D$20,자동계산!$B$20),IF($B58="언어와 매체",자동계산!$E$20,자동계산!$C$20),0)))</f>
        <v/>
      </c>
      <c r="BO58" s="72">
        <f>IF($A58="","",IF(V58="",0,IF(V58=IF($B58="언어와 매체",자동계산!$D$21,자동계산!$B$21),IF($B58="언어와 매체",자동계산!$E$21,자동계산!$C$21),0)))</f>
        <v/>
      </c>
      <c r="BP58" s="72">
        <f>IF($A58="","",IF(W58="",0,IF(W58=IF($B58="언어와 매체",자동계산!$D$22,자동계산!$B$22),IF($B58="언어와 매체",자동계산!$E$22,자동계산!$C$22),0)))</f>
        <v/>
      </c>
      <c r="BQ58" s="72">
        <f>IF($A58="","",IF(X58="",0,IF(X58=IF($B58="언어와 매체",자동계산!$D$23,자동계산!$B$23),IF($B58="언어와 매체",자동계산!$E$23,자동계산!$C$23),0)))</f>
        <v/>
      </c>
      <c r="BR58" s="72">
        <f>IF($A58="","",IF(Y58="",0,IF(Y58=IF($B58="언어와 매체",자동계산!$D$24,자동계산!$B$24),IF($B58="언어와 매체",자동계산!$E$24,자동계산!$C$24),0)))</f>
        <v/>
      </c>
      <c r="BS58" s="72">
        <f>IF($A58="","",IF(Z58="",0,IF(Z58=IF($B58="언어와 매체",자동계산!$D$25,자동계산!$B$25),IF($B58="언어와 매체",자동계산!$E$25,자동계산!$C$25),0)))</f>
        <v/>
      </c>
      <c r="BT58" s="72">
        <f>IF($A58="","",IF(AA58="",0,IF(AA58=IF($B58="언어와 매체",자동계산!$D$26,자동계산!$B$26),IF($B58="언어와 매체",자동계산!$E$26,자동계산!$C$26),0)))</f>
        <v/>
      </c>
      <c r="BU58" s="72">
        <f>IF($A58="","",IF(AB58="",0,IF(AB58=IF($B58="언어와 매체",자동계산!$D$27,자동계산!$B$27),IF($B58="언어와 매체",자동계산!$E$27,자동계산!$C$27),0)))</f>
        <v/>
      </c>
      <c r="BV58" s="72">
        <f>IF($A58="","",IF(AC58="",0,IF(AC58=IF($B58="언어와 매체",자동계산!$D$28,자동계산!$B$28),IF($B58="언어와 매체",자동계산!$E$28,자동계산!$C$28),0)))</f>
        <v/>
      </c>
      <c r="BW58" s="72">
        <f>IF($A58="","",IF(AD58="",0,IF(AD58=IF($B58="언어와 매체",자동계산!$D$29,자동계산!$B$29),IF($B58="언어와 매체",자동계산!$E$29,자동계산!$C$29),0)))</f>
        <v/>
      </c>
      <c r="BX58" s="72">
        <f>IF($A58="","",IF(AE58="",0,IF(AE58=IF($B58="언어와 매체",자동계산!$D$30,자동계산!$B$30),IF($B58="언어와 매체",자동계산!$E$30,자동계산!$C$30),0)))</f>
        <v/>
      </c>
      <c r="BY58" s="72">
        <f>IF($A58="","",IF(AF58="",0,IF(AF58=IF($B58="언어와 매체",자동계산!$D$31,자동계산!$B$31),IF($B58="언어와 매체",자동계산!$E$31,자동계산!$C$31),0)))</f>
        <v/>
      </c>
      <c r="BZ58" s="72">
        <f>IF($A58="","",IF(AG58="",0,IF(AG58=IF($B58="언어와 매체",자동계산!$D$32,자동계산!$B$32),IF($B58="언어와 매체",자동계산!$E$32,자동계산!$C$32),0)))</f>
        <v/>
      </c>
      <c r="CA58" s="72">
        <f>IF($A58="","",IF(AH58="",0,IF(AH58=IF($B58="언어와 매체",자동계산!$D$33,자동계산!$B$33),IF($B58="언어와 매체",자동계산!$E$33,자동계산!$C$33),0)))</f>
        <v/>
      </c>
      <c r="CB58" s="72">
        <f>IF($A58="","",IF(AI58="",0,IF(AI58=IF($B58="언어와 매체",자동계산!$D$34,자동계산!$B$34),IF($B58="언어와 매체",자동계산!$E$34,자동계산!$C$34),0)))</f>
        <v/>
      </c>
      <c r="CC58" s="72">
        <f>IF($A58="","",IF(AJ58="",0,IF(AJ58=IF($B58="언어와 매체",자동계산!$D$35,자동계산!$B$35),IF($B58="언어와 매체",자동계산!$E$35,자동계산!$C$35),0)))</f>
        <v/>
      </c>
      <c r="CD58" s="72">
        <f>IF($A58="","",IF(AK58="",0,IF(AK58=IF($B58="언어와 매체",자동계산!$D$36,자동계산!$B$36),IF($B58="언어와 매체",자동계산!$E$36,자동계산!$C$36),0)))</f>
        <v/>
      </c>
      <c r="CE58" s="72">
        <f>IF($A58="","",IF(AL58="",0,IF(AL58=IF($B58="언어와 매체",자동계산!$D$37,자동계산!$B$37),IF($B58="언어와 매체",자동계산!$E$37,자동계산!$C$37),0)))</f>
        <v/>
      </c>
      <c r="CF58" s="72">
        <f>IF($A58="","",IF(AM58="",0,IF(AM58=IF($B58="언어와 매체",자동계산!$D$38,자동계산!$B$38),IF($B58="언어와 매체",자동계산!$E$38,자동계산!$C$38),0)))</f>
        <v/>
      </c>
      <c r="CG58" s="72">
        <f>IF($A58="","",IF(AN58="",0,IF(AN58=IF($B58="언어와 매체",자동계산!$D$39,자동계산!$B$39),IF($B58="언어와 매체",자동계산!$E$39,자동계산!$C$39),0)))</f>
        <v/>
      </c>
      <c r="CH58" s="72">
        <f>IF($A58="","",IF(AO58="",0,IF(AO58=IF($B58="언어와 매체",자동계산!$D$40,자동계산!$B$40),IF($B58="언어와 매체",자동계산!$E$40,자동계산!$C$40),0)))</f>
        <v/>
      </c>
      <c r="CI58" s="72">
        <f>IF($A58="","",IF(AP58="",0,IF(AP58=IF($B58="언어와 매체",자동계산!$D$41,자동계산!$B$41),IF($B58="언어와 매체",자동계산!$E$41,자동계산!$C$41),0)))</f>
        <v/>
      </c>
      <c r="CJ58" s="72">
        <f>IF($A58="","",IF(AQ58="",0,IF(AQ58=IF($B58="언어와 매체",자동계산!$D$42,자동계산!$B$42),IF($B58="언어와 매체",자동계산!$E$42,자동계산!$C$42),0)))</f>
        <v/>
      </c>
      <c r="CK58" s="72">
        <f>IF($A58="","",IF(AR58="",0,IF(AR58=IF($B58="언어와 매체",자동계산!$D$43,자동계산!$B$43),IF($B58="언어와 매체",자동계산!$E$43,자동계산!$C$43),0)))</f>
        <v/>
      </c>
      <c r="CL58" s="72">
        <f>IF($A58="","",IF(AS58="",0,IF(AS58=IF($B58="언어와 매체",자동계산!$D$44,자동계산!$B$44),IF($B58="언어와 매체",자동계산!$E$44,자동계산!$C$44),0)))</f>
        <v/>
      </c>
      <c r="CM58" s="72">
        <f>IF($A58="","",IF(AT58="",0,IF(AT58=IF($B58="언어와 매체",자동계산!$D$45,자동계산!$B$45),IF($B58="언어와 매체",자동계산!$E$45,자동계산!$C$45),0)))</f>
        <v/>
      </c>
      <c r="CN58" s="72">
        <f>IF($A58="","",IF(AU58="",0,IF(AU58=IF($B58="언어와 매체",자동계산!$D$46,자동계산!$B$46),IF($B58="언어와 매체",자동계산!$E$46,자동계산!$C$46),0)))</f>
        <v/>
      </c>
      <c r="CO58" s="72">
        <f>IF($A58="","",IF(AV58="",0,IF(AV58=IF($B58="언어와 매체",자동계산!$D$47,자동계산!$B$47),IF($B58="언어와 매체",자동계산!$E$47,자동계산!$C$47),0)))</f>
        <v/>
      </c>
      <c r="CP58" s="72">
        <f>IF($A58="","",IF(AW58="",0,IF(AW58=IF($B58="언어와 매체",자동계산!$D$48,자동계산!$B$48),IF($B58="언어와 매체",자동계산!$E$48,자동계산!$C$48),0)))</f>
        <v/>
      </c>
    </row>
    <row r="59">
      <c r="A59" s="70">
        <f>IF(답안입력!A59="","",답안입력!A59)</f>
        <v/>
      </c>
      <c r="B59" s="70">
        <f>IF($A59="","",답안입력!C59)</f>
        <v/>
      </c>
      <c r="C59" s="71">
        <f>IF($A59="","",SUM(AX59:CP59))</f>
        <v/>
      </c>
      <c r="D59" s="70">
        <f>IF($A59="","",IF($C59&gt;=IF($B59="언어와 매체",회차설정!$B$9,회차설정!$B$8),"1등급",IF($C59&gt;=IF($B59="언어와 매체",회차설정!$C$9,회차설정!$C$8),"2등급",IF($C59&gt;=IF($B59="언어와 매체",회차설정!$D$9,회차설정!$D$8),"3등급",IF($C59&gt;=IF($B59="언어와 매체",회차설정!$E$9,회차설정!$E$8),"4등급","등급 외")))))</f>
        <v/>
      </c>
      <c r="E59" s="72">
        <f>IF($A59="","",IF(LEN(답안입력!$D59)&gt;=1,VALUE(MID(답안입력!$D59,1,1)),IF(답안입력!E59="","",답안입력!E59)))</f>
        <v/>
      </c>
      <c r="F59" s="72">
        <f>IF($A59="","",IF(LEN(답안입력!$D59)&gt;=2,VALUE(MID(답안입력!$D59,2,1)),IF(답안입력!F59="","",답안입력!F59)))</f>
        <v/>
      </c>
      <c r="G59" s="72">
        <f>IF($A59="","",IF(LEN(답안입력!$D59)&gt;=3,VALUE(MID(답안입력!$D59,3,1)),IF(답안입력!G59="","",답안입력!G59)))</f>
        <v/>
      </c>
      <c r="H59" s="72">
        <f>IF($A59="","",IF(LEN(답안입력!$D59)&gt;=4,VALUE(MID(답안입력!$D59,4,1)),IF(답안입력!H59="","",답안입력!H59)))</f>
        <v/>
      </c>
      <c r="I59" s="72">
        <f>IF($A59="","",IF(LEN(답안입력!$D59)&gt;=5,VALUE(MID(답안입력!$D59,5,1)),IF(답안입력!I59="","",답안입력!I59)))</f>
        <v/>
      </c>
      <c r="J59" s="72">
        <f>IF($A59="","",IF(LEN(답안입력!$D59)&gt;=6,VALUE(MID(답안입력!$D59,6,1)),IF(답안입력!J59="","",답안입력!J59)))</f>
        <v/>
      </c>
      <c r="K59" s="72">
        <f>IF($A59="","",IF(LEN(답안입력!$D59)&gt;=7,VALUE(MID(답안입력!$D59,7,1)),IF(답안입력!K59="","",답안입력!K59)))</f>
        <v/>
      </c>
      <c r="L59" s="72">
        <f>IF($A59="","",IF(LEN(답안입력!$D59)&gt;=8,VALUE(MID(답안입력!$D59,8,1)),IF(답안입력!L59="","",답안입력!L59)))</f>
        <v/>
      </c>
      <c r="M59" s="72">
        <f>IF($A59="","",IF(LEN(답안입력!$D59)&gt;=9,VALUE(MID(답안입력!$D59,9,1)),IF(답안입력!M59="","",답안입력!M59)))</f>
        <v/>
      </c>
      <c r="N59" s="72">
        <f>IF($A59="","",IF(LEN(답안입력!$D59)&gt;=10,VALUE(MID(답안입력!$D59,10,1)),IF(답안입력!N59="","",답안입력!N59)))</f>
        <v/>
      </c>
      <c r="O59" s="72">
        <f>IF($A59="","",IF(LEN(답안입력!$D59)&gt;=11,VALUE(MID(답안입력!$D59,11,1)),IF(답안입력!O59="","",답안입력!O59)))</f>
        <v/>
      </c>
      <c r="P59" s="72">
        <f>IF($A59="","",IF(LEN(답안입력!$D59)&gt;=12,VALUE(MID(답안입력!$D59,12,1)),IF(답안입력!P59="","",답안입력!P59)))</f>
        <v/>
      </c>
      <c r="Q59" s="72">
        <f>IF($A59="","",IF(LEN(답안입력!$D59)&gt;=13,VALUE(MID(답안입력!$D59,13,1)),IF(답안입력!Q59="","",답안입력!Q59)))</f>
        <v/>
      </c>
      <c r="R59" s="72">
        <f>IF($A59="","",IF(LEN(답안입력!$D59)&gt;=14,VALUE(MID(답안입력!$D59,14,1)),IF(답안입력!R59="","",답안입력!R59)))</f>
        <v/>
      </c>
      <c r="S59" s="72">
        <f>IF($A59="","",IF(LEN(답안입력!$D59)&gt;=15,VALUE(MID(답안입력!$D59,15,1)),IF(답안입력!S59="","",답안입력!S59)))</f>
        <v/>
      </c>
      <c r="T59" s="72">
        <f>IF($A59="","",IF(LEN(답안입력!$D59)&gt;=16,VALUE(MID(답안입력!$D59,16,1)),IF(답안입력!T59="","",답안입력!T59)))</f>
        <v/>
      </c>
      <c r="U59" s="72">
        <f>IF($A59="","",IF(LEN(답안입력!$D59)&gt;=17,VALUE(MID(답안입력!$D59,17,1)),IF(답안입력!U59="","",답안입력!U59)))</f>
        <v/>
      </c>
      <c r="V59" s="72">
        <f>IF($A59="","",IF(LEN(답안입력!$D59)&gt;=18,VALUE(MID(답안입력!$D59,18,1)),IF(답안입력!V59="","",답안입력!V59)))</f>
        <v/>
      </c>
      <c r="W59" s="72">
        <f>IF($A59="","",IF(LEN(답안입력!$D59)&gt;=19,VALUE(MID(답안입력!$D59,19,1)),IF(답안입력!W59="","",답안입력!W59)))</f>
        <v/>
      </c>
      <c r="X59" s="72">
        <f>IF($A59="","",IF(LEN(답안입력!$D59)&gt;=20,VALUE(MID(답안입력!$D59,20,1)),IF(답안입력!X59="","",답안입력!X59)))</f>
        <v/>
      </c>
      <c r="Y59" s="72">
        <f>IF($A59="","",IF(LEN(답안입력!$D59)&gt;=21,VALUE(MID(답안입력!$D59,21,1)),IF(답안입력!Y59="","",답안입력!Y59)))</f>
        <v/>
      </c>
      <c r="Z59" s="72">
        <f>IF($A59="","",IF(LEN(답안입력!$D59)&gt;=22,VALUE(MID(답안입력!$D59,22,1)),IF(답안입력!Z59="","",답안입력!Z59)))</f>
        <v/>
      </c>
      <c r="AA59" s="72">
        <f>IF($A59="","",IF(LEN(답안입력!$D59)&gt;=23,VALUE(MID(답안입력!$D59,23,1)),IF(답안입력!AA59="","",답안입력!AA59)))</f>
        <v/>
      </c>
      <c r="AB59" s="72">
        <f>IF($A59="","",IF(LEN(답안입력!$D59)&gt;=24,VALUE(MID(답안입력!$D59,24,1)),IF(답안입력!AB59="","",답안입력!AB59)))</f>
        <v/>
      </c>
      <c r="AC59" s="72">
        <f>IF($A59="","",IF(LEN(답안입력!$D59)&gt;=25,VALUE(MID(답안입력!$D59,25,1)),IF(답안입력!AC59="","",답안입력!AC59)))</f>
        <v/>
      </c>
      <c r="AD59" s="72">
        <f>IF($A59="","",IF(LEN(답안입력!$D59)&gt;=26,VALUE(MID(답안입력!$D59,26,1)),IF(답안입력!AD59="","",답안입력!AD59)))</f>
        <v/>
      </c>
      <c r="AE59" s="72">
        <f>IF($A59="","",IF(LEN(답안입력!$D59)&gt;=27,VALUE(MID(답안입력!$D59,27,1)),IF(답안입력!AE59="","",답안입력!AE59)))</f>
        <v/>
      </c>
      <c r="AF59" s="72">
        <f>IF($A59="","",IF(LEN(답안입력!$D59)&gt;=28,VALUE(MID(답안입력!$D59,28,1)),IF(답안입력!AF59="","",답안입력!AF59)))</f>
        <v/>
      </c>
      <c r="AG59" s="72">
        <f>IF($A59="","",IF(LEN(답안입력!$D59)&gt;=29,VALUE(MID(답안입력!$D59,29,1)),IF(답안입력!AG59="","",답안입력!AG59)))</f>
        <v/>
      </c>
      <c r="AH59" s="72">
        <f>IF($A59="","",IF(LEN(답안입력!$D59)&gt;=30,VALUE(MID(답안입력!$D59,30,1)),IF(답안입력!AH59="","",답안입력!AH59)))</f>
        <v/>
      </c>
      <c r="AI59" s="72">
        <f>IF($A59="","",IF(LEN(답안입력!$D59)&gt;=31,VALUE(MID(답안입력!$D59,31,1)),IF(답안입력!AI59="","",답안입력!AI59)))</f>
        <v/>
      </c>
      <c r="AJ59" s="72">
        <f>IF($A59="","",IF(LEN(답안입력!$D59)&gt;=32,VALUE(MID(답안입력!$D59,32,1)),IF(답안입력!AJ59="","",답안입력!AJ59)))</f>
        <v/>
      </c>
      <c r="AK59" s="72">
        <f>IF($A59="","",IF(LEN(답안입력!$D59)&gt;=33,VALUE(MID(답안입력!$D59,33,1)),IF(답안입력!AK59="","",답안입력!AK59)))</f>
        <v/>
      </c>
      <c r="AL59" s="72">
        <f>IF($A59="","",IF(LEN(답안입력!$D59)&gt;=34,VALUE(MID(답안입력!$D59,34,1)),IF(답안입력!AL59="","",답안입력!AL59)))</f>
        <v/>
      </c>
      <c r="AM59" s="72">
        <f>IF($A59="","",IF(LEN(답안입력!$D59)&gt;=35,VALUE(MID(답안입력!$D59,35,1)),IF(답안입력!AM59="","",답안입력!AM59)))</f>
        <v/>
      </c>
      <c r="AN59" s="72">
        <f>IF($A59="","",IF(LEN(답안입력!$D59)&gt;=36,VALUE(MID(답안입력!$D59,36,1)),IF(답안입력!AN59="","",답안입력!AN59)))</f>
        <v/>
      </c>
      <c r="AO59" s="72">
        <f>IF($A59="","",IF(LEN(답안입력!$D59)&gt;=37,VALUE(MID(답안입력!$D59,37,1)),IF(답안입력!AO59="","",답안입력!AO59)))</f>
        <v/>
      </c>
      <c r="AP59" s="72">
        <f>IF($A59="","",IF(LEN(답안입력!$D59)&gt;=38,VALUE(MID(답안입력!$D59,38,1)),IF(답안입력!AP59="","",답안입력!AP59)))</f>
        <v/>
      </c>
      <c r="AQ59" s="72">
        <f>IF($A59="","",IF(LEN(답안입력!$D59)&gt;=39,VALUE(MID(답안입력!$D59,39,1)),IF(답안입력!AQ59="","",답안입력!AQ59)))</f>
        <v/>
      </c>
      <c r="AR59" s="72">
        <f>IF($A59="","",IF(LEN(답안입력!$D59)&gt;=40,VALUE(MID(답안입력!$D59,40,1)),IF(답안입력!AR59="","",답안입력!AR59)))</f>
        <v/>
      </c>
      <c r="AS59" s="72">
        <f>IF($A59="","",IF(LEN(답안입력!$D59)&gt;=41,VALUE(MID(답안입력!$D59,41,1)),IF(답안입력!AS59="","",답안입력!AS59)))</f>
        <v/>
      </c>
      <c r="AT59" s="72">
        <f>IF($A59="","",IF(LEN(답안입력!$D59)&gt;=42,VALUE(MID(답안입력!$D59,42,1)),IF(답안입력!AT59="","",답안입력!AT59)))</f>
        <v/>
      </c>
      <c r="AU59" s="72">
        <f>IF($A59="","",IF(LEN(답안입력!$D59)&gt;=43,VALUE(MID(답안입력!$D59,43,1)),IF(답안입력!AU59="","",답안입력!AU59)))</f>
        <v/>
      </c>
      <c r="AV59" s="72">
        <f>IF($A59="","",IF(LEN(답안입력!$D59)&gt;=44,VALUE(MID(답안입력!$D59,44,1)),IF(답안입력!AV59="","",답안입력!AV59)))</f>
        <v/>
      </c>
      <c r="AW59" s="72">
        <f>IF($A59="","",IF(LEN(답안입력!$D59)&gt;=45,VALUE(MID(답안입력!$D59,45,1)),IF(답안입력!AW59="","",답안입력!AW59)))</f>
        <v/>
      </c>
      <c r="AX59" s="72">
        <f>IF($A59="","",IF(E59="",0,IF(E59=IF($B59="언어와 매체",자동계산!$D$4,자동계산!$B$4),IF($B59="언어와 매체",자동계산!$E$4,자동계산!$C$4),0)))</f>
        <v/>
      </c>
      <c r="AY59" s="72">
        <f>IF($A59="","",IF(F59="",0,IF(F59=IF($B59="언어와 매체",자동계산!$D$5,자동계산!$B$5),IF($B59="언어와 매체",자동계산!$E$5,자동계산!$C$5),0)))</f>
        <v/>
      </c>
      <c r="AZ59" s="72">
        <f>IF($A59="","",IF(G59="",0,IF(G59=IF($B59="언어와 매체",자동계산!$D$6,자동계산!$B$6),IF($B59="언어와 매체",자동계산!$E$6,자동계산!$C$6),0)))</f>
        <v/>
      </c>
      <c r="BA59" s="72">
        <f>IF($A59="","",IF(H59="",0,IF(H59=IF($B59="언어와 매체",자동계산!$D$7,자동계산!$B$7),IF($B59="언어와 매체",자동계산!$E$7,자동계산!$C$7),0)))</f>
        <v/>
      </c>
      <c r="BB59" s="72">
        <f>IF($A59="","",IF(I59="",0,IF(I59=IF($B59="언어와 매체",자동계산!$D$8,자동계산!$B$8),IF($B59="언어와 매체",자동계산!$E$8,자동계산!$C$8),0)))</f>
        <v/>
      </c>
      <c r="BC59" s="72">
        <f>IF($A59="","",IF(J59="",0,IF(J59=IF($B59="언어와 매체",자동계산!$D$9,자동계산!$B$9),IF($B59="언어와 매체",자동계산!$E$9,자동계산!$C$9),0)))</f>
        <v/>
      </c>
      <c r="BD59" s="72">
        <f>IF($A59="","",IF(K59="",0,IF(K59=IF($B59="언어와 매체",자동계산!$D$10,자동계산!$B$10),IF($B59="언어와 매체",자동계산!$E$10,자동계산!$C$10),0)))</f>
        <v/>
      </c>
      <c r="BE59" s="72">
        <f>IF($A59="","",IF(L59="",0,IF(L59=IF($B59="언어와 매체",자동계산!$D$11,자동계산!$B$11),IF($B59="언어와 매체",자동계산!$E$11,자동계산!$C$11),0)))</f>
        <v/>
      </c>
      <c r="BF59" s="72">
        <f>IF($A59="","",IF(M59="",0,IF(M59=IF($B59="언어와 매체",자동계산!$D$12,자동계산!$B$12),IF($B59="언어와 매체",자동계산!$E$12,자동계산!$C$12),0)))</f>
        <v/>
      </c>
      <c r="BG59" s="72">
        <f>IF($A59="","",IF(N59="",0,IF(N59=IF($B59="언어와 매체",자동계산!$D$13,자동계산!$B$13),IF($B59="언어와 매체",자동계산!$E$13,자동계산!$C$13),0)))</f>
        <v/>
      </c>
      <c r="BH59" s="72">
        <f>IF($A59="","",IF(O59="",0,IF(O59=IF($B59="언어와 매체",자동계산!$D$14,자동계산!$B$14),IF($B59="언어와 매체",자동계산!$E$14,자동계산!$C$14),0)))</f>
        <v/>
      </c>
      <c r="BI59" s="72">
        <f>IF($A59="","",IF(P59="",0,IF(P59=IF($B59="언어와 매체",자동계산!$D$15,자동계산!$B$15),IF($B59="언어와 매체",자동계산!$E$15,자동계산!$C$15),0)))</f>
        <v/>
      </c>
      <c r="BJ59" s="72">
        <f>IF($A59="","",IF(Q59="",0,IF(Q59=IF($B59="언어와 매체",자동계산!$D$16,자동계산!$B$16),IF($B59="언어와 매체",자동계산!$E$16,자동계산!$C$16),0)))</f>
        <v/>
      </c>
      <c r="BK59" s="72">
        <f>IF($A59="","",IF(R59="",0,IF(R59=IF($B59="언어와 매체",자동계산!$D$17,자동계산!$B$17),IF($B59="언어와 매체",자동계산!$E$17,자동계산!$C$17),0)))</f>
        <v/>
      </c>
      <c r="BL59" s="72">
        <f>IF($A59="","",IF(S59="",0,IF(S59=IF($B59="언어와 매체",자동계산!$D$18,자동계산!$B$18),IF($B59="언어와 매체",자동계산!$E$18,자동계산!$C$18),0)))</f>
        <v/>
      </c>
      <c r="BM59" s="72">
        <f>IF($A59="","",IF(T59="",0,IF(T59=IF($B59="언어와 매체",자동계산!$D$19,자동계산!$B$19),IF($B59="언어와 매체",자동계산!$E$19,자동계산!$C$19),0)))</f>
        <v/>
      </c>
      <c r="BN59" s="72">
        <f>IF($A59="","",IF(U59="",0,IF(U59=IF($B59="언어와 매체",자동계산!$D$20,자동계산!$B$20),IF($B59="언어와 매체",자동계산!$E$20,자동계산!$C$20),0)))</f>
        <v/>
      </c>
      <c r="BO59" s="72">
        <f>IF($A59="","",IF(V59="",0,IF(V59=IF($B59="언어와 매체",자동계산!$D$21,자동계산!$B$21),IF($B59="언어와 매체",자동계산!$E$21,자동계산!$C$21),0)))</f>
        <v/>
      </c>
      <c r="BP59" s="72">
        <f>IF($A59="","",IF(W59="",0,IF(W59=IF($B59="언어와 매체",자동계산!$D$22,자동계산!$B$22),IF($B59="언어와 매체",자동계산!$E$22,자동계산!$C$22),0)))</f>
        <v/>
      </c>
      <c r="BQ59" s="72">
        <f>IF($A59="","",IF(X59="",0,IF(X59=IF($B59="언어와 매체",자동계산!$D$23,자동계산!$B$23),IF($B59="언어와 매체",자동계산!$E$23,자동계산!$C$23),0)))</f>
        <v/>
      </c>
      <c r="BR59" s="72">
        <f>IF($A59="","",IF(Y59="",0,IF(Y59=IF($B59="언어와 매체",자동계산!$D$24,자동계산!$B$24),IF($B59="언어와 매체",자동계산!$E$24,자동계산!$C$24),0)))</f>
        <v/>
      </c>
      <c r="BS59" s="72">
        <f>IF($A59="","",IF(Z59="",0,IF(Z59=IF($B59="언어와 매체",자동계산!$D$25,자동계산!$B$25),IF($B59="언어와 매체",자동계산!$E$25,자동계산!$C$25),0)))</f>
        <v/>
      </c>
      <c r="BT59" s="72">
        <f>IF($A59="","",IF(AA59="",0,IF(AA59=IF($B59="언어와 매체",자동계산!$D$26,자동계산!$B$26),IF($B59="언어와 매체",자동계산!$E$26,자동계산!$C$26),0)))</f>
        <v/>
      </c>
      <c r="BU59" s="72">
        <f>IF($A59="","",IF(AB59="",0,IF(AB59=IF($B59="언어와 매체",자동계산!$D$27,자동계산!$B$27),IF($B59="언어와 매체",자동계산!$E$27,자동계산!$C$27),0)))</f>
        <v/>
      </c>
      <c r="BV59" s="72">
        <f>IF($A59="","",IF(AC59="",0,IF(AC59=IF($B59="언어와 매체",자동계산!$D$28,자동계산!$B$28),IF($B59="언어와 매체",자동계산!$E$28,자동계산!$C$28),0)))</f>
        <v/>
      </c>
      <c r="BW59" s="72">
        <f>IF($A59="","",IF(AD59="",0,IF(AD59=IF($B59="언어와 매체",자동계산!$D$29,자동계산!$B$29),IF($B59="언어와 매체",자동계산!$E$29,자동계산!$C$29),0)))</f>
        <v/>
      </c>
      <c r="BX59" s="72">
        <f>IF($A59="","",IF(AE59="",0,IF(AE59=IF($B59="언어와 매체",자동계산!$D$30,자동계산!$B$30),IF($B59="언어와 매체",자동계산!$E$30,자동계산!$C$30),0)))</f>
        <v/>
      </c>
      <c r="BY59" s="72">
        <f>IF($A59="","",IF(AF59="",0,IF(AF59=IF($B59="언어와 매체",자동계산!$D$31,자동계산!$B$31),IF($B59="언어와 매체",자동계산!$E$31,자동계산!$C$31),0)))</f>
        <v/>
      </c>
      <c r="BZ59" s="72">
        <f>IF($A59="","",IF(AG59="",0,IF(AG59=IF($B59="언어와 매체",자동계산!$D$32,자동계산!$B$32),IF($B59="언어와 매체",자동계산!$E$32,자동계산!$C$32),0)))</f>
        <v/>
      </c>
      <c r="CA59" s="72">
        <f>IF($A59="","",IF(AH59="",0,IF(AH59=IF($B59="언어와 매체",자동계산!$D$33,자동계산!$B$33),IF($B59="언어와 매체",자동계산!$E$33,자동계산!$C$33),0)))</f>
        <v/>
      </c>
      <c r="CB59" s="72">
        <f>IF($A59="","",IF(AI59="",0,IF(AI59=IF($B59="언어와 매체",자동계산!$D$34,자동계산!$B$34),IF($B59="언어와 매체",자동계산!$E$34,자동계산!$C$34),0)))</f>
        <v/>
      </c>
      <c r="CC59" s="72">
        <f>IF($A59="","",IF(AJ59="",0,IF(AJ59=IF($B59="언어와 매체",자동계산!$D$35,자동계산!$B$35),IF($B59="언어와 매체",자동계산!$E$35,자동계산!$C$35),0)))</f>
        <v/>
      </c>
      <c r="CD59" s="72">
        <f>IF($A59="","",IF(AK59="",0,IF(AK59=IF($B59="언어와 매체",자동계산!$D$36,자동계산!$B$36),IF($B59="언어와 매체",자동계산!$E$36,자동계산!$C$36),0)))</f>
        <v/>
      </c>
      <c r="CE59" s="72">
        <f>IF($A59="","",IF(AL59="",0,IF(AL59=IF($B59="언어와 매체",자동계산!$D$37,자동계산!$B$37),IF($B59="언어와 매체",자동계산!$E$37,자동계산!$C$37),0)))</f>
        <v/>
      </c>
      <c r="CF59" s="72">
        <f>IF($A59="","",IF(AM59="",0,IF(AM59=IF($B59="언어와 매체",자동계산!$D$38,자동계산!$B$38),IF($B59="언어와 매체",자동계산!$E$38,자동계산!$C$38),0)))</f>
        <v/>
      </c>
      <c r="CG59" s="72">
        <f>IF($A59="","",IF(AN59="",0,IF(AN59=IF($B59="언어와 매체",자동계산!$D$39,자동계산!$B$39),IF($B59="언어와 매체",자동계산!$E$39,자동계산!$C$39),0)))</f>
        <v/>
      </c>
      <c r="CH59" s="72">
        <f>IF($A59="","",IF(AO59="",0,IF(AO59=IF($B59="언어와 매체",자동계산!$D$40,자동계산!$B$40),IF($B59="언어와 매체",자동계산!$E$40,자동계산!$C$40),0)))</f>
        <v/>
      </c>
      <c r="CI59" s="72">
        <f>IF($A59="","",IF(AP59="",0,IF(AP59=IF($B59="언어와 매체",자동계산!$D$41,자동계산!$B$41),IF($B59="언어와 매체",자동계산!$E$41,자동계산!$C$41),0)))</f>
        <v/>
      </c>
      <c r="CJ59" s="72">
        <f>IF($A59="","",IF(AQ59="",0,IF(AQ59=IF($B59="언어와 매체",자동계산!$D$42,자동계산!$B$42),IF($B59="언어와 매체",자동계산!$E$42,자동계산!$C$42),0)))</f>
        <v/>
      </c>
      <c r="CK59" s="72">
        <f>IF($A59="","",IF(AR59="",0,IF(AR59=IF($B59="언어와 매체",자동계산!$D$43,자동계산!$B$43),IF($B59="언어와 매체",자동계산!$E$43,자동계산!$C$43),0)))</f>
        <v/>
      </c>
      <c r="CL59" s="72">
        <f>IF($A59="","",IF(AS59="",0,IF(AS59=IF($B59="언어와 매체",자동계산!$D$44,자동계산!$B$44),IF($B59="언어와 매체",자동계산!$E$44,자동계산!$C$44),0)))</f>
        <v/>
      </c>
      <c r="CM59" s="72">
        <f>IF($A59="","",IF(AT59="",0,IF(AT59=IF($B59="언어와 매체",자동계산!$D$45,자동계산!$B$45),IF($B59="언어와 매체",자동계산!$E$45,자동계산!$C$45),0)))</f>
        <v/>
      </c>
      <c r="CN59" s="72">
        <f>IF($A59="","",IF(AU59="",0,IF(AU59=IF($B59="언어와 매체",자동계산!$D$46,자동계산!$B$46),IF($B59="언어와 매체",자동계산!$E$46,자동계산!$C$46),0)))</f>
        <v/>
      </c>
      <c r="CO59" s="72">
        <f>IF($A59="","",IF(AV59="",0,IF(AV59=IF($B59="언어와 매체",자동계산!$D$47,자동계산!$B$47),IF($B59="언어와 매체",자동계산!$E$47,자동계산!$C$47),0)))</f>
        <v/>
      </c>
      <c r="CP59" s="72">
        <f>IF($A59="","",IF(AW59="",0,IF(AW59=IF($B59="언어와 매체",자동계산!$D$48,자동계산!$B$48),IF($B59="언어와 매체",자동계산!$E$48,자동계산!$C$48),0)))</f>
        <v/>
      </c>
    </row>
    <row r="60">
      <c r="A60" s="70">
        <f>IF(답안입력!A60="","",답안입력!A60)</f>
        <v/>
      </c>
      <c r="B60" s="70">
        <f>IF($A60="","",답안입력!C60)</f>
        <v/>
      </c>
      <c r="C60" s="71">
        <f>IF($A60="","",SUM(AX60:CP60))</f>
        <v/>
      </c>
      <c r="D60" s="70">
        <f>IF($A60="","",IF($C60&gt;=IF($B60="언어와 매체",회차설정!$B$9,회차설정!$B$8),"1등급",IF($C60&gt;=IF($B60="언어와 매체",회차설정!$C$9,회차설정!$C$8),"2등급",IF($C60&gt;=IF($B60="언어와 매체",회차설정!$D$9,회차설정!$D$8),"3등급",IF($C60&gt;=IF($B60="언어와 매체",회차설정!$E$9,회차설정!$E$8),"4등급","등급 외")))))</f>
        <v/>
      </c>
      <c r="E60" s="72">
        <f>IF($A60="","",IF(LEN(답안입력!$D60)&gt;=1,VALUE(MID(답안입력!$D60,1,1)),IF(답안입력!E60="","",답안입력!E60)))</f>
        <v/>
      </c>
      <c r="F60" s="72">
        <f>IF($A60="","",IF(LEN(답안입력!$D60)&gt;=2,VALUE(MID(답안입력!$D60,2,1)),IF(답안입력!F60="","",답안입력!F60)))</f>
        <v/>
      </c>
      <c r="G60" s="72">
        <f>IF($A60="","",IF(LEN(답안입력!$D60)&gt;=3,VALUE(MID(답안입력!$D60,3,1)),IF(답안입력!G60="","",답안입력!G60)))</f>
        <v/>
      </c>
      <c r="H60" s="72">
        <f>IF($A60="","",IF(LEN(답안입력!$D60)&gt;=4,VALUE(MID(답안입력!$D60,4,1)),IF(답안입력!H60="","",답안입력!H60)))</f>
        <v/>
      </c>
      <c r="I60" s="72">
        <f>IF($A60="","",IF(LEN(답안입력!$D60)&gt;=5,VALUE(MID(답안입력!$D60,5,1)),IF(답안입력!I60="","",답안입력!I60)))</f>
        <v/>
      </c>
      <c r="J60" s="72">
        <f>IF($A60="","",IF(LEN(답안입력!$D60)&gt;=6,VALUE(MID(답안입력!$D60,6,1)),IF(답안입력!J60="","",답안입력!J60)))</f>
        <v/>
      </c>
      <c r="K60" s="72">
        <f>IF($A60="","",IF(LEN(답안입력!$D60)&gt;=7,VALUE(MID(답안입력!$D60,7,1)),IF(답안입력!K60="","",답안입력!K60)))</f>
        <v/>
      </c>
      <c r="L60" s="72">
        <f>IF($A60="","",IF(LEN(답안입력!$D60)&gt;=8,VALUE(MID(답안입력!$D60,8,1)),IF(답안입력!L60="","",답안입력!L60)))</f>
        <v/>
      </c>
      <c r="M60" s="72">
        <f>IF($A60="","",IF(LEN(답안입력!$D60)&gt;=9,VALUE(MID(답안입력!$D60,9,1)),IF(답안입력!M60="","",답안입력!M60)))</f>
        <v/>
      </c>
      <c r="N60" s="72">
        <f>IF($A60="","",IF(LEN(답안입력!$D60)&gt;=10,VALUE(MID(답안입력!$D60,10,1)),IF(답안입력!N60="","",답안입력!N60)))</f>
        <v/>
      </c>
      <c r="O60" s="72">
        <f>IF($A60="","",IF(LEN(답안입력!$D60)&gt;=11,VALUE(MID(답안입력!$D60,11,1)),IF(답안입력!O60="","",답안입력!O60)))</f>
        <v/>
      </c>
      <c r="P60" s="72">
        <f>IF($A60="","",IF(LEN(답안입력!$D60)&gt;=12,VALUE(MID(답안입력!$D60,12,1)),IF(답안입력!P60="","",답안입력!P60)))</f>
        <v/>
      </c>
      <c r="Q60" s="72">
        <f>IF($A60="","",IF(LEN(답안입력!$D60)&gt;=13,VALUE(MID(답안입력!$D60,13,1)),IF(답안입력!Q60="","",답안입력!Q60)))</f>
        <v/>
      </c>
      <c r="R60" s="72">
        <f>IF($A60="","",IF(LEN(답안입력!$D60)&gt;=14,VALUE(MID(답안입력!$D60,14,1)),IF(답안입력!R60="","",답안입력!R60)))</f>
        <v/>
      </c>
      <c r="S60" s="72">
        <f>IF($A60="","",IF(LEN(답안입력!$D60)&gt;=15,VALUE(MID(답안입력!$D60,15,1)),IF(답안입력!S60="","",답안입력!S60)))</f>
        <v/>
      </c>
      <c r="T60" s="72">
        <f>IF($A60="","",IF(LEN(답안입력!$D60)&gt;=16,VALUE(MID(답안입력!$D60,16,1)),IF(답안입력!T60="","",답안입력!T60)))</f>
        <v/>
      </c>
      <c r="U60" s="72">
        <f>IF($A60="","",IF(LEN(답안입력!$D60)&gt;=17,VALUE(MID(답안입력!$D60,17,1)),IF(답안입력!U60="","",답안입력!U60)))</f>
        <v/>
      </c>
      <c r="V60" s="72">
        <f>IF($A60="","",IF(LEN(답안입력!$D60)&gt;=18,VALUE(MID(답안입력!$D60,18,1)),IF(답안입력!V60="","",답안입력!V60)))</f>
        <v/>
      </c>
      <c r="W60" s="72">
        <f>IF($A60="","",IF(LEN(답안입력!$D60)&gt;=19,VALUE(MID(답안입력!$D60,19,1)),IF(답안입력!W60="","",답안입력!W60)))</f>
        <v/>
      </c>
      <c r="X60" s="72">
        <f>IF($A60="","",IF(LEN(답안입력!$D60)&gt;=20,VALUE(MID(답안입력!$D60,20,1)),IF(답안입력!X60="","",답안입력!X60)))</f>
        <v/>
      </c>
      <c r="Y60" s="72">
        <f>IF($A60="","",IF(LEN(답안입력!$D60)&gt;=21,VALUE(MID(답안입력!$D60,21,1)),IF(답안입력!Y60="","",답안입력!Y60)))</f>
        <v/>
      </c>
      <c r="Z60" s="72">
        <f>IF($A60="","",IF(LEN(답안입력!$D60)&gt;=22,VALUE(MID(답안입력!$D60,22,1)),IF(답안입력!Z60="","",답안입력!Z60)))</f>
        <v/>
      </c>
      <c r="AA60" s="72">
        <f>IF($A60="","",IF(LEN(답안입력!$D60)&gt;=23,VALUE(MID(답안입력!$D60,23,1)),IF(답안입력!AA60="","",답안입력!AA60)))</f>
        <v/>
      </c>
      <c r="AB60" s="72">
        <f>IF($A60="","",IF(LEN(답안입력!$D60)&gt;=24,VALUE(MID(답안입력!$D60,24,1)),IF(답안입력!AB60="","",답안입력!AB60)))</f>
        <v/>
      </c>
      <c r="AC60" s="72">
        <f>IF($A60="","",IF(LEN(답안입력!$D60)&gt;=25,VALUE(MID(답안입력!$D60,25,1)),IF(답안입력!AC60="","",답안입력!AC60)))</f>
        <v/>
      </c>
      <c r="AD60" s="72">
        <f>IF($A60="","",IF(LEN(답안입력!$D60)&gt;=26,VALUE(MID(답안입력!$D60,26,1)),IF(답안입력!AD60="","",답안입력!AD60)))</f>
        <v/>
      </c>
      <c r="AE60" s="72">
        <f>IF($A60="","",IF(LEN(답안입력!$D60)&gt;=27,VALUE(MID(답안입력!$D60,27,1)),IF(답안입력!AE60="","",답안입력!AE60)))</f>
        <v/>
      </c>
      <c r="AF60" s="72">
        <f>IF($A60="","",IF(LEN(답안입력!$D60)&gt;=28,VALUE(MID(답안입력!$D60,28,1)),IF(답안입력!AF60="","",답안입력!AF60)))</f>
        <v/>
      </c>
      <c r="AG60" s="72">
        <f>IF($A60="","",IF(LEN(답안입력!$D60)&gt;=29,VALUE(MID(답안입력!$D60,29,1)),IF(답안입력!AG60="","",답안입력!AG60)))</f>
        <v/>
      </c>
      <c r="AH60" s="72">
        <f>IF($A60="","",IF(LEN(답안입력!$D60)&gt;=30,VALUE(MID(답안입력!$D60,30,1)),IF(답안입력!AH60="","",답안입력!AH60)))</f>
        <v/>
      </c>
      <c r="AI60" s="72">
        <f>IF($A60="","",IF(LEN(답안입력!$D60)&gt;=31,VALUE(MID(답안입력!$D60,31,1)),IF(답안입력!AI60="","",답안입력!AI60)))</f>
        <v/>
      </c>
      <c r="AJ60" s="72">
        <f>IF($A60="","",IF(LEN(답안입력!$D60)&gt;=32,VALUE(MID(답안입력!$D60,32,1)),IF(답안입력!AJ60="","",답안입력!AJ60)))</f>
        <v/>
      </c>
      <c r="AK60" s="72">
        <f>IF($A60="","",IF(LEN(답안입력!$D60)&gt;=33,VALUE(MID(답안입력!$D60,33,1)),IF(답안입력!AK60="","",답안입력!AK60)))</f>
        <v/>
      </c>
      <c r="AL60" s="72">
        <f>IF($A60="","",IF(LEN(답안입력!$D60)&gt;=34,VALUE(MID(답안입력!$D60,34,1)),IF(답안입력!AL60="","",답안입력!AL60)))</f>
        <v/>
      </c>
      <c r="AM60" s="72">
        <f>IF($A60="","",IF(LEN(답안입력!$D60)&gt;=35,VALUE(MID(답안입력!$D60,35,1)),IF(답안입력!AM60="","",답안입력!AM60)))</f>
        <v/>
      </c>
      <c r="AN60" s="72">
        <f>IF($A60="","",IF(LEN(답안입력!$D60)&gt;=36,VALUE(MID(답안입력!$D60,36,1)),IF(답안입력!AN60="","",답안입력!AN60)))</f>
        <v/>
      </c>
      <c r="AO60" s="72">
        <f>IF($A60="","",IF(LEN(답안입력!$D60)&gt;=37,VALUE(MID(답안입력!$D60,37,1)),IF(답안입력!AO60="","",답안입력!AO60)))</f>
        <v/>
      </c>
      <c r="AP60" s="72">
        <f>IF($A60="","",IF(LEN(답안입력!$D60)&gt;=38,VALUE(MID(답안입력!$D60,38,1)),IF(답안입력!AP60="","",답안입력!AP60)))</f>
        <v/>
      </c>
      <c r="AQ60" s="72">
        <f>IF($A60="","",IF(LEN(답안입력!$D60)&gt;=39,VALUE(MID(답안입력!$D60,39,1)),IF(답안입력!AQ60="","",답안입력!AQ60)))</f>
        <v/>
      </c>
      <c r="AR60" s="72">
        <f>IF($A60="","",IF(LEN(답안입력!$D60)&gt;=40,VALUE(MID(답안입력!$D60,40,1)),IF(답안입력!AR60="","",답안입력!AR60)))</f>
        <v/>
      </c>
      <c r="AS60" s="72">
        <f>IF($A60="","",IF(LEN(답안입력!$D60)&gt;=41,VALUE(MID(답안입력!$D60,41,1)),IF(답안입력!AS60="","",답안입력!AS60)))</f>
        <v/>
      </c>
      <c r="AT60" s="72">
        <f>IF($A60="","",IF(LEN(답안입력!$D60)&gt;=42,VALUE(MID(답안입력!$D60,42,1)),IF(답안입력!AT60="","",답안입력!AT60)))</f>
        <v/>
      </c>
      <c r="AU60" s="72">
        <f>IF($A60="","",IF(LEN(답안입력!$D60)&gt;=43,VALUE(MID(답안입력!$D60,43,1)),IF(답안입력!AU60="","",답안입력!AU60)))</f>
        <v/>
      </c>
      <c r="AV60" s="72">
        <f>IF($A60="","",IF(LEN(답안입력!$D60)&gt;=44,VALUE(MID(답안입력!$D60,44,1)),IF(답안입력!AV60="","",답안입력!AV60)))</f>
        <v/>
      </c>
      <c r="AW60" s="72">
        <f>IF($A60="","",IF(LEN(답안입력!$D60)&gt;=45,VALUE(MID(답안입력!$D60,45,1)),IF(답안입력!AW60="","",답안입력!AW60)))</f>
        <v/>
      </c>
      <c r="AX60" s="72">
        <f>IF($A60="","",IF(E60="",0,IF(E60=IF($B60="언어와 매체",자동계산!$D$4,자동계산!$B$4),IF($B60="언어와 매체",자동계산!$E$4,자동계산!$C$4),0)))</f>
        <v/>
      </c>
      <c r="AY60" s="72">
        <f>IF($A60="","",IF(F60="",0,IF(F60=IF($B60="언어와 매체",자동계산!$D$5,자동계산!$B$5),IF($B60="언어와 매체",자동계산!$E$5,자동계산!$C$5),0)))</f>
        <v/>
      </c>
      <c r="AZ60" s="72">
        <f>IF($A60="","",IF(G60="",0,IF(G60=IF($B60="언어와 매체",자동계산!$D$6,자동계산!$B$6),IF($B60="언어와 매체",자동계산!$E$6,자동계산!$C$6),0)))</f>
        <v/>
      </c>
      <c r="BA60" s="72">
        <f>IF($A60="","",IF(H60="",0,IF(H60=IF($B60="언어와 매체",자동계산!$D$7,자동계산!$B$7),IF($B60="언어와 매체",자동계산!$E$7,자동계산!$C$7),0)))</f>
        <v/>
      </c>
      <c r="BB60" s="72">
        <f>IF($A60="","",IF(I60="",0,IF(I60=IF($B60="언어와 매체",자동계산!$D$8,자동계산!$B$8),IF($B60="언어와 매체",자동계산!$E$8,자동계산!$C$8),0)))</f>
        <v/>
      </c>
      <c r="BC60" s="72">
        <f>IF($A60="","",IF(J60="",0,IF(J60=IF($B60="언어와 매체",자동계산!$D$9,자동계산!$B$9),IF($B60="언어와 매체",자동계산!$E$9,자동계산!$C$9),0)))</f>
        <v/>
      </c>
      <c r="BD60" s="72">
        <f>IF($A60="","",IF(K60="",0,IF(K60=IF($B60="언어와 매체",자동계산!$D$10,자동계산!$B$10),IF($B60="언어와 매체",자동계산!$E$10,자동계산!$C$10),0)))</f>
        <v/>
      </c>
      <c r="BE60" s="72">
        <f>IF($A60="","",IF(L60="",0,IF(L60=IF($B60="언어와 매체",자동계산!$D$11,자동계산!$B$11),IF($B60="언어와 매체",자동계산!$E$11,자동계산!$C$11),0)))</f>
        <v/>
      </c>
      <c r="BF60" s="72">
        <f>IF($A60="","",IF(M60="",0,IF(M60=IF($B60="언어와 매체",자동계산!$D$12,자동계산!$B$12),IF($B60="언어와 매체",자동계산!$E$12,자동계산!$C$12),0)))</f>
        <v/>
      </c>
      <c r="BG60" s="72">
        <f>IF($A60="","",IF(N60="",0,IF(N60=IF($B60="언어와 매체",자동계산!$D$13,자동계산!$B$13),IF($B60="언어와 매체",자동계산!$E$13,자동계산!$C$13),0)))</f>
        <v/>
      </c>
      <c r="BH60" s="72">
        <f>IF($A60="","",IF(O60="",0,IF(O60=IF($B60="언어와 매체",자동계산!$D$14,자동계산!$B$14),IF($B60="언어와 매체",자동계산!$E$14,자동계산!$C$14),0)))</f>
        <v/>
      </c>
      <c r="BI60" s="72">
        <f>IF($A60="","",IF(P60="",0,IF(P60=IF($B60="언어와 매체",자동계산!$D$15,자동계산!$B$15),IF($B60="언어와 매체",자동계산!$E$15,자동계산!$C$15),0)))</f>
        <v/>
      </c>
      <c r="BJ60" s="72">
        <f>IF($A60="","",IF(Q60="",0,IF(Q60=IF($B60="언어와 매체",자동계산!$D$16,자동계산!$B$16),IF($B60="언어와 매체",자동계산!$E$16,자동계산!$C$16),0)))</f>
        <v/>
      </c>
      <c r="BK60" s="72">
        <f>IF($A60="","",IF(R60="",0,IF(R60=IF($B60="언어와 매체",자동계산!$D$17,자동계산!$B$17),IF($B60="언어와 매체",자동계산!$E$17,자동계산!$C$17),0)))</f>
        <v/>
      </c>
      <c r="BL60" s="72">
        <f>IF($A60="","",IF(S60="",0,IF(S60=IF($B60="언어와 매체",자동계산!$D$18,자동계산!$B$18),IF($B60="언어와 매체",자동계산!$E$18,자동계산!$C$18),0)))</f>
        <v/>
      </c>
      <c r="BM60" s="72">
        <f>IF($A60="","",IF(T60="",0,IF(T60=IF($B60="언어와 매체",자동계산!$D$19,자동계산!$B$19),IF($B60="언어와 매체",자동계산!$E$19,자동계산!$C$19),0)))</f>
        <v/>
      </c>
      <c r="BN60" s="72">
        <f>IF($A60="","",IF(U60="",0,IF(U60=IF($B60="언어와 매체",자동계산!$D$20,자동계산!$B$20),IF($B60="언어와 매체",자동계산!$E$20,자동계산!$C$20),0)))</f>
        <v/>
      </c>
      <c r="BO60" s="72">
        <f>IF($A60="","",IF(V60="",0,IF(V60=IF($B60="언어와 매체",자동계산!$D$21,자동계산!$B$21),IF($B60="언어와 매체",자동계산!$E$21,자동계산!$C$21),0)))</f>
        <v/>
      </c>
      <c r="BP60" s="72">
        <f>IF($A60="","",IF(W60="",0,IF(W60=IF($B60="언어와 매체",자동계산!$D$22,자동계산!$B$22),IF($B60="언어와 매체",자동계산!$E$22,자동계산!$C$22),0)))</f>
        <v/>
      </c>
      <c r="BQ60" s="72">
        <f>IF($A60="","",IF(X60="",0,IF(X60=IF($B60="언어와 매체",자동계산!$D$23,자동계산!$B$23),IF($B60="언어와 매체",자동계산!$E$23,자동계산!$C$23),0)))</f>
        <v/>
      </c>
      <c r="BR60" s="72">
        <f>IF($A60="","",IF(Y60="",0,IF(Y60=IF($B60="언어와 매체",자동계산!$D$24,자동계산!$B$24),IF($B60="언어와 매체",자동계산!$E$24,자동계산!$C$24),0)))</f>
        <v/>
      </c>
      <c r="BS60" s="72">
        <f>IF($A60="","",IF(Z60="",0,IF(Z60=IF($B60="언어와 매체",자동계산!$D$25,자동계산!$B$25),IF($B60="언어와 매체",자동계산!$E$25,자동계산!$C$25),0)))</f>
        <v/>
      </c>
      <c r="BT60" s="72">
        <f>IF($A60="","",IF(AA60="",0,IF(AA60=IF($B60="언어와 매체",자동계산!$D$26,자동계산!$B$26),IF($B60="언어와 매체",자동계산!$E$26,자동계산!$C$26),0)))</f>
        <v/>
      </c>
      <c r="BU60" s="72">
        <f>IF($A60="","",IF(AB60="",0,IF(AB60=IF($B60="언어와 매체",자동계산!$D$27,자동계산!$B$27),IF($B60="언어와 매체",자동계산!$E$27,자동계산!$C$27),0)))</f>
        <v/>
      </c>
      <c r="BV60" s="72">
        <f>IF($A60="","",IF(AC60="",0,IF(AC60=IF($B60="언어와 매체",자동계산!$D$28,자동계산!$B$28),IF($B60="언어와 매체",자동계산!$E$28,자동계산!$C$28),0)))</f>
        <v/>
      </c>
      <c r="BW60" s="72">
        <f>IF($A60="","",IF(AD60="",0,IF(AD60=IF($B60="언어와 매체",자동계산!$D$29,자동계산!$B$29),IF($B60="언어와 매체",자동계산!$E$29,자동계산!$C$29),0)))</f>
        <v/>
      </c>
      <c r="BX60" s="72">
        <f>IF($A60="","",IF(AE60="",0,IF(AE60=IF($B60="언어와 매체",자동계산!$D$30,자동계산!$B$30),IF($B60="언어와 매체",자동계산!$E$30,자동계산!$C$30),0)))</f>
        <v/>
      </c>
      <c r="BY60" s="72">
        <f>IF($A60="","",IF(AF60="",0,IF(AF60=IF($B60="언어와 매체",자동계산!$D$31,자동계산!$B$31),IF($B60="언어와 매체",자동계산!$E$31,자동계산!$C$31),0)))</f>
        <v/>
      </c>
      <c r="BZ60" s="72">
        <f>IF($A60="","",IF(AG60="",0,IF(AG60=IF($B60="언어와 매체",자동계산!$D$32,자동계산!$B$32),IF($B60="언어와 매체",자동계산!$E$32,자동계산!$C$32),0)))</f>
        <v/>
      </c>
      <c r="CA60" s="72">
        <f>IF($A60="","",IF(AH60="",0,IF(AH60=IF($B60="언어와 매체",자동계산!$D$33,자동계산!$B$33),IF($B60="언어와 매체",자동계산!$E$33,자동계산!$C$33),0)))</f>
        <v/>
      </c>
      <c r="CB60" s="72">
        <f>IF($A60="","",IF(AI60="",0,IF(AI60=IF($B60="언어와 매체",자동계산!$D$34,자동계산!$B$34),IF($B60="언어와 매체",자동계산!$E$34,자동계산!$C$34),0)))</f>
        <v/>
      </c>
      <c r="CC60" s="72">
        <f>IF($A60="","",IF(AJ60="",0,IF(AJ60=IF($B60="언어와 매체",자동계산!$D$35,자동계산!$B$35),IF($B60="언어와 매체",자동계산!$E$35,자동계산!$C$35),0)))</f>
        <v/>
      </c>
      <c r="CD60" s="72">
        <f>IF($A60="","",IF(AK60="",0,IF(AK60=IF($B60="언어와 매체",자동계산!$D$36,자동계산!$B$36),IF($B60="언어와 매체",자동계산!$E$36,자동계산!$C$36),0)))</f>
        <v/>
      </c>
      <c r="CE60" s="72">
        <f>IF($A60="","",IF(AL60="",0,IF(AL60=IF($B60="언어와 매체",자동계산!$D$37,자동계산!$B$37),IF($B60="언어와 매체",자동계산!$E$37,자동계산!$C$37),0)))</f>
        <v/>
      </c>
      <c r="CF60" s="72">
        <f>IF($A60="","",IF(AM60="",0,IF(AM60=IF($B60="언어와 매체",자동계산!$D$38,자동계산!$B$38),IF($B60="언어와 매체",자동계산!$E$38,자동계산!$C$38),0)))</f>
        <v/>
      </c>
      <c r="CG60" s="72">
        <f>IF($A60="","",IF(AN60="",0,IF(AN60=IF($B60="언어와 매체",자동계산!$D$39,자동계산!$B$39),IF($B60="언어와 매체",자동계산!$E$39,자동계산!$C$39),0)))</f>
        <v/>
      </c>
      <c r="CH60" s="72">
        <f>IF($A60="","",IF(AO60="",0,IF(AO60=IF($B60="언어와 매체",자동계산!$D$40,자동계산!$B$40),IF($B60="언어와 매체",자동계산!$E$40,자동계산!$C$40),0)))</f>
        <v/>
      </c>
      <c r="CI60" s="72">
        <f>IF($A60="","",IF(AP60="",0,IF(AP60=IF($B60="언어와 매체",자동계산!$D$41,자동계산!$B$41),IF($B60="언어와 매체",자동계산!$E$41,자동계산!$C$41),0)))</f>
        <v/>
      </c>
      <c r="CJ60" s="72">
        <f>IF($A60="","",IF(AQ60="",0,IF(AQ60=IF($B60="언어와 매체",자동계산!$D$42,자동계산!$B$42),IF($B60="언어와 매체",자동계산!$E$42,자동계산!$C$42),0)))</f>
        <v/>
      </c>
      <c r="CK60" s="72">
        <f>IF($A60="","",IF(AR60="",0,IF(AR60=IF($B60="언어와 매체",자동계산!$D$43,자동계산!$B$43),IF($B60="언어와 매체",자동계산!$E$43,자동계산!$C$43),0)))</f>
        <v/>
      </c>
      <c r="CL60" s="72">
        <f>IF($A60="","",IF(AS60="",0,IF(AS60=IF($B60="언어와 매체",자동계산!$D$44,자동계산!$B$44),IF($B60="언어와 매체",자동계산!$E$44,자동계산!$C$44),0)))</f>
        <v/>
      </c>
      <c r="CM60" s="72">
        <f>IF($A60="","",IF(AT60="",0,IF(AT60=IF($B60="언어와 매체",자동계산!$D$45,자동계산!$B$45),IF($B60="언어와 매체",자동계산!$E$45,자동계산!$C$45),0)))</f>
        <v/>
      </c>
      <c r="CN60" s="72">
        <f>IF($A60="","",IF(AU60="",0,IF(AU60=IF($B60="언어와 매체",자동계산!$D$46,자동계산!$B$46),IF($B60="언어와 매체",자동계산!$E$46,자동계산!$C$46),0)))</f>
        <v/>
      </c>
      <c r="CO60" s="72">
        <f>IF($A60="","",IF(AV60="",0,IF(AV60=IF($B60="언어와 매체",자동계산!$D$47,자동계산!$B$47),IF($B60="언어와 매체",자동계산!$E$47,자동계산!$C$47),0)))</f>
        <v/>
      </c>
      <c r="CP60" s="72">
        <f>IF($A60="","",IF(AW60="",0,IF(AW60=IF($B60="언어와 매체",자동계산!$D$48,자동계산!$B$48),IF($B60="언어와 매체",자동계산!$E$48,자동계산!$C$48),0)))</f>
        <v/>
      </c>
    </row>
    <row r="61">
      <c r="A61" s="70">
        <f>IF(답안입력!A61="","",답안입력!A61)</f>
        <v/>
      </c>
      <c r="B61" s="70">
        <f>IF($A61="","",답안입력!C61)</f>
        <v/>
      </c>
      <c r="C61" s="71">
        <f>IF($A61="","",SUM(AX61:CP61))</f>
        <v/>
      </c>
      <c r="D61" s="70">
        <f>IF($A61="","",IF($C61&gt;=IF($B61="언어와 매체",회차설정!$B$9,회차설정!$B$8),"1등급",IF($C61&gt;=IF($B61="언어와 매체",회차설정!$C$9,회차설정!$C$8),"2등급",IF($C61&gt;=IF($B61="언어와 매체",회차설정!$D$9,회차설정!$D$8),"3등급",IF($C61&gt;=IF($B61="언어와 매체",회차설정!$E$9,회차설정!$E$8),"4등급","등급 외")))))</f>
        <v/>
      </c>
      <c r="E61" s="72">
        <f>IF($A61="","",IF(LEN(답안입력!$D61)&gt;=1,VALUE(MID(답안입력!$D61,1,1)),IF(답안입력!E61="","",답안입력!E61)))</f>
        <v/>
      </c>
      <c r="F61" s="72">
        <f>IF($A61="","",IF(LEN(답안입력!$D61)&gt;=2,VALUE(MID(답안입력!$D61,2,1)),IF(답안입력!F61="","",답안입력!F61)))</f>
        <v/>
      </c>
      <c r="G61" s="72">
        <f>IF($A61="","",IF(LEN(답안입력!$D61)&gt;=3,VALUE(MID(답안입력!$D61,3,1)),IF(답안입력!G61="","",답안입력!G61)))</f>
        <v/>
      </c>
      <c r="H61" s="72">
        <f>IF($A61="","",IF(LEN(답안입력!$D61)&gt;=4,VALUE(MID(답안입력!$D61,4,1)),IF(답안입력!H61="","",답안입력!H61)))</f>
        <v/>
      </c>
      <c r="I61" s="72">
        <f>IF($A61="","",IF(LEN(답안입력!$D61)&gt;=5,VALUE(MID(답안입력!$D61,5,1)),IF(답안입력!I61="","",답안입력!I61)))</f>
        <v/>
      </c>
      <c r="J61" s="72">
        <f>IF($A61="","",IF(LEN(답안입력!$D61)&gt;=6,VALUE(MID(답안입력!$D61,6,1)),IF(답안입력!J61="","",답안입력!J61)))</f>
        <v/>
      </c>
      <c r="K61" s="72">
        <f>IF($A61="","",IF(LEN(답안입력!$D61)&gt;=7,VALUE(MID(답안입력!$D61,7,1)),IF(답안입력!K61="","",답안입력!K61)))</f>
        <v/>
      </c>
      <c r="L61" s="72">
        <f>IF($A61="","",IF(LEN(답안입력!$D61)&gt;=8,VALUE(MID(답안입력!$D61,8,1)),IF(답안입력!L61="","",답안입력!L61)))</f>
        <v/>
      </c>
      <c r="M61" s="72">
        <f>IF($A61="","",IF(LEN(답안입력!$D61)&gt;=9,VALUE(MID(답안입력!$D61,9,1)),IF(답안입력!M61="","",답안입력!M61)))</f>
        <v/>
      </c>
      <c r="N61" s="72">
        <f>IF($A61="","",IF(LEN(답안입력!$D61)&gt;=10,VALUE(MID(답안입력!$D61,10,1)),IF(답안입력!N61="","",답안입력!N61)))</f>
        <v/>
      </c>
      <c r="O61" s="72">
        <f>IF($A61="","",IF(LEN(답안입력!$D61)&gt;=11,VALUE(MID(답안입력!$D61,11,1)),IF(답안입력!O61="","",답안입력!O61)))</f>
        <v/>
      </c>
      <c r="P61" s="72">
        <f>IF($A61="","",IF(LEN(답안입력!$D61)&gt;=12,VALUE(MID(답안입력!$D61,12,1)),IF(답안입력!P61="","",답안입력!P61)))</f>
        <v/>
      </c>
      <c r="Q61" s="72">
        <f>IF($A61="","",IF(LEN(답안입력!$D61)&gt;=13,VALUE(MID(답안입력!$D61,13,1)),IF(답안입력!Q61="","",답안입력!Q61)))</f>
        <v/>
      </c>
      <c r="R61" s="72">
        <f>IF($A61="","",IF(LEN(답안입력!$D61)&gt;=14,VALUE(MID(답안입력!$D61,14,1)),IF(답안입력!R61="","",답안입력!R61)))</f>
        <v/>
      </c>
      <c r="S61" s="72">
        <f>IF($A61="","",IF(LEN(답안입력!$D61)&gt;=15,VALUE(MID(답안입력!$D61,15,1)),IF(답안입력!S61="","",답안입력!S61)))</f>
        <v/>
      </c>
      <c r="T61" s="72">
        <f>IF($A61="","",IF(LEN(답안입력!$D61)&gt;=16,VALUE(MID(답안입력!$D61,16,1)),IF(답안입력!T61="","",답안입력!T61)))</f>
        <v/>
      </c>
      <c r="U61" s="72">
        <f>IF($A61="","",IF(LEN(답안입력!$D61)&gt;=17,VALUE(MID(답안입력!$D61,17,1)),IF(답안입력!U61="","",답안입력!U61)))</f>
        <v/>
      </c>
      <c r="V61" s="72">
        <f>IF($A61="","",IF(LEN(답안입력!$D61)&gt;=18,VALUE(MID(답안입력!$D61,18,1)),IF(답안입력!V61="","",답안입력!V61)))</f>
        <v/>
      </c>
      <c r="W61" s="72">
        <f>IF($A61="","",IF(LEN(답안입력!$D61)&gt;=19,VALUE(MID(답안입력!$D61,19,1)),IF(답안입력!W61="","",답안입력!W61)))</f>
        <v/>
      </c>
      <c r="X61" s="72">
        <f>IF($A61="","",IF(LEN(답안입력!$D61)&gt;=20,VALUE(MID(답안입력!$D61,20,1)),IF(답안입력!X61="","",답안입력!X61)))</f>
        <v/>
      </c>
      <c r="Y61" s="72">
        <f>IF($A61="","",IF(LEN(답안입력!$D61)&gt;=21,VALUE(MID(답안입력!$D61,21,1)),IF(답안입력!Y61="","",답안입력!Y61)))</f>
        <v/>
      </c>
      <c r="Z61" s="72">
        <f>IF($A61="","",IF(LEN(답안입력!$D61)&gt;=22,VALUE(MID(답안입력!$D61,22,1)),IF(답안입력!Z61="","",답안입력!Z61)))</f>
        <v/>
      </c>
      <c r="AA61" s="72">
        <f>IF($A61="","",IF(LEN(답안입력!$D61)&gt;=23,VALUE(MID(답안입력!$D61,23,1)),IF(답안입력!AA61="","",답안입력!AA61)))</f>
        <v/>
      </c>
      <c r="AB61" s="72">
        <f>IF($A61="","",IF(LEN(답안입력!$D61)&gt;=24,VALUE(MID(답안입력!$D61,24,1)),IF(답안입력!AB61="","",답안입력!AB61)))</f>
        <v/>
      </c>
      <c r="AC61" s="72">
        <f>IF($A61="","",IF(LEN(답안입력!$D61)&gt;=25,VALUE(MID(답안입력!$D61,25,1)),IF(답안입력!AC61="","",답안입력!AC61)))</f>
        <v/>
      </c>
      <c r="AD61" s="72">
        <f>IF($A61="","",IF(LEN(답안입력!$D61)&gt;=26,VALUE(MID(답안입력!$D61,26,1)),IF(답안입력!AD61="","",답안입력!AD61)))</f>
        <v/>
      </c>
      <c r="AE61" s="72">
        <f>IF($A61="","",IF(LEN(답안입력!$D61)&gt;=27,VALUE(MID(답안입력!$D61,27,1)),IF(답안입력!AE61="","",답안입력!AE61)))</f>
        <v/>
      </c>
      <c r="AF61" s="72">
        <f>IF($A61="","",IF(LEN(답안입력!$D61)&gt;=28,VALUE(MID(답안입력!$D61,28,1)),IF(답안입력!AF61="","",답안입력!AF61)))</f>
        <v/>
      </c>
      <c r="AG61" s="72">
        <f>IF($A61="","",IF(LEN(답안입력!$D61)&gt;=29,VALUE(MID(답안입력!$D61,29,1)),IF(답안입력!AG61="","",답안입력!AG61)))</f>
        <v/>
      </c>
      <c r="AH61" s="72">
        <f>IF($A61="","",IF(LEN(답안입력!$D61)&gt;=30,VALUE(MID(답안입력!$D61,30,1)),IF(답안입력!AH61="","",답안입력!AH61)))</f>
        <v/>
      </c>
      <c r="AI61" s="72">
        <f>IF($A61="","",IF(LEN(답안입력!$D61)&gt;=31,VALUE(MID(답안입력!$D61,31,1)),IF(답안입력!AI61="","",답안입력!AI61)))</f>
        <v/>
      </c>
      <c r="AJ61" s="72">
        <f>IF($A61="","",IF(LEN(답안입력!$D61)&gt;=32,VALUE(MID(답안입력!$D61,32,1)),IF(답안입력!AJ61="","",답안입력!AJ61)))</f>
        <v/>
      </c>
      <c r="AK61" s="72">
        <f>IF($A61="","",IF(LEN(답안입력!$D61)&gt;=33,VALUE(MID(답안입력!$D61,33,1)),IF(답안입력!AK61="","",답안입력!AK61)))</f>
        <v/>
      </c>
      <c r="AL61" s="72">
        <f>IF($A61="","",IF(LEN(답안입력!$D61)&gt;=34,VALUE(MID(답안입력!$D61,34,1)),IF(답안입력!AL61="","",답안입력!AL61)))</f>
        <v/>
      </c>
      <c r="AM61" s="72">
        <f>IF($A61="","",IF(LEN(답안입력!$D61)&gt;=35,VALUE(MID(답안입력!$D61,35,1)),IF(답안입력!AM61="","",답안입력!AM61)))</f>
        <v/>
      </c>
      <c r="AN61" s="72">
        <f>IF($A61="","",IF(LEN(답안입력!$D61)&gt;=36,VALUE(MID(답안입력!$D61,36,1)),IF(답안입력!AN61="","",답안입력!AN61)))</f>
        <v/>
      </c>
      <c r="AO61" s="72">
        <f>IF($A61="","",IF(LEN(답안입력!$D61)&gt;=37,VALUE(MID(답안입력!$D61,37,1)),IF(답안입력!AO61="","",답안입력!AO61)))</f>
        <v/>
      </c>
      <c r="AP61" s="72">
        <f>IF($A61="","",IF(LEN(답안입력!$D61)&gt;=38,VALUE(MID(답안입력!$D61,38,1)),IF(답안입력!AP61="","",답안입력!AP61)))</f>
        <v/>
      </c>
      <c r="AQ61" s="72">
        <f>IF($A61="","",IF(LEN(답안입력!$D61)&gt;=39,VALUE(MID(답안입력!$D61,39,1)),IF(답안입력!AQ61="","",답안입력!AQ61)))</f>
        <v/>
      </c>
      <c r="AR61" s="72">
        <f>IF($A61="","",IF(LEN(답안입력!$D61)&gt;=40,VALUE(MID(답안입력!$D61,40,1)),IF(답안입력!AR61="","",답안입력!AR61)))</f>
        <v/>
      </c>
      <c r="AS61" s="72">
        <f>IF($A61="","",IF(LEN(답안입력!$D61)&gt;=41,VALUE(MID(답안입력!$D61,41,1)),IF(답안입력!AS61="","",답안입력!AS61)))</f>
        <v/>
      </c>
      <c r="AT61" s="72">
        <f>IF($A61="","",IF(LEN(답안입력!$D61)&gt;=42,VALUE(MID(답안입력!$D61,42,1)),IF(답안입력!AT61="","",답안입력!AT61)))</f>
        <v/>
      </c>
      <c r="AU61" s="72">
        <f>IF($A61="","",IF(LEN(답안입력!$D61)&gt;=43,VALUE(MID(답안입력!$D61,43,1)),IF(답안입력!AU61="","",답안입력!AU61)))</f>
        <v/>
      </c>
      <c r="AV61" s="72">
        <f>IF($A61="","",IF(LEN(답안입력!$D61)&gt;=44,VALUE(MID(답안입력!$D61,44,1)),IF(답안입력!AV61="","",답안입력!AV61)))</f>
        <v/>
      </c>
      <c r="AW61" s="72">
        <f>IF($A61="","",IF(LEN(답안입력!$D61)&gt;=45,VALUE(MID(답안입력!$D61,45,1)),IF(답안입력!AW61="","",답안입력!AW61)))</f>
        <v/>
      </c>
      <c r="AX61" s="72">
        <f>IF($A61="","",IF(E61="",0,IF(E61=IF($B61="언어와 매체",자동계산!$D$4,자동계산!$B$4),IF($B61="언어와 매체",자동계산!$E$4,자동계산!$C$4),0)))</f>
        <v/>
      </c>
      <c r="AY61" s="72">
        <f>IF($A61="","",IF(F61="",0,IF(F61=IF($B61="언어와 매체",자동계산!$D$5,자동계산!$B$5),IF($B61="언어와 매체",자동계산!$E$5,자동계산!$C$5),0)))</f>
        <v/>
      </c>
      <c r="AZ61" s="72">
        <f>IF($A61="","",IF(G61="",0,IF(G61=IF($B61="언어와 매체",자동계산!$D$6,자동계산!$B$6),IF($B61="언어와 매체",자동계산!$E$6,자동계산!$C$6),0)))</f>
        <v/>
      </c>
      <c r="BA61" s="72">
        <f>IF($A61="","",IF(H61="",0,IF(H61=IF($B61="언어와 매체",자동계산!$D$7,자동계산!$B$7),IF($B61="언어와 매체",자동계산!$E$7,자동계산!$C$7),0)))</f>
        <v/>
      </c>
      <c r="BB61" s="72">
        <f>IF($A61="","",IF(I61="",0,IF(I61=IF($B61="언어와 매체",자동계산!$D$8,자동계산!$B$8),IF($B61="언어와 매체",자동계산!$E$8,자동계산!$C$8),0)))</f>
        <v/>
      </c>
      <c r="BC61" s="72">
        <f>IF($A61="","",IF(J61="",0,IF(J61=IF($B61="언어와 매체",자동계산!$D$9,자동계산!$B$9),IF($B61="언어와 매체",자동계산!$E$9,자동계산!$C$9),0)))</f>
        <v/>
      </c>
      <c r="BD61" s="72">
        <f>IF($A61="","",IF(K61="",0,IF(K61=IF($B61="언어와 매체",자동계산!$D$10,자동계산!$B$10),IF($B61="언어와 매체",자동계산!$E$10,자동계산!$C$10),0)))</f>
        <v/>
      </c>
      <c r="BE61" s="72">
        <f>IF($A61="","",IF(L61="",0,IF(L61=IF($B61="언어와 매체",자동계산!$D$11,자동계산!$B$11),IF($B61="언어와 매체",자동계산!$E$11,자동계산!$C$11),0)))</f>
        <v/>
      </c>
      <c r="BF61" s="72">
        <f>IF($A61="","",IF(M61="",0,IF(M61=IF($B61="언어와 매체",자동계산!$D$12,자동계산!$B$12),IF($B61="언어와 매체",자동계산!$E$12,자동계산!$C$12),0)))</f>
        <v/>
      </c>
      <c r="BG61" s="72">
        <f>IF($A61="","",IF(N61="",0,IF(N61=IF($B61="언어와 매체",자동계산!$D$13,자동계산!$B$13),IF($B61="언어와 매체",자동계산!$E$13,자동계산!$C$13),0)))</f>
        <v/>
      </c>
      <c r="BH61" s="72">
        <f>IF($A61="","",IF(O61="",0,IF(O61=IF($B61="언어와 매체",자동계산!$D$14,자동계산!$B$14),IF($B61="언어와 매체",자동계산!$E$14,자동계산!$C$14),0)))</f>
        <v/>
      </c>
      <c r="BI61" s="72">
        <f>IF($A61="","",IF(P61="",0,IF(P61=IF($B61="언어와 매체",자동계산!$D$15,자동계산!$B$15),IF($B61="언어와 매체",자동계산!$E$15,자동계산!$C$15),0)))</f>
        <v/>
      </c>
      <c r="BJ61" s="72">
        <f>IF($A61="","",IF(Q61="",0,IF(Q61=IF($B61="언어와 매체",자동계산!$D$16,자동계산!$B$16),IF($B61="언어와 매체",자동계산!$E$16,자동계산!$C$16),0)))</f>
        <v/>
      </c>
      <c r="BK61" s="72">
        <f>IF($A61="","",IF(R61="",0,IF(R61=IF($B61="언어와 매체",자동계산!$D$17,자동계산!$B$17),IF($B61="언어와 매체",자동계산!$E$17,자동계산!$C$17),0)))</f>
        <v/>
      </c>
      <c r="BL61" s="72">
        <f>IF($A61="","",IF(S61="",0,IF(S61=IF($B61="언어와 매체",자동계산!$D$18,자동계산!$B$18),IF($B61="언어와 매체",자동계산!$E$18,자동계산!$C$18),0)))</f>
        <v/>
      </c>
      <c r="BM61" s="72">
        <f>IF($A61="","",IF(T61="",0,IF(T61=IF($B61="언어와 매체",자동계산!$D$19,자동계산!$B$19),IF($B61="언어와 매체",자동계산!$E$19,자동계산!$C$19),0)))</f>
        <v/>
      </c>
      <c r="BN61" s="72">
        <f>IF($A61="","",IF(U61="",0,IF(U61=IF($B61="언어와 매체",자동계산!$D$20,자동계산!$B$20),IF($B61="언어와 매체",자동계산!$E$20,자동계산!$C$20),0)))</f>
        <v/>
      </c>
      <c r="BO61" s="72">
        <f>IF($A61="","",IF(V61="",0,IF(V61=IF($B61="언어와 매체",자동계산!$D$21,자동계산!$B$21),IF($B61="언어와 매체",자동계산!$E$21,자동계산!$C$21),0)))</f>
        <v/>
      </c>
      <c r="BP61" s="72">
        <f>IF($A61="","",IF(W61="",0,IF(W61=IF($B61="언어와 매체",자동계산!$D$22,자동계산!$B$22),IF($B61="언어와 매체",자동계산!$E$22,자동계산!$C$22),0)))</f>
        <v/>
      </c>
      <c r="BQ61" s="72">
        <f>IF($A61="","",IF(X61="",0,IF(X61=IF($B61="언어와 매체",자동계산!$D$23,자동계산!$B$23),IF($B61="언어와 매체",자동계산!$E$23,자동계산!$C$23),0)))</f>
        <v/>
      </c>
      <c r="BR61" s="72">
        <f>IF($A61="","",IF(Y61="",0,IF(Y61=IF($B61="언어와 매체",자동계산!$D$24,자동계산!$B$24),IF($B61="언어와 매체",자동계산!$E$24,자동계산!$C$24),0)))</f>
        <v/>
      </c>
      <c r="BS61" s="72">
        <f>IF($A61="","",IF(Z61="",0,IF(Z61=IF($B61="언어와 매체",자동계산!$D$25,자동계산!$B$25),IF($B61="언어와 매체",자동계산!$E$25,자동계산!$C$25),0)))</f>
        <v/>
      </c>
      <c r="BT61" s="72">
        <f>IF($A61="","",IF(AA61="",0,IF(AA61=IF($B61="언어와 매체",자동계산!$D$26,자동계산!$B$26),IF($B61="언어와 매체",자동계산!$E$26,자동계산!$C$26),0)))</f>
        <v/>
      </c>
      <c r="BU61" s="72">
        <f>IF($A61="","",IF(AB61="",0,IF(AB61=IF($B61="언어와 매체",자동계산!$D$27,자동계산!$B$27),IF($B61="언어와 매체",자동계산!$E$27,자동계산!$C$27),0)))</f>
        <v/>
      </c>
      <c r="BV61" s="72">
        <f>IF($A61="","",IF(AC61="",0,IF(AC61=IF($B61="언어와 매체",자동계산!$D$28,자동계산!$B$28),IF($B61="언어와 매체",자동계산!$E$28,자동계산!$C$28),0)))</f>
        <v/>
      </c>
      <c r="BW61" s="72">
        <f>IF($A61="","",IF(AD61="",0,IF(AD61=IF($B61="언어와 매체",자동계산!$D$29,자동계산!$B$29),IF($B61="언어와 매체",자동계산!$E$29,자동계산!$C$29),0)))</f>
        <v/>
      </c>
      <c r="BX61" s="72">
        <f>IF($A61="","",IF(AE61="",0,IF(AE61=IF($B61="언어와 매체",자동계산!$D$30,자동계산!$B$30),IF($B61="언어와 매체",자동계산!$E$30,자동계산!$C$30),0)))</f>
        <v/>
      </c>
      <c r="BY61" s="72">
        <f>IF($A61="","",IF(AF61="",0,IF(AF61=IF($B61="언어와 매체",자동계산!$D$31,자동계산!$B$31),IF($B61="언어와 매체",자동계산!$E$31,자동계산!$C$31),0)))</f>
        <v/>
      </c>
      <c r="BZ61" s="72">
        <f>IF($A61="","",IF(AG61="",0,IF(AG61=IF($B61="언어와 매체",자동계산!$D$32,자동계산!$B$32),IF($B61="언어와 매체",자동계산!$E$32,자동계산!$C$32),0)))</f>
        <v/>
      </c>
      <c r="CA61" s="72">
        <f>IF($A61="","",IF(AH61="",0,IF(AH61=IF($B61="언어와 매체",자동계산!$D$33,자동계산!$B$33),IF($B61="언어와 매체",자동계산!$E$33,자동계산!$C$33),0)))</f>
        <v/>
      </c>
      <c r="CB61" s="72">
        <f>IF($A61="","",IF(AI61="",0,IF(AI61=IF($B61="언어와 매체",자동계산!$D$34,자동계산!$B$34),IF($B61="언어와 매체",자동계산!$E$34,자동계산!$C$34),0)))</f>
        <v/>
      </c>
      <c r="CC61" s="72">
        <f>IF($A61="","",IF(AJ61="",0,IF(AJ61=IF($B61="언어와 매체",자동계산!$D$35,자동계산!$B$35),IF($B61="언어와 매체",자동계산!$E$35,자동계산!$C$35),0)))</f>
        <v/>
      </c>
      <c r="CD61" s="72">
        <f>IF($A61="","",IF(AK61="",0,IF(AK61=IF($B61="언어와 매체",자동계산!$D$36,자동계산!$B$36),IF($B61="언어와 매체",자동계산!$E$36,자동계산!$C$36),0)))</f>
        <v/>
      </c>
      <c r="CE61" s="72">
        <f>IF($A61="","",IF(AL61="",0,IF(AL61=IF($B61="언어와 매체",자동계산!$D$37,자동계산!$B$37),IF($B61="언어와 매체",자동계산!$E$37,자동계산!$C$37),0)))</f>
        <v/>
      </c>
      <c r="CF61" s="72">
        <f>IF($A61="","",IF(AM61="",0,IF(AM61=IF($B61="언어와 매체",자동계산!$D$38,자동계산!$B$38),IF($B61="언어와 매체",자동계산!$E$38,자동계산!$C$38),0)))</f>
        <v/>
      </c>
      <c r="CG61" s="72">
        <f>IF($A61="","",IF(AN61="",0,IF(AN61=IF($B61="언어와 매체",자동계산!$D$39,자동계산!$B$39),IF($B61="언어와 매체",자동계산!$E$39,자동계산!$C$39),0)))</f>
        <v/>
      </c>
      <c r="CH61" s="72">
        <f>IF($A61="","",IF(AO61="",0,IF(AO61=IF($B61="언어와 매체",자동계산!$D$40,자동계산!$B$40),IF($B61="언어와 매체",자동계산!$E$40,자동계산!$C$40),0)))</f>
        <v/>
      </c>
      <c r="CI61" s="72">
        <f>IF($A61="","",IF(AP61="",0,IF(AP61=IF($B61="언어와 매체",자동계산!$D$41,자동계산!$B$41),IF($B61="언어와 매체",자동계산!$E$41,자동계산!$C$41),0)))</f>
        <v/>
      </c>
      <c r="CJ61" s="72">
        <f>IF($A61="","",IF(AQ61="",0,IF(AQ61=IF($B61="언어와 매체",자동계산!$D$42,자동계산!$B$42),IF($B61="언어와 매체",자동계산!$E$42,자동계산!$C$42),0)))</f>
        <v/>
      </c>
      <c r="CK61" s="72">
        <f>IF($A61="","",IF(AR61="",0,IF(AR61=IF($B61="언어와 매체",자동계산!$D$43,자동계산!$B$43),IF($B61="언어와 매체",자동계산!$E$43,자동계산!$C$43),0)))</f>
        <v/>
      </c>
      <c r="CL61" s="72">
        <f>IF($A61="","",IF(AS61="",0,IF(AS61=IF($B61="언어와 매체",자동계산!$D$44,자동계산!$B$44),IF($B61="언어와 매체",자동계산!$E$44,자동계산!$C$44),0)))</f>
        <v/>
      </c>
      <c r="CM61" s="72">
        <f>IF($A61="","",IF(AT61="",0,IF(AT61=IF($B61="언어와 매체",자동계산!$D$45,자동계산!$B$45),IF($B61="언어와 매체",자동계산!$E$45,자동계산!$C$45),0)))</f>
        <v/>
      </c>
      <c r="CN61" s="72">
        <f>IF($A61="","",IF(AU61="",0,IF(AU61=IF($B61="언어와 매체",자동계산!$D$46,자동계산!$B$46),IF($B61="언어와 매체",자동계산!$E$46,자동계산!$C$46),0)))</f>
        <v/>
      </c>
      <c r="CO61" s="72">
        <f>IF($A61="","",IF(AV61="",0,IF(AV61=IF($B61="언어와 매체",자동계산!$D$47,자동계산!$B$47),IF($B61="언어와 매체",자동계산!$E$47,자동계산!$C$47),0)))</f>
        <v/>
      </c>
      <c r="CP61" s="72">
        <f>IF($A61="","",IF(AW61="",0,IF(AW61=IF($B61="언어와 매체",자동계산!$D$48,자동계산!$B$48),IF($B61="언어와 매체",자동계산!$E$48,자동계산!$C$48),0)))</f>
        <v/>
      </c>
    </row>
    <row r="62">
      <c r="A62" s="70">
        <f>IF(답안입력!A62="","",답안입력!A62)</f>
        <v/>
      </c>
      <c r="B62" s="70">
        <f>IF($A62="","",답안입력!C62)</f>
        <v/>
      </c>
      <c r="C62" s="71">
        <f>IF($A62="","",SUM(AX62:CP62))</f>
        <v/>
      </c>
      <c r="D62" s="70">
        <f>IF($A62="","",IF($C62&gt;=IF($B62="언어와 매체",회차설정!$B$9,회차설정!$B$8),"1등급",IF($C62&gt;=IF($B62="언어와 매체",회차설정!$C$9,회차설정!$C$8),"2등급",IF($C62&gt;=IF($B62="언어와 매체",회차설정!$D$9,회차설정!$D$8),"3등급",IF($C62&gt;=IF($B62="언어와 매체",회차설정!$E$9,회차설정!$E$8),"4등급","등급 외")))))</f>
        <v/>
      </c>
      <c r="E62" s="72">
        <f>IF($A62="","",IF(LEN(답안입력!$D62)&gt;=1,VALUE(MID(답안입력!$D62,1,1)),IF(답안입력!E62="","",답안입력!E62)))</f>
        <v/>
      </c>
      <c r="F62" s="72">
        <f>IF($A62="","",IF(LEN(답안입력!$D62)&gt;=2,VALUE(MID(답안입력!$D62,2,1)),IF(답안입력!F62="","",답안입력!F62)))</f>
        <v/>
      </c>
      <c r="G62" s="72">
        <f>IF($A62="","",IF(LEN(답안입력!$D62)&gt;=3,VALUE(MID(답안입력!$D62,3,1)),IF(답안입력!G62="","",답안입력!G62)))</f>
        <v/>
      </c>
      <c r="H62" s="72">
        <f>IF($A62="","",IF(LEN(답안입력!$D62)&gt;=4,VALUE(MID(답안입력!$D62,4,1)),IF(답안입력!H62="","",답안입력!H62)))</f>
        <v/>
      </c>
      <c r="I62" s="72">
        <f>IF($A62="","",IF(LEN(답안입력!$D62)&gt;=5,VALUE(MID(답안입력!$D62,5,1)),IF(답안입력!I62="","",답안입력!I62)))</f>
        <v/>
      </c>
      <c r="J62" s="72">
        <f>IF($A62="","",IF(LEN(답안입력!$D62)&gt;=6,VALUE(MID(답안입력!$D62,6,1)),IF(답안입력!J62="","",답안입력!J62)))</f>
        <v/>
      </c>
      <c r="K62" s="72">
        <f>IF($A62="","",IF(LEN(답안입력!$D62)&gt;=7,VALUE(MID(답안입력!$D62,7,1)),IF(답안입력!K62="","",답안입력!K62)))</f>
        <v/>
      </c>
      <c r="L62" s="72">
        <f>IF($A62="","",IF(LEN(답안입력!$D62)&gt;=8,VALUE(MID(답안입력!$D62,8,1)),IF(답안입력!L62="","",답안입력!L62)))</f>
        <v/>
      </c>
      <c r="M62" s="72">
        <f>IF($A62="","",IF(LEN(답안입력!$D62)&gt;=9,VALUE(MID(답안입력!$D62,9,1)),IF(답안입력!M62="","",답안입력!M62)))</f>
        <v/>
      </c>
      <c r="N62" s="72">
        <f>IF($A62="","",IF(LEN(답안입력!$D62)&gt;=10,VALUE(MID(답안입력!$D62,10,1)),IF(답안입력!N62="","",답안입력!N62)))</f>
        <v/>
      </c>
      <c r="O62" s="72">
        <f>IF($A62="","",IF(LEN(답안입력!$D62)&gt;=11,VALUE(MID(답안입력!$D62,11,1)),IF(답안입력!O62="","",답안입력!O62)))</f>
        <v/>
      </c>
      <c r="P62" s="72">
        <f>IF($A62="","",IF(LEN(답안입력!$D62)&gt;=12,VALUE(MID(답안입력!$D62,12,1)),IF(답안입력!P62="","",답안입력!P62)))</f>
        <v/>
      </c>
      <c r="Q62" s="72">
        <f>IF($A62="","",IF(LEN(답안입력!$D62)&gt;=13,VALUE(MID(답안입력!$D62,13,1)),IF(답안입력!Q62="","",답안입력!Q62)))</f>
        <v/>
      </c>
      <c r="R62" s="72">
        <f>IF($A62="","",IF(LEN(답안입력!$D62)&gt;=14,VALUE(MID(답안입력!$D62,14,1)),IF(답안입력!R62="","",답안입력!R62)))</f>
        <v/>
      </c>
      <c r="S62" s="72">
        <f>IF($A62="","",IF(LEN(답안입력!$D62)&gt;=15,VALUE(MID(답안입력!$D62,15,1)),IF(답안입력!S62="","",답안입력!S62)))</f>
        <v/>
      </c>
      <c r="T62" s="72">
        <f>IF($A62="","",IF(LEN(답안입력!$D62)&gt;=16,VALUE(MID(답안입력!$D62,16,1)),IF(답안입력!T62="","",답안입력!T62)))</f>
        <v/>
      </c>
      <c r="U62" s="72">
        <f>IF($A62="","",IF(LEN(답안입력!$D62)&gt;=17,VALUE(MID(답안입력!$D62,17,1)),IF(답안입력!U62="","",답안입력!U62)))</f>
        <v/>
      </c>
      <c r="V62" s="72">
        <f>IF($A62="","",IF(LEN(답안입력!$D62)&gt;=18,VALUE(MID(답안입력!$D62,18,1)),IF(답안입력!V62="","",답안입력!V62)))</f>
        <v/>
      </c>
      <c r="W62" s="72">
        <f>IF($A62="","",IF(LEN(답안입력!$D62)&gt;=19,VALUE(MID(답안입력!$D62,19,1)),IF(답안입력!W62="","",답안입력!W62)))</f>
        <v/>
      </c>
      <c r="X62" s="72">
        <f>IF($A62="","",IF(LEN(답안입력!$D62)&gt;=20,VALUE(MID(답안입력!$D62,20,1)),IF(답안입력!X62="","",답안입력!X62)))</f>
        <v/>
      </c>
      <c r="Y62" s="72">
        <f>IF($A62="","",IF(LEN(답안입력!$D62)&gt;=21,VALUE(MID(답안입력!$D62,21,1)),IF(답안입력!Y62="","",답안입력!Y62)))</f>
        <v/>
      </c>
      <c r="Z62" s="72">
        <f>IF($A62="","",IF(LEN(답안입력!$D62)&gt;=22,VALUE(MID(답안입력!$D62,22,1)),IF(답안입력!Z62="","",답안입력!Z62)))</f>
        <v/>
      </c>
      <c r="AA62" s="72">
        <f>IF($A62="","",IF(LEN(답안입력!$D62)&gt;=23,VALUE(MID(답안입력!$D62,23,1)),IF(답안입력!AA62="","",답안입력!AA62)))</f>
        <v/>
      </c>
      <c r="AB62" s="72">
        <f>IF($A62="","",IF(LEN(답안입력!$D62)&gt;=24,VALUE(MID(답안입력!$D62,24,1)),IF(답안입력!AB62="","",답안입력!AB62)))</f>
        <v/>
      </c>
      <c r="AC62" s="72">
        <f>IF($A62="","",IF(LEN(답안입력!$D62)&gt;=25,VALUE(MID(답안입력!$D62,25,1)),IF(답안입력!AC62="","",답안입력!AC62)))</f>
        <v/>
      </c>
      <c r="AD62" s="72">
        <f>IF($A62="","",IF(LEN(답안입력!$D62)&gt;=26,VALUE(MID(답안입력!$D62,26,1)),IF(답안입력!AD62="","",답안입력!AD62)))</f>
        <v/>
      </c>
      <c r="AE62" s="72">
        <f>IF($A62="","",IF(LEN(답안입력!$D62)&gt;=27,VALUE(MID(답안입력!$D62,27,1)),IF(답안입력!AE62="","",답안입력!AE62)))</f>
        <v/>
      </c>
      <c r="AF62" s="72">
        <f>IF($A62="","",IF(LEN(답안입력!$D62)&gt;=28,VALUE(MID(답안입력!$D62,28,1)),IF(답안입력!AF62="","",답안입력!AF62)))</f>
        <v/>
      </c>
      <c r="AG62" s="72">
        <f>IF($A62="","",IF(LEN(답안입력!$D62)&gt;=29,VALUE(MID(답안입력!$D62,29,1)),IF(답안입력!AG62="","",답안입력!AG62)))</f>
        <v/>
      </c>
      <c r="AH62" s="72">
        <f>IF($A62="","",IF(LEN(답안입력!$D62)&gt;=30,VALUE(MID(답안입력!$D62,30,1)),IF(답안입력!AH62="","",답안입력!AH62)))</f>
        <v/>
      </c>
      <c r="AI62" s="72">
        <f>IF($A62="","",IF(LEN(답안입력!$D62)&gt;=31,VALUE(MID(답안입력!$D62,31,1)),IF(답안입력!AI62="","",답안입력!AI62)))</f>
        <v/>
      </c>
      <c r="AJ62" s="72">
        <f>IF($A62="","",IF(LEN(답안입력!$D62)&gt;=32,VALUE(MID(답안입력!$D62,32,1)),IF(답안입력!AJ62="","",답안입력!AJ62)))</f>
        <v/>
      </c>
      <c r="AK62" s="72">
        <f>IF($A62="","",IF(LEN(답안입력!$D62)&gt;=33,VALUE(MID(답안입력!$D62,33,1)),IF(답안입력!AK62="","",답안입력!AK62)))</f>
        <v/>
      </c>
      <c r="AL62" s="72">
        <f>IF($A62="","",IF(LEN(답안입력!$D62)&gt;=34,VALUE(MID(답안입력!$D62,34,1)),IF(답안입력!AL62="","",답안입력!AL62)))</f>
        <v/>
      </c>
      <c r="AM62" s="72">
        <f>IF($A62="","",IF(LEN(답안입력!$D62)&gt;=35,VALUE(MID(답안입력!$D62,35,1)),IF(답안입력!AM62="","",답안입력!AM62)))</f>
        <v/>
      </c>
      <c r="AN62" s="72">
        <f>IF($A62="","",IF(LEN(답안입력!$D62)&gt;=36,VALUE(MID(답안입력!$D62,36,1)),IF(답안입력!AN62="","",답안입력!AN62)))</f>
        <v/>
      </c>
      <c r="AO62" s="72">
        <f>IF($A62="","",IF(LEN(답안입력!$D62)&gt;=37,VALUE(MID(답안입력!$D62,37,1)),IF(답안입력!AO62="","",답안입력!AO62)))</f>
        <v/>
      </c>
      <c r="AP62" s="72">
        <f>IF($A62="","",IF(LEN(답안입력!$D62)&gt;=38,VALUE(MID(답안입력!$D62,38,1)),IF(답안입력!AP62="","",답안입력!AP62)))</f>
        <v/>
      </c>
      <c r="AQ62" s="72">
        <f>IF($A62="","",IF(LEN(답안입력!$D62)&gt;=39,VALUE(MID(답안입력!$D62,39,1)),IF(답안입력!AQ62="","",답안입력!AQ62)))</f>
        <v/>
      </c>
      <c r="AR62" s="72">
        <f>IF($A62="","",IF(LEN(답안입력!$D62)&gt;=40,VALUE(MID(답안입력!$D62,40,1)),IF(답안입력!AR62="","",답안입력!AR62)))</f>
        <v/>
      </c>
      <c r="AS62" s="72">
        <f>IF($A62="","",IF(LEN(답안입력!$D62)&gt;=41,VALUE(MID(답안입력!$D62,41,1)),IF(답안입력!AS62="","",답안입력!AS62)))</f>
        <v/>
      </c>
      <c r="AT62" s="72">
        <f>IF($A62="","",IF(LEN(답안입력!$D62)&gt;=42,VALUE(MID(답안입력!$D62,42,1)),IF(답안입력!AT62="","",답안입력!AT62)))</f>
        <v/>
      </c>
      <c r="AU62" s="72">
        <f>IF($A62="","",IF(LEN(답안입력!$D62)&gt;=43,VALUE(MID(답안입력!$D62,43,1)),IF(답안입력!AU62="","",답안입력!AU62)))</f>
        <v/>
      </c>
      <c r="AV62" s="72">
        <f>IF($A62="","",IF(LEN(답안입력!$D62)&gt;=44,VALUE(MID(답안입력!$D62,44,1)),IF(답안입력!AV62="","",답안입력!AV62)))</f>
        <v/>
      </c>
      <c r="AW62" s="72">
        <f>IF($A62="","",IF(LEN(답안입력!$D62)&gt;=45,VALUE(MID(답안입력!$D62,45,1)),IF(답안입력!AW62="","",답안입력!AW62)))</f>
        <v/>
      </c>
      <c r="AX62" s="72">
        <f>IF($A62="","",IF(E62="",0,IF(E62=IF($B62="언어와 매체",자동계산!$D$4,자동계산!$B$4),IF($B62="언어와 매체",자동계산!$E$4,자동계산!$C$4),0)))</f>
        <v/>
      </c>
      <c r="AY62" s="72">
        <f>IF($A62="","",IF(F62="",0,IF(F62=IF($B62="언어와 매체",자동계산!$D$5,자동계산!$B$5),IF($B62="언어와 매체",자동계산!$E$5,자동계산!$C$5),0)))</f>
        <v/>
      </c>
      <c r="AZ62" s="72">
        <f>IF($A62="","",IF(G62="",0,IF(G62=IF($B62="언어와 매체",자동계산!$D$6,자동계산!$B$6),IF($B62="언어와 매체",자동계산!$E$6,자동계산!$C$6),0)))</f>
        <v/>
      </c>
      <c r="BA62" s="72">
        <f>IF($A62="","",IF(H62="",0,IF(H62=IF($B62="언어와 매체",자동계산!$D$7,자동계산!$B$7),IF($B62="언어와 매체",자동계산!$E$7,자동계산!$C$7),0)))</f>
        <v/>
      </c>
      <c r="BB62" s="72">
        <f>IF($A62="","",IF(I62="",0,IF(I62=IF($B62="언어와 매체",자동계산!$D$8,자동계산!$B$8),IF($B62="언어와 매체",자동계산!$E$8,자동계산!$C$8),0)))</f>
        <v/>
      </c>
      <c r="BC62" s="72">
        <f>IF($A62="","",IF(J62="",0,IF(J62=IF($B62="언어와 매체",자동계산!$D$9,자동계산!$B$9),IF($B62="언어와 매체",자동계산!$E$9,자동계산!$C$9),0)))</f>
        <v/>
      </c>
      <c r="BD62" s="72">
        <f>IF($A62="","",IF(K62="",0,IF(K62=IF($B62="언어와 매체",자동계산!$D$10,자동계산!$B$10),IF($B62="언어와 매체",자동계산!$E$10,자동계산!$C$10),0)))</f>
        <v/>
      </c>
      <c r="BE62" s="72">
        <f>IF($A62="","",IF(L62="",0,IF(L62=IF($B62="언어와 매체",자동계산!$D$11,자동계산!$B$11),IF($B62="언어와 매체",자동계산!$E$11,자동계산!$C$11),0)))</f>
        <v/>
      </c>
      <c r="BF62" s="72">
        <f>IF($A62="","",IF(M62="",0,IF(M62=IF($B62="언어와 매체",자동계산!$D$12,자동계산!$B$12),IF($B62="언어와 매체",자동계산!$E$12,자동계산!$C$12),0)))</f>
        <v/>
      </c>
      <c r="BG62" s="72">
        <f>IF($A62="","",IF(N62="",0,IF(N62=IF($B62="언어와 매체",자동계산!$D$13,자동계산!$B$13),IF($B62="언어와 매체",자동계산!$E$13,자동계산!$C$13),0)))</f>
        <v/>
      </c>
      <c r="BH62" s="72">
        <f>IF($A62="","",IF(O62="",0,IF(O62=IF($B62="언어와 매체",자동계산!$D$14,자동계산!$B$14),IF($B62="언어와 매체",자동계산!$E$14,자동계산!$C$14),0)))</f>
        <v/>
      </c>
      <c r="BI62" s="72">
        <f>IF($A62="","",IF(P62="",0,IF(P62=IF($B62="언어와 매체",자동계산!$D$15,자동계산!$B$15),IF($B62="언어와 매체",자동계산!$E$15,자동계산!$C$15),0)))</f>
        <v/>
      </c>
      <c r="BJ62" s="72">
        <f>IF($A62="","",IF(Q62="",0,IF(Q62=IF($B62="언어와 매체",자동계산!$D$16,자동계산!$B$16),IF($B62="언어와 매체",자동계산!$E$16,자동계산!$C$16),0)))</f>
        <v/>
      </c>
      <c r="BK62" s="72">
        <f>IF($A62="","",IF(R62="",0,IF(R62=IF($B62="언어와 매체",자동계산!$D$17,자동계산!$B$17),IF($B62="언어와 매체",자동계산!$E$17,자동계산!$C$17),0)))</f>
        <v/>
      </c>
      <c r="BL62" s="72">
        <f>IF($A62="","",IF(S62="",0,IF(S62=IF($B62="언어와 매체",자동계산!$D$18,자동계산!$B$18),IF($B62="언어와 매체",자동계산!$E$18,자동계산!$C$18),0)))</f>
        <v/>
      </c>
      <c r="BM62" s="72">
        <f>IF($A62="","",IF(T62="",0,IF(T62=IF($B62="언어와 매체",자동계산!$D$19,자동계산!$B$19),IF($B62="언어와 매체",자동계산!$E$19,자동계산!$C$19),0)))</f>
        <v/>
      </c>
      <c r="BN62" s="72">
        <f>IF($A62="","",IF(U62="",0,IF(U62=IF($B62="언어와 매체",자동계산!$D$20,자동계산!$B$20),IF($B62="언어와 매체",자동계산!$E$20,자동계산!$C$20),0)))</f>
        <v/>
      </c>
      <c r="BO62" s="72">
        <f>IF($A62="","",IF(V62="",0,IF(V62=IF($B62="언어와 매체",자동계산!$D$21,자동계산!$B$21),IF($B62="언어와 매체",자동계산!$E$21,자동계산!$C$21),0)))</f>
        <v/>
      </c>
      <c r="BP62" s="72">
        <f>IF($A62="","",IF(W62="",0,IF(W62=IF($B62="언어와 매체",자동계산!$D$22,자동계산!$B$22),IF($B62="언어와 매체",자동계산!$E$22,자동계산!$C$22),0)))</f>
        <v/>
      </c>
      <c r="BQ62" s="72">
        <f>IF($A62="","",IF(X62="",0,IF(X62=IF($B62="언어와 매체",자동계산!$D$23,자동계산!$B$23),IF($B62="언어와 매체",자동계산!$E$23,자동계산!$C$23),0)))</f>
        <v/>
      </c>
      <c r="BR62" s="72">
        <f>IF($A62="","",IF(Y62="",0,IF(Y62=IF($B62="언어와 매체",자동계산!$D$24,자동계산!$B$24),IF($B62="언어와 매체",자동계산!$E$24,자동계산!$C$24),0)))</f>
        <v/>
      </c>
      <c r="BS62" s="72">
        <f>IF($A62="","",IF(Z62="",0,IF(Z62=IF($B62="언어와 매체",자동계산!$D$25,자동계산!$B$25),IF($B62="언어와 매체",자동계산!$E$25,자동계산!$C$25),0)))</f>
        <v/>
      </c>
      <c r="BT62" s="72">
        <f>IF($A62="","",IF(AA62="",0,IF(AA62=IF($B62="언어와 매체",자동계산!$D$26,자동계산!$B$26),IF($B62="언어와 매체",자동계산!$E$26,자동계산!$C$26),0)))</f>
        <v/>
      </c>
      <c r="BU62" s="72">
        <f>IF($A62="","",IF(AB62="",0,IF(AB62=IF($B62="언어와 매체",자동계산!$D$27,자동계산!$B$27),IF($B62="언어와 매체",자동계산!$E$27,자동계산!$C$27),0)))</f>
        <v/>
      </c>
      <c r="BV62" s="72">
        <f>IF($A62="","",IF(AC62="",0,IF(AC62=IF($B62="언어와 매체",자동계산!$D$28,자동계산!$B$28),IF($B62="언어와 매체",자동계산!$E$28,자동계산!$C$28),0)))</f>
        <v/>
      </c>
      <c r="BW62" s="72">
        <f>IF($A62="","",IF(AD62="",0,IF(AD62=IF($B62="언어와 매체",자동계산!$D$29,자동계산!$B$29),IF($B62="언어와 매체",자동계산!$E$29,자동계산!$C$29),0)))</f>
        <v/>
      </c>
      <c r="BX62" s="72">
        <f>IF($A62="","",IF(AE62="",0,IF(AE62=IF($B62="언어와 매체",자동계산!$D$30,자동계산!$B$30),IF($B62="언어와 매체",자동계산!$E$30,자동계산!$C$30),0)))</f>
        <v/>
      </c>
      <c r="BY62" s="72">
        <f>IF($A62="","",IF(AF62="",0,IF(AF62=IF($B62="언어와 매체",자동계산!$D$31,자동계산!$B$31),IF($B62="언어와 매체",자동계산!$E$31,자동계산!$C$31),0)))</f>
        <v/>
      </c>
      <c r="BZ62" s="72">
        <f>IF($A62="","",IF(AG62="",0,IF(AG62=IF($B62="언어와 매체",자동계산!$D$32,자동계산!$B$32),IF($B62="언어와 매체",자동계산!$E$32,자동계산!$C$32),0)))</f>
        <v/>
      </c>
      <c r="CA62" s="72">
        <f>IF($A62="","",IF(AH62="",0,IF(AH62=IF($B62="언어와 매체",자동계산!$D$33,자동계산!$B$33),IF($B62="언어와 매체",자동계산!$E$33,자동계산!$C$33),0)))</f>
        <v/>
      </c>
      <c r="CB62" s="72">
        <f>IF($A62="","",IF(AI62="",0,IF(AI62=IF($B62="언어와 매체",자동계산!$D$34,자동계산!$B$34),IF($B62="언어와 매체",자동계산!$E$34,자동계산!$C$34),0)))</f>
        <v/>
      </c>
      <c r="CC62" s="72">
        <f>IF($A62="","",IF(AJ62="",0,IF(AJ62=IF($B62="언어와 매체",자동계산!$D$35,자동계산!$B$35),IF($B62="언어와 매체",자동계산!$E$35,자동계산!$C$35),0)))</f>
        <v/>
      </c>
      <c r="CD62" s="72">
        <f>IF($A62="","",IF(AK62="",0,IF(AK62=IF($B62="언어와 매체",자동계산!$D$36,자동계산!$B$36),IF($B62="언어와 매체",자동계산!$E$36,자동계산!$C$36),0)))</f>
        <v/>
      </c>
      <c r="CE62" s="72">
        <f>IF($A62="","",IF(AL62="",0,IF(AL62=IF($B62="언어와 매체",자동계산!$D$37,자동계산!$B$37),IF($B62="언어와 매체",자동계산!$E$37,자동계산!$C$37),0)))</f>
        <v/>
      </c>
      <c r="CF62" s="72">
        <f>IF($A62="","",IF(AM62="",0,IF(AM62=IF($B62="언어와 매체",자동계산!$D$38,자동계산!$B$38),IF($B62="언어와 매체",자동계산!$E$38,자동계산!$C$38),0)))</f>
        <v/>
      </c>
      <c r="CG62" s="72">
        <f>IF($A62="","",IF(AN62="",0,IF(AN62=IF($B62="언어와 매체",자동계산!$D$39,자동계산!$B$39),IF($B62="언어와 매체",자동계산!$E$39,자동계산!$C$39),0)))</f>
        <v/>
      </c>
      <c r="CH62" s="72">
        <f>IF($A62="","",IF(AO62="",0,IF(AO62=IF($B62="언어와 매체",자동계산!$D$40,자동계산!$B$40),IF($B62="언어와 매체",자동계산!$E$40,자동계산!$C$40),0)))</f>
        <v/>
      </c>
      <c r="CI62" s="72">
        <f>IF($A62="","",IF(AP62="",0,IF(AP62=IF($B62="언어와 매체",자동계산!$D$41,자동계산!$B$41),IF($B62="언어와 매체",자동계산!$E$41,자동계산!$C$41),0)))</f>
        <v/>
      </c>
      <c r="CJ62" s="72">
        <f>IF($A62="","",IF(AQ62="",0,IF(AQ62=IF($B62="언어와 매체",자동계산!$D$42,자동계산!$B$42),IF($B62="언어와 매체",자동계산!$E$42,자동계산!$C$42),0)))</f>
        <v/>
      </c>
      <c r="CK62" s="72">
        <f>IF($A62="","",IF(AR62="",0,IF(AR62=IF($B62="언어와 매체",자동계산!$D$43,자동계산!$B$43),IF($B62="언어와 매체",자동계산!$E$43,자동계산!$C$43),0)))</f>
        <v/>
      </c>
      <c r="CL62" s="72">
        <f>IF($A62="","",IF(AS62="",0,IF(AS62=IF($B62="언어와 매체",자동계산!$D$44,자동계산!$B$44),IF($B62="언어와 매체",자동계산!$E$44,자동계산!$C$44),0)))</f>
        <v/>
      </c>
      <c r="CM62" s="72">
        <f>IF($A62="","",IF(AT62="",0,IF(AT62=IF($B62="언어와 매체",자동계산!$D$45,자동계산!$B$45),IF($B62="언어와 매체",자동계산!$E$45,자동계산!$C$45),0)))</f>
        <v/>
      </c>
      <c r="CN62" s="72">
        <f>IF($A62="","",IF(AU62="",0,IF(AU62=IF($B62="언어와 매체",자동계산!$D$46,자동계산!$B$46),IF($B62="언어와 매체",자동계산!$E$46,자동계산!$C$46),0)))</f>
        <v/>
      </c>
      <c r="CO62" s="72">
        <f>IF($A62="","",IF(AV62="",0,IF(AV62=IF($B62="언어와 매체",자동계산!$D$47,자동계산!$B$47),IF($B62="언어와 매체",자동계산!$E$47,자동계산!$C$47),0)))</f>
        <v/>
      </c>
      <c r="CP62" s="72">
        <f>IF($A62="","",IF(AW62="",0,IF(AW62=IF($B62="언어와 매체",자동계산!$D$48,자동계산!$B$48),IF($B62="언어와 매체",자동계산!$E$48,자동계산!$C$48),0)))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2026-09-16T08:42:46Z</dcterms:created>
  <dcterms:modified xsi:type="dcterms:W3CDTF">2026-09-16T08:42:55Z</dcterms:modified>
</cp:coreProperties>
</file>